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My Savings Feature\"/>
    </mc:Choice>
  </mc:AlternateContent>
  <xr:revisionPtr revIDLastSave="0" documentId="8_{FA8E1C43-982C-42E5-BCC1-B79D1A13B834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Annual Graphic" sheetId="1" r:id="rId1"/>
    <sheet name="Annual Expenses" sheetId="2" r:id="rId2"/>
    <sheet name="Annual Income" sheetId="3" r:id="rId3"/>
    <sheet name="Deskripsi" sheetId="4" state="hidden" r:id="rId4"/>
    <sheet name="January" sheetId="5" r:id="rId5"/>
    <sheet name="Trans Jan" sheetId="6" r:id="rId6"/>
    <sheet name="February" sheetId="7" r:id="rId7"/>
    <sheet name="Trans Feb" sheetId="8" r:id="rId8"/>
    <sheet name="March" sheetId="9" r:id="rId9"/>
    <sheet name="Trans March" sheetId="10" r:id="rId10"/>
    <sheet name="April" sheetId="11" r:id="rId11"/>
    <sheet name="Trans April" sheetId="12" r:id="rId12"/>
    <sheet name="Mei" sheetId="13" r:id="rId13"/>
    <sheet name="Trans Mei" sheetId="14" r:id="rId14"/>
    <sheet name="Juni" sheetId="15" r:id="rId15"/>
    <sheet name="Trans Jun" sheetId="16" r:id="rId16"/>
    <sheet name="Juli" sheetId="17" r:id="rId17"/>
    <sheet name="Trans Jul" sheetId="18" r:id="rId18"/>
    <sheet name="Agustus" sheetId="19" r:id="rId19"/>
    <sheet name="Trans Agust" sheetId="20" r:id="rId20"/>
    <sheet name="September" sheetId="21" r:id="rId21"/>
    <sheet name="Trans Sept" sheetId="22" r:id="rId22"/>
    <sheet name="Oktober" sheetId="23" r:id="rId23"/>
    <sheet name="Trans Okt" sheetId="24" r:id="rId24"/>
  </sheets>
  <definedNames>
    <definedName name="StartingBalance" localSheetId="18">Agustus!$L$8</definedName>
    <definedName name="StartingBalance" localSheetId="10">April!$L$8</definedName>
    <definedName name="StartingBalance" localSheetId="6">February!$L$8</definedName>
    <definedName name="StartingBalance" localSheetId="16">Juli!$L$8</definedName>
    <definedName name="StartingBalance" localSheetId="14">Juni!$L$8</definedName>
    <definedName name="StartingBalance" localSheetId="8">March!$L$8</definedName>
    <definedName name="StartingBalance" localSheetId="12">Mei!$L$8</definedName>
    <definedName name="StartingBalance" localSheetId="22">Oktober!$L$8</definedName>
    <definedName name="StartingBalance" localSheetId="20">September!$L$8</definedName>
    <definedName name="StartingBalance">January!$L$8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5" l="1"/>
  <c r="F29" i="5" s="1"/>
  <c r="E28" i="5"/>
  <c r="F28" i="5" s="1"/>
  <c r="L44" i="23"/>
  <c r="K44" i="23"/>
  <c r="E44" i="23"/>
  <c r="L43" i="23"/>
  <c r="K43" i="23"/>
  <c r="F43" i="23"/>
  <c r="L42" i="23"/>
  <c r="K42" i="23"/>
  <c r="E42" i="23"/>
  <c r="F42" i="23" s="1"/>
  <c r="L41" i="23"/>
  <c r="K41" i="23"/>
  <c r="E41" i="23"/>
  <c r="F41" i="23" s="1"/>
  <c r="L40" i="23"/>
  <c r="K40" i="23"/>
  <c r="E40" i="23"/>
  <c r="F40" i="23" s="1"/>
  <c r="L39" i="23"/>
  <c r="K39" i="23"/>
  <c r="E39" i="23"/>
  <c r="F39" i="23" s="1"/>
  <c r="L38" i="23"/>
  <c r="K38" i="23"/>
  <c r="E38" i="23"/>
  <c r="F38" i="23" s="1"/>
  <c r="L37" i="23"/>
  <c r="K37" i="23"/>
  <c r="E37" i="23"/>
  <c r="F37" i="23" s="1"/>
  <c r="L36" i="23"/>
  <c r="K36" i="23"/>
  <c r="E36" i="23"/>
  <c r="F36" i="23" s="1"/>
  <c r="L35" i="23"/>
  <c r="K35" i="23"/>
  <c r="E35" i="23"/>
  <c r="F35" i="23" s="1"/>
  <c r="K34" i="23"/>
  <c r="L34" i="23" s="1"/>
  <c r="E34" i="23"/>
  <c r="F34" i="23" s="1"/>
  <c r="K33" i="23"/>
  <c r="L33" i="23" s="1"/>
  <c r="E33" i="23"/>
  <c r="F33" i="23" s="1"/>
  <c r="K32" i="23"/>
  <c r="L32" i="23" s="1"/>
  <c r="E32" i="23"/>
  <c r="F32" i="23" s="1"/>
  <c r="K31" i="23"/>
  <c r="L31" i="23" s="1"/>
  <c r="E31" i="23"/>
  <c r="F31" i="23" s="1"/>
  <c r="K30" i="23"/>
  <c r="L30" i="23" s="1"/>
  <c r="E30" i="23"/>
  <c r="F30" i="23" s="1"/>
  <c r="K29" i="23"/>
  <c r="L29" i="23" s="1"/>
  <c r="E29" i="23"/>
  <c r="F29" i="23" s="1"/>
  <c r="K28" i="23"/>
  <c r="L28" i="23" s="1"/>
  <c r="E28" i="23"/>
  <c r="F28" i="23" s="1"/>
  <c r="L27" i="23"/>
  <c r="K27" i="23"/>
  <c r="F27" i="23"/>
  <c r="E27" i="23"/>
  <c r="E26" i="23" s="1"/>
  <c r="C22" i="23" s="1"/>
  <c r="K26" i="23"/>
  <c r="I22" i="23" s="1"/>
  <c r="J26" i="23"/>
  <c r="D26" i="23"/>
  <c r="J22" i="23"/>
  <c r="D22" i="23"/>
  <c r="J21" i="23"/>
  <c r="I21" i="23"/>
  <c r="D21" i="23"/>
  <c r="C21" i="23"/>
  <c r="I16" i="23"/>
  <c r="E12" i="23"/>
  <c r="D12" i="23"/>
  <c r="L44" i="21"/>
  <c r="K44" i="21"/>
  <c r="L43" i="21"/>
  <c r="K43" i="21"/>
  <c r="F43" i="21"/>
  <c r="L42" i="21"/>
  <c r="K42" i="21"/>
  <c r="E42" i="21"/>
  <c r="F42" i="21" s="1"/>
  <c r="L41" i="21"/>
  <c r="K41" i="21"/>
  <c r="E41" i="21"/>
  <c r="F41" i="21" s="1"/>
  <c r="L40" i="21"/>
  <c r="K40" i="21"/>
  <c r="E40" i="21"/>
  <c r="F40" i="21" s="1"/>
  <c r="L39" i="21"/>
  <c r="K39" i="21"/>
  <c r="E39" i="21"/>
  <c r="F39" i="21" s="1"/>
  <c r="L38" i="21"/>
  <c r="K38" i="21"/>
  <c r="E38" i="21"/>
  <c r="F38" i="21" s="1"/>
  <c r="L37" i="21"/>
  <c r="K37" i="21"/>
  <c r="E37" i="21"/>
  <c r="F37" i="21" s="1"/>
  <c r="L36" i="21"/>
  <c r="K36" i="21"/>
  <c r="E36" i="21"/>
  <c r="F36" i="21" s="1"/>
  <c r="L35" i="21"/>
  <c r="K35" i="21"/>
  <c r="E35" i="21"/>
  <c r="F35" i="21" s="1"/>
  <c r="K34" i="21"/>
  <c r="L34" i="21" s="1"/>
  <c r="E34" i="21"/>
  <c r="F34" i="21" s="1"/>
  <c r="K33" i="21"/>
  <c r="L33" i="21" s="1"/>
  <c r="E33" i="21"/>
  <c r="F33" i="21" s="1"/>
  <c r="K32" i="21"/>
  <c r="L32" i="21" s="1"/>
  <c r="E32" i="21"/>
  <c r="F32" i="21" s="1"/>
  <c r="K31" i="21"/>
  <c r="L31" i="21" s="1"/>
  <c r="E31" i="21"/>
  <c r="F31" i="21" s="1"/>
  <c r="K30" i="21"/>
  <c r="L30" i="21" s="1"/>
  <c r="E30" i="21"/>
  <c r="F30" i="21" s="1"/>
  <c r="K29" i="21"/>
  <c r="L5" i="3" s="1"/>
  <c r="E29" i="21"/>
  <c r="F29" i="21" s="1"/>
  <c r="K28" i="21"/>
  <c r="L28" i="21" s="1"/>
  <c r="E28" i="21"/>
  <c r="F28" i="21" s="1"/>
  <c r="L27" i="21"/>
  <c r="K27" i="21"/>
  <c r="K26" i="21" s="1"/>
  <c r="I22" i="21" s="1"/>
  <c r="F27" i="21"/>
  <c r="E27" i="21"/>
  <c r="E26" i="21" s="1"/>
  <c r="C22" i="21" s="1"/>
  <c r="J26" i="21"/>
  <c r="D26" i="21"/>
  <c r="J22" i="21"/>
  <c r="D22" i="21"/>
  <c r="J21" i="21"/>
  <c r="I21" i="21"/>
  <c r="D21" i="21"/>
  <c r="C21" i="21"/>
  <c r="I16" i="21"/>
  <c r="E12" i="21"/>
  <c r="D12" i="21"/>
  <c r="L44" i="19"/>
  <c r="K44" i="19"/>
  <c r="E44" i="19"/>
  <c r="L43" i="19"/>
  <c r="K43" i="19"/>
  <c r="F43" i="19"/>
  <c r="L42" i="19"/>
  <c r="K42" i="19"/>
  <c r="E42" i="19"/>
  <c r="F42" i="19" s="1"/>
  <c r="L41" i="19"/>
  <c r="K41" i="19"/>
  <c r="F41" i="19"/>
  <c r="E41" i="19"/>
  <c r="L40" i="19"/>
  <c r="K40" i="19"/>
  <c r="E40" i="19"/>
  <c r="L39" i="19"/>
  <c r="K39" i="19"/>
  <c r="F39" i="19"/>
  <c r="E39" i="19"/>
  <c r="L38" i="19"/>
  <c r="K38" i="19"/>
  <c r="E38" i="19"/>
  <c r="L37" i="19"/>
  <c r="K37" i="19"/>
  <c r="F37" i="19"/>
  <c r="E37" i="19"/>
  <c r="L36" i="19"/>
  <c r="K36" i="19"/>
  <c r="E36" i="19"/>
  <c r="F36" i="19" s="1"/>
  <c r="L35" i="19"/>
  <c r="K35" i="19"/>
  <c r="F35" i="19"/>
  <c r="E35" i="19"/>
  <c r="L34" i="19"/>
  <c r="K34" i="19"/>
  <c r="E34" i="19"/>
  <c r="F34" i="19" s="1"/>
  <c r="L33" i="19"/>
  <c r="K33" i="19"/>
  <c r="F33" i="19"/>
  <c r="E33" i="19"/>
  <c r="L32" i="19"/>
  <c r="K32" i="19"/>
  <c r="E32" i="19"/>
  <c r="L31" i="19"/>
  <c r="K31" i="19"/>
  <c r="F31" i="19"/>
  <c r="E31" i="19"/>
  <c r="L30" i="19"/>
  <c r="K30" i="19"/>
  <c r="E30" i="19"/>
  <c r="F30" i="19" s="1"/>
  <c r="L29" i="19"/>
  <c r="K29" i="19"/>
  <c r="F29" i="19"/>
  <c r="E29" i="19"/>
  <c r="L28" i="19"/>
  <c r="L26" i="19" s="1"/>
  <c r="K28" i="19"/>
  <c r="E28" i="19"/>
  <c r="L27" i="19"/>
  <c r="K27" i="19"/>
  <c r="K26" i="19" s="1"/>
  <c r="I22" i="19" s="1"/>
  <c r="F27" i="19"/>
  <c r="E27" i="19"/>
  <c r="J26" i="19"/>
  <c r="D26" i="19"/>
  <c r="J22" i="19"/>
  <c r="D22" i="19"/>
  <c r="J21" i="19"/>
  <c r="I21" i="19"/>
  <c r="D21" i="19"/>
  <c r="C21" i="19"/>
  <c r="I16" i="19"/>
  <c r="E12" i="19"/>
  <c r="D12" i="19"/>
  <c r="L44" i="17"/>
  <c r="K44" i="17"/>
  <c r="E44" i="17"/>
  <c r="L43" i="17"/>
  <c r="K43" i="17"/>
  <c r="K26" i="17" s="1"/>
  <c r="I22" i="17" s="1"/>
  <c r="F43" i="17"/>
  <c r="L42" i="17"/>
  <c r="K42" i="17"/>
  <c r="E42" i="17"/>
  <c r="F42" i="17" s="1"/>
  <c r="L41" i="17"/>
  <c r="K41" i="17"/>
  <c r="F41" i="17"/>
  <c r="E41" i="17"/>
  <c r="L40" i="17"/>
  <c r="K40" i="17"/>
  <c r="E40" i="17"/>
  <c r="F40" i="17" s="1"/>
  <c r="L39" i="17"/>
  <c r="K39" i="17"/>
  <c r="F39" i="17"/>
  <c r="E39" i="17"/>
  <c r="L38" i="17"/>
  <c r="K38" i="17"/>
  <c r="E38" i="17"/>
  <c r="F38" i="17" s="1"/>
  <c r="L37" i="17"/>
  <c r="K37" i="17"/>
  <c r="F37" i="17"/>
  <c r="E37" i="17"/>
  <c r="L36" i="17"/>
  <c r="K36" i="17"/>
  <c r="E36" i="17"/>
  <c r="F36" i="17" s="1"/>
  <c r="L35" i="17"/>
  <c r="K35" i="17"/>
  <c r="F35" i="17"/>
  <c r="E35" i="17"/>
  <c r="K34" i="17"/>
  <c r="L34" i="17" s="1"/>
  <c r="E34" i="17"/>
  <c r="F34" i="17" s="1"/>
  <c r="K33" i="17"/>
  <c r="L33" i="17" s="1"/>
  <c r="F33" i="17"/>
  <c r="E33" i="17"/>
  <c r="K32" i="17"/>
  <c r="L32" i="17" s="1"/>
  <c r="E32" i="17"/>
  <c r="F32" i="17" s="1"/>
  <c r="K31" i="17"/>
  <c r="L31" i="17" s="1"/>
  <c r="F31" i="17"/>
  <c r="E31" i="17"/>
  <c r="K30" i="17"/>
  <c r="L30" i="17" s="1"/>
  <c r="E30" i="17"/>
  <c r="F30" i="17" s="1"/>
  <c r="K29" i="17"/>
  <c r="L29" i="17" s="1"/>
  <c r="F29" i="17"/>
  <c r="E29" i="17"/>
  <c r="K28" i="17"/>
  <c r="L28" i="17" s="1"/>
  <c r="E28" i="17"/>
  <c r="F28" i="17" s="1"/>
  <c r="L27" i="17"/>
  <c r="K27" i="17"/>
  <c r="F27" i="17"/>
  <c r="F26" i="17" s="1"/>
  <c r="E27" i="17"/>
  <c r="J26" i="17"/>
  <c r="D26" i="17"/>
  <c r="J22" i="17"/>
  <c r="D22" i="17"/>
  <c r="J21" i="17"/>
  <c r="I21" i="17"/>
  <c r="D21" i="17"/>
  <c r="C21" i="17"/>
  <c r="E18" i="17"/>
  <c r="I16" i="17"/>
  <c r="E12" i="17"/>
  <c r="D12" i="17"/>
  <c r="L44" i="15"/>
  <c r="K44" i="15"/>
  <c r="E44" i="15"/>
  <c r="L43" i="15"/>
  <c r="K43" i="15"/>
  <c r="F43" i="15"/>
  <c r="L42" i="15"/>
  <c r="K42" i="15"/>
  <c r="E42" i="15"/>
  <c r="F42" i="15" s="1"/>
  <c r="L41" i="15"/>
  <c r="K41" i="15"/>
  <c r="E41" i="15"/>
  <c r="F41" i="15" s="1"/>
  <c r="L40" i="15"/>
  <c r="K40" i="15"/>
  <c r="E40" i="15"/>
  <c r="F40" i="15" s="1"/>
  <c r="L39" i="15"/>
  <c r="K39" i="15"/>
  <c r="E39" i="15"/>
  <c r="F39" i="15" s="1"/>
  <c r="L38" i="15"/>
  <c r="K38" i="15"/>
  <c r="E38" i="15"/>
  <c r="F38" i="15" s="1"/>
  <c r="L37" i="15"/>
  <c r="K37" i="15"/>
  <c r="E37" i="15"/>
  <c r="F37" i="15" s="1"/>
  <c r="L36" i="15"/>
  <c r="K36" i="15"/>
  <c r="E36" i="15"/>
  <c r="F36" i="15" s="1"/>
  <c r="L35" i="15"/>
  <c r="K35" i="15"/>
  <c r="I11" i="3" s="1"/>
  <c r="E35" i="15"/>
  <c r="F35" i="15" s="1"/>
  <c r="L34" i="15"/>
  <c r="K34" i="15"/>
  <c r="E34" i="15"/>
  <c r="F34" i="15" s="1"/>
  <c r="K33" i="15"/>
  <c r="L33" i="15" s="1"/>
  <c r="E33" i="15"/>
  <c r="F33" i="15" s="1"/>
  <c r="L32" i="15"/>
  <c r="K32" i="15"/>
  <c r="E32" i="15"/>
  <c r="F32" i="15" s="1"/>
  <c r="K31" i="15"/>
  <c r="L31" i="15" s="1"/>
  <c r="E31" i="15"/>
  <c r="F31" i="15" s="1"/>
  <c r="L30" i="15"/>
  <c r="K30" i="15"/>
  <c r="I6" i="3" s="1"/>
  <c r="E30" i="15"/>
  <c r="F30" i="15" s="1"/>
  <c r="K29" i="15"/>
  <c r="L29" i="15" s="1"/>
  <c r="E29" i="15"/>
  <c r="F29" i="15" s="1"/>
  <c r="L28" i="15"/>
  <c r="L26" i="15" s="1"/>
  <c r="K28" i="15"/>
  <c r="I4" i="3" s="1"/>
  <c r="E28" i="15"/>
  <c r="F28" i="15" s="1"/>
  <c r="F26" i="15" s="1"/>
  <c r="L27" i="15"/>
  <c r="K27" i="15"/>
  <c r="F27" i="15"/>
  <c r="E27" i="15"/>
  <c r="J26" i="15"/>
  <c r="D26" i="15"/>
  <c r="C21" i="15" s="1"/>
  <c r="J22" i="15"/>
  <c r="D22" i="15"/>
  <c r="J21" i="15"/>
  <c r="I21" i="15"/>
  <c r="D21" i="15"/>
  <c r="E18" i="15"/>
  <c r="I16" i="15"/>
  <c r="E12" i="15"/>
  <c r="D12" i="15"/>
  <c r="L44" i="13"/>
  <c r="K44" i="13"/>
  <c r="E44" i="13"/>
  <c r="L43" i="13"/>
  <c r="K43" i="13"/>
  <c r="F43" i="13"/>
  <c r="L42" i="13"/>
  <c r="K42" i="13"/>
  <c r="F42" i="13"/>
  <c r="E42" i="13"/>
  <c r="L41" i="13"/>
  <c r="K41" i="13"/>
  <c r="E41" i="13"/>
  <c r="F41" i="13" s="1"/>
  <c r="L40" i="13"/>
  <c r="K40" i="13"/>
  <c r="E40" i="13"/>
  <c r="H16" i="2" s="1"/>
  <c r="L39" i="13"/>
  <c r="K39" i="13"/>
  <c r="E39" i="13"/>
  <c r="L38" i="13"/>
  <c r="K38" i="13"/>
  <c r="E38" i="13"/>
  <c r="F38" i="13" s="1"/>
  <c r="L37" i="13"/>
  <c r="K37" i="13"/>
  <c r="E37" i="13"/>
  <c r="L36" i="13"/>
  <c r="K36" i="13"/>
  <c r="E36" i="13"/>
  <c r="F36" i="13" s="1"/>
  <c r="L35" i="13"/>
  <c r="K35" i="13"/>
  <c r="H11" i="3" s="1"/>
  <c r="E35" i="13"/>
  <c r="F35" i="13" s="1"/>
  <c r="K34" i="13"/>
  <c r="L34" i="13" s="1"/>
  <c r="E34" i="13"/>
  <c r="F34" i="13" s="1"/>
  <c r="K33" i="13"/>
  <c r="E33" i="13"/>
  <c r="F33" i="13" s="1"/>
  <c r="K32" i="13"/>
  <c r="L32" i="13" s="1"/>
  <c r="F32" i="13"/>
  <c r="E32" i="13"/>
  <c r="H8" i="2" s="1"/>
  <c r="K31" i="13"/>
  <c r="L31" i="13" s="1"/>
  <c r="E31" i="13"/>
  <c r="K30" i="13"/>
  <c r="L30" i="13" s="1"/>
  <c r="F30" i="13"/>
  <c r="E30" i="13"/>
  <c r="K29" i="13"/>
  <c r="L29" i="13" s="1"/>
  <c r="E29" i="13"/>
  <c r="F29" i="13" s="1"/>
  <c r="K28" i="13"/>
  <c r="L28" i="13" s="1"/>
  <c r="F28" i="13"/>
  <c r="E28" i="13"/>
  <c r="L27" i="13"/>
  <c r="K27" i="13"/>
  <c r="F27" i="13"/>
  <c r="E27" i="13"/>
  <c r="K26" i="13"/>
  <c r="I22" i="13" s="1"/>
  <c r="J26" i="13"/>
  <c r="D26" i="13"/>
  <c r="J22" i="13"/>
  <c r="D22" i="13"/>
  <c r="J21" i="13"/>
  <c r="I21" i="13"/>
  <c r="D21" i="13"/>
  <c r="C21" i="13"/>
  <c r="E18" i="13"/>
  <c r="I16" i="13"/>
  <c r="E12" i="13"/>
  <c r="D12" i="13"/>
  <c r="L44" i="11"/>
  <c r="K44" i="11"/>
  <c r="E44" i="11"/>
  <c r="L43" i="11"/>
  <c r="K43" i="11"/>
  <c r="F43" i="11"/>
  <c r="L42" i="11"/>
  <c r="K42" i="11"/>
  <c r="E42" i="11"/>
  <c r="L41" i="11"/>
  <c r="K41" i="11"/>
  <c r="E41" i="11"/>
  <c r="F41" i="11" s="1"/>
  <c r="L40" i="11"/>
  <c r="K40" i="11"/>
  <c r="E40" i="11"/>
  <c r="F40" i="11" s="1"/>
  <c r="L39" i="11"/>
  <c r="K39" i="11"/>
  <c r="E39" i="11"/>
  <c r="F39" i="11" s="1"/>
  <c r="L38" i="11"/>
  <c r="K38" i="11"/>
  <c r="E38" i="11"/>
  <c r="F38" i="11" s="1"/>
  <c r="L37" i="11"/>
  <c r="K37" i="11"/>
  <c r="E37" i="11"/>
  <c r="F37" i="11" s="1"/>
  <c r="L36" i="11"/>
  <c r="K36" i="11"/>
  <c r="E36" i="11"/>
  <c r="L35" i="11"/>
  <c r="K35" i="11"/>
  <c r="G11" i="3" s="1"/>
  <c r="E35" i="11"/>
  <c r="F35" i="11" s="1"/>
  <c r="K34" i="11"/>
  <c r="L34" i="11" s="1"/>
  <c r="E34" i="11"/>
  <c r="K33" i="11"/>
  <c r="L33" i="11" s="1"/>
  <c r="E33" i="11"/>
  <c r="F33" i="11" s="1"/>
  <c r="K32" i="11"/>
  <c r="E32" i="11"/>
  <c r="F32" i="11" s="1"/>
  <c r="L31" i="11"/>
  <c r="K31" i="11"/>
  <c r="E31" i="11"/>
  <c r="F31" i="11" s="1"/>
  <c r="K30" i="11"/>
  <c r="E30" i="11"/>
  <c r="F30" i="11" s="1"/>
  <c r="K29" i="11"/>
  <c r="L29" i="11" s="1"/>
  <c r="E29" i="11"/>
  <c r="F29" i="11" s="1"/>
  <c r="K28" i="11"/>
  <c r="L28" i="11" s="1"/>
  <c r="E28" i="11"/>
  <c r="F28" i="11" s="1"/>
  <c r="L27" i="11"/>
  <c r="K27" i="11"/>
  <c r="F27" i="11"/>
  <c r="E27" i="11"/>
  <c r="J26" i="11"/>
  <c r="D26" i="11"/>
  <c r="J22" i="11"/>
  <c r="D22" i="11"/>
  <c r="J21" i="11"/>
  <c r="I21" i="11"/>
  <c r="D21" i="11"/>
  <c r="C21" i="11"/>
  <c r="E18" i="11"/>
  <c r="I16" i="11"/>
  <c r="E12" i="11"/>
  <c r="D12" i="11"/>
  <c r="L44" i="9"/>
  <c r="K44" i="9"/>
  <c r="E44" i="9"/>
  <c r="L43" i="9"/>
  <c r="K43" i="9"/>
  <c r="F43" i="9"/>
  <c r="L42" i="9"/>
  <c r="K42" i="9"/>
  <c r="E42" i="9"/>
  <c r="F42" i="9" s="1"/>
  <c r="L41" i="9"/>
  <c r="K41" i="9"/>
  <c r="E41" i="9"/>
  <c r="F17" i="2" s="1"/>
  <c r="L40" i="9"/>
  <c r="K40" i="9"/>
  <c r="E40" i="9"/>
  <c r="F40" i="9" s="1"/>
  <c r="L39" i="9"/>
  <c r="K39" i="9"/>
  <c r="E39" i="9"/>
  <c r="F15" i="2" s="1"/>
  <c r="L38" i="9"/>
  <c r="K38" i="9"/>
  <c r="E38" i="9"/>
  <c r="F38" i="9" s="1"/>
  <c r="L37" i="9"/>
  <c r="K37" i="9"/>
  <c r="E37" i="9"/>
  <c r="F37" i="9" s="1"/>
  <c r="L36" i="9"/>
  <c r="K36" i="9"/>
  <c r="E36" i="9"/>
  <c r="F36" i="9" s="1"/>
  <c r="L35" i="9"/>
  <c r="K35" i="9"/>
  <c r="E35" i="9"/>
  <c r="F35" i="9" s="1"/>
  <c r="K34" i="9"/>
  <c r="L34" i="9" s="1"/>
  <c r="E34" i="9"/>
  <c r="F34" i="9" s="1"/>
  <c r="K33" i="9"/>
  <c r="L33" i="9" s="1"/>
  <c r="F33" i="9"/>
  <c r="E33" i="9"/>
  <c r="F9" i="2" s="1"/>
  <c r="K32" i="9"/>
  <c r="L32" i="9" s="1"/>
  <c r="E32" i="9"/>
  <c r="F32" i="9" s="1"/>
  <c r="K31" i="9"/>
  <c r="L31" i="9" s="1"/>
  <c r="E31" i="9"/>
  <c r="F31" i="9" s="1"/>
  <c r="K30" i="9"/>
  <c r="L30" i="9" s="1"/>
  <c r="E30" i="9"/>
  <c r="F30" i="9" s="1"/>
  <c r="K29" i="9"/>
  <c r="F29" i="9"/>
  <c r="E29" i="9"/>
  <c r="K28" i="9"/>
  <c r="L28" i="9" s="1"/>
  <c r="E28" i="9"/>
  <c r="F28" i="9" s="1"/>
  <c r="L27" i="9"/>
  <c r="K27" i="9"/>
  <c r="K26" i="9" s="1"/>
  <c r="I22" i="9" s="1"/>
  <c r="F27" i="9"/>
  <c r="E27" i="9"/>
  <c r="J26" i="9"/>
  <c r="D26" i="9"/>
  <c r="J22" i="9"/>
  <c r="D22" i="9"/>
  <c r="J21" i="9"/>
  <c r="I21" i="9"/>
  <c r="D21" i="9"/>
  <c r="C21" i="9"/>
  <c r="I16" i="9"/>
  <c r="E12" i="9"/>
  <c r="D12" i="9"/>
  <c r="L44" i="7"/>
  <c r="K44" i="7"/>
  <c r="E44" i="7"/>
  <c r="E20" i="2" s="1"/>
  <c r="L43" i="7"/>
  <c r="K43" i="7"/>
  <c r="F43" i="7"/>
  <c r="L42" i="7"/>
  <c r="K42" i="7"/>
  <c r="F42" i="7"/>
  <c r="E42" i="7"/>
  <c r="L41" i="7"/>
  <c r="K41" i="7"/>
  <c r="F41" i="7"/>
  <c r="E41" i="7"/>
  <c r="L40" i="7"/>
  <c r="K40" i="7"/>
  <c r="F40" i="7"/>
  <c r="E40" i="7"/>
  <c r="L39" i="7"/>
  <c r="K39" i="7"/>
  <c r="F39" i="7"/>
  <c r="E39" i="7"/>
  <c r="L38" i="7"/>
  <c r="K38" i="7"/>
  <c r="F38" i="7"/>
  <c r="E38" i="7"/>
  <c r="L37" i="7"/>
  <c r="K37" i="7"/>
  <c r="F37" i="7"/>
  <c r="E37" i="7"/>
  <c r="L36" i="7"/>
  <c r="K36" i="7"/>
  <c r="F36" i="7"/>
  <c r="E36" i="7"/>
  <c r="L35" i="7"/>
  <c r="K35" i="7"/>
  <c r="F35" i="7"/>
  <c r="E35" i="7"/>
  <c r="L34" i="7"/>
  <c r="K34" i="7"/>
  <c r="E10" i="3" s="1"/>
  <c r="F34" i="7"/>
  <c r="E34" i="7"/>
  <c r="L33" i="7"/>
  <c r="K33" i="7"/>
  <c r="F33" i="7"/>
  <c r="E33" i="7"/>
  <c r="K32" i="7"/>
  <c r="E8" i="3" s="1"/>
  <c r="F32" i="7"/>
  <c r="E32" i="7"/>
  <c r="L31" i="7"/>
  <c r="K31" i="7"/>
  <c r="F31" i="7"/>
  <c r="E31" i="7"/>
  <c r="K30" i="7"/>
  <c r="L30" i="7" s="1"/>
  <c r="F30" i="7"/>
  <c r="E30" i="7"/>
  <c r="L29" i="7"/>
  <c r="K29" i="7"/>
  <c r="F29" i="7"/>
  <c r="E29" i="7"/>
  <c r="K28" i="7"/>
  <c r="L28" i="7" s="1"/>
  <c r="F28" i="7"/>
  <c r="E28" i="7"/>
  <c r="L27" i="7"/>
  <c r="K27" i="7"/>
  <c r="F27" i="7"/>
  <c r="F26" i="7" s="1"/>
  <c r="E27" i="7"/>
  <c r="K26" i="7"/>
  <c r="I22" i="7" s="1"/>
  <c r="J26" i="7"/>
  <c r="I21" i="7" s="1"/>
  <c r="D26" i="7"/>
  <c r="J22" i="7"/>
  <c r="D22" i="7"/>
  <c r="J21" i="7"/>
  <c r="D21" i="7"/>
  <c r="C21" i="7"/>
  <c r="I16" i="7"/>
  <c r="E12" i="7"/>
  <c r="D12" i="7"/>
  <c r="L44" i="5"/>
  <c r="K44" i="5"/>
  <c r="E44" i="5"/>
  <c r="L43" i="5"/>
  <c r="K43" i="5"/>
  <c r="F43" i="5"/>
  <c r="L42" i="5"/>
  <c r="K42" i="5"/>
  <c r="E42" i="5"/>
  <c r="F42" i="5" s="1"/>
  <c r="L41" i="5"/>
  <c r="K41" i="5"/>
  <c r="E41" i="5"/>
  <c r="L40" i="5"/>
  <c r="K40" i="5"/>
  <c r="E40" i="5"/>
  <c r="F40" i="5" s="1"/>
  <c r="L39" i="5"/>
  <c r="K39" i="5"/>
  <c r="E39" i="5"/>
  <c r="F39" i="5" s="1"/>
  <c r="L38" i="5"/>
  <c r="K38" i="5"/>
  <c r="E38" i="5"/>
  <c r="F38" i="5" s="1"/>
  <c r="L37" i="5"/>
  <c r="K37" i="5"/>
  <c r="E37" i="5"/>
  <c r="F37" i="5" s="1"/>
  <c r="L36" i="5"/>
  <c r="K36" i="5"/>
  <c r="E36" i="5"/>
  <c r="F36" i="5" s="1"/>
  <c r="L35" i="5"/>
  <c r="K35" i="5"/>
  <c r="E35" i="5"/>
  <c r="K34" i="5"/>
  <c r="L34" i="5" s="1"/>
  <c r="E34" i="5"/>
  <c r="F34" i="5" s="1"/>
  <c r="K33" i="5"/>
  <c r="D9" i="3" s="1"/>
  <c r="E33" i="5"/>
  <c r="K32" i="5"/>
  <c r="L32" i="5" s="1"/>
  <c r="E32" i="5"/>
  <c r="F32" i="5" s="1"/>
  <c r="K31" i="5"/>
  <c r="D7" i="3" s="1"/>
  <c r="E31" i="5"/>
  <c r="F31" i="5" s="1"/>
  <c r="K30" i="5"/>
  <c r="L30" i="5" s="1"/>
  <c r="E30" i="5"/>
  <c r="F30" i="5" s="1"/>
  <c r="K29" i="5"/>
  <c r="D5" i="3" s="1"/>
  <c r="K28" i="5"/>
  <c r="L28" i="5" s="1"/>
  <c r="L27" i="5"/>
  <c r="K27" i="5"/>
  <c r="F27" i="5"/>
  <c r="E27" i="5"/>
  <c r="J26" i="5"/>
  <c r="I21" i="5" s="1"/>
  <c r="D26" i="5"/>
  <c r="C21" i="5" s="1"/>
  <c r="J22" i="5"/>
  <c r="D22" i="5"/>
  <c r="J21" i="5"/>
  <c r="D21" i="5"/>
  <c r="D17" i="5"/>
  <c r="H16" i="5"/>
  <c r="E12" i="5"/>
  <c r="D12" i="5"/>
  <c r="B16" i="4"/>
  <c r="B15" i="4"/>
  <c r="C12" i="4"/>
  <c r="B6" i="4"/>
  <c r="C5" i="4" s="1"/>
  <c r="I4" i="4"/>
  <c r="C4" i="4"/>
  <c r="D1" i="4" s="1"/>
  <c r="I2" i="4"/>
  <c r="C2" i="4"/>
  <c r="I1" i="4"/>
  <c r="I3" i="4" s="1"/>
  <c r="C1" i="4"/>
  <c r="A3" i="4" s="1"/>
  <c r="M11" i="3"/>
  <c r="L11" i="3"/>
  <c r="K11" i="3"/>
  <c r="J11" i="3"/>
  <c r="F11" i="3"/>
  <c r="E11" i="3"/>
  <c r="A11" i="3"/>
  <c r="M10" i="3"/>
  <c r="L10" i="3"/>
  <c r="K10" i="3"/>
  <c r="J10" i="3"/>
  <c r="I10" i="3"/>
  <c r="H10" i="3"/>
  <c r="G10" i="3"/>
  <c r="F10" i="3"/>
  <c r="A10" i="3"/>
  <c r="M9" i="3"/>
  <c r="L9" i="3"/>
  <c r="K9" i="3"/>
  <c r="J9" i="3"/>
  <c r="I9" i="3"/>
  <c r="G9" i="3"/>
  <c r="E9" i="3"/>
  <c r="A9" i="3"/>
  <c r="M8" i="3"/>
  <c r="L8" i="3"/>
  <c r="K8" i="3"/>
  <c r="J8" i="3"/>
  <c r="I8" i="3"/>
  <c r="H8" i="3"/>
  <c r="F8" i="3"/>
  <c r="A8" i="3"/>
  <c r="M7" i="3"/>
  <c r="K7" i="3"/>
  <c r="J7" i="3"/>
  <c r="I7" i="3"/>
  <c r="H7" i="3"/>
  <c r="G7" i="3"/>
  <c r="F7" i="3"/>
  <c r="E7" i="3"/>
  <c r="A7" i="3"/>
  <c r="M6" i="3"/>
  <c r="L6" i="3"/>
  <c r="K6" i="3"/>
  <c r="J6" i="3"/>
  <c r="H6" i="3"/>
  <c r="E6" i="3"/>
  <c r="A6" i="3"/>
  <c r="M5" i="3"/>
  <c r="K5" i="3"/>
  <c r="J5" i="3"/>
  <c r="I5" i="3"/>
  <c r="H5" i="3"/>
  <c r="G5" i="3"/>
  <c r="E5" i="3"/>
  <c r="A5" i="3"/>
  <c r="M4" i="3"/>
  <c r="M3" i="3" s="1"/>
  <c r="L4" i="3"/>
  <c r="K4" i="3"/>
  <c r="J4" i="3"/>
  <c r="F4" i="3"/>
  <c r="E4" i="3"/>
  <c r="E3" i="3" s="1"/>
  <c r="A4" i="3"/>
  <c r="O3" i="3"/>
  <c r="N3" i="3"/>
  <c r="K3" i="3"/>
  <c r="J3" i="3"/>
  <c r="G20" i="2"/>
  <c r="F20" i="2"/>
  <c r="D20" i="2"/>
  <c r="A20" i="2"/>
  <c r="J19" i="2"/>
  <c r="H19" i="2"/>
  <c r="G19" i="2"/>
  <c r="F19" i="2"/>
  <c r="E19" i="2"/>
  <c r="D19" i="2"/>
  <c r="A19" i="2"/>
  <c r="M18" i="2"/>
  <c r="L18" i="2"/>
  <c r="K18" i="2"/>
  <c r="J18" i="2"/>
  <c r="I18" i="2"/>
  <c r="H18" i="2"/>
  <c r="F18" i="2"/>
  <c r="E18" i="2"/>
  <c r="D18" i="2"/>
  <c r="A18" i="2"/>
  <c r="M17" i="2"/>
  <c r="L17" i="2"/>
  <c r="K17" i="2"/>
  <c r="J17" i="2"/>
  <c r="I17" i="2"/>
  <c r="H17" i="2"/>
  <c r="G17" i="2"/>
  <c r="E17" i="2"/>
  <c r="A17" i="2"/>
  <c r="M16" i="2"/>
  <c r="L16" i="2"/>
  <c r="J16" i="2"/>
  <c r="I16" i="2"/>
  <c r="G16" i="2"/>
  <c r="F16" i="2"/>
  <c r="E16" i="2"/>
  <c r="D16" i="2"/>
  <c r="A16" i="2"/>
  <c r="M15" i="2"/>
  <c r="L15" i="2"/>
  <c r="K15" i="2"/>
  <c r="J15" i="2"/>
  <c r="I15" i="2"/>
  <c r="G15" i="2"/>
  <c r="E15" i="2"/>
  <c r="A15" i="2"/>
  <c r="M14" i="2"/>
  <c r="L14" i="2"/>
  <c r="J14" i="2"/>
  <c r="I14" i="2"/>
  <c r="H14" i="2"/>
  <c r="F14" i="2"/>
  <c r="E14" i="2"/>
  <c r="A14" i="2"/>
  <c r="M13" i="2"/>
  <c r="L13" i="2"/>
  <c r="K13" i="2"/>
  <c r="J13" i="2"/>
  <c r="I13" i="2"/>
  <c r="G13" i="2"/>
  <c r="F13" i="2"/>
  <c r="E13" i="2"/>
  <c r="D13" i="2"/>
  <c r="A13" i="2"/>
  <c r="M12" i="2"/>
  <c r="L12" i="2"/>
  <c r="K12" i="2"/>
  <c r="J12" i="2"/>
  <c r="I12" i="2"/>
  <c r="H12" i="2"/>
  <c r="E12" i="2"/>
  <c r="A12" i="2"/>
  <c r="M11" i="2"/>
  <c r="M3" i="2" s="1"/>
  <c r="L11" i="2"/>
  <c r="K11" i="2"/>
  <c r="J11" i="2"/>
  <c r="I11" i="2"/>
  <c r="F11" i="2"/>
  <c r="E11" i="2"/>
  <c r="A11" i="2"/>
  <c r="M10" i="2"/>
  <c r="L10" i="2"/>
  <c r="K10" i="2"/>
  <c r="J10" i="2"/>
  <c r="I10" i="2"/>
  <c r="H10" i="2"/>
  <c r="F10" i="2"/>
  <c r="E10" i="2"/>
  <c r="A10" i="2"/>
  <c r="M9" i="2"/>
  <c r="L9" i="2"/>
  <c r="K9" i="2"/>
  <c r="J9" i="2"/>
  <c r="I9" i="2"/>
  <c r="H9" i="2"/>
  <c r="G9" i="2"/>
  <c r="E9" i="2"/>
  <c r="A9" i="2"/>
  <c r="M8" i="2"/>
  <c r="L8" i="2"/>
  <c r="J8" i="2"/>
  <c r="I8" i="2"/>
  <c r="F8" i="2"/>
  <c r="E8" i="2"/>
  <c r="A8" i="2"/>
  <c r="M7" i="2"/>
  <c r="L7" i="2"/>
  <c r="K7" i="2"/>
  <c r="J7" i="2"/>
  <c r="I7" i="2"/>
  <c r="G7" i="2"/>
  <c r="F7" i="2"/>
  <c r="E7" i="2"/>
  <c r="A7" i="2"/>
  <c r="M6" i="2"/>
  <c r="L6" i="2"/>
  <c r="K6" i="2"/>
  <c r="I6" i="2"/>
  <c r="H6" i="2"/>
  <c r="G6" i="2"/>
  <c r="F6" i="2"/>
  <c r="E6" i="2"/>
  <c r="A6" i="2"/>
  <c r="M5" i="2"/>
  <c r="L5" i="2"/>
  <c r="K5" i="2"/>
  <c r="J5" i="2"/>
  <c r="I5" i="2"/>
  <c r="F5" i="2"/>
  <c r="E5" i="2"/>
  <c r="A5" i="2"/>
  <c r="M4" i="2"/>
  <c r="L4" i="2"/>
  <c r="J4" i="2"/>
  <c r="H4" i="2"/>
  <c r="G4" i="2"/>
  <c r="F4" i="2"/>
  <c r="E4" i="2"/>
  <c r="A4" i="2"/>
  <c r="O3" i="2"/>
  <c r="N3" i="2"/>
  <c r="L3" i="2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D40" i="1"/>
  <c r="D39" i="1"/>
  <c r="D38" i="1"/>
  <c r="C37" i="1"/>
  <c r="C36" i="1"/>
  <c r="C35" i="1"/>
  <c r="C34" i="1"/>
  <c r="C33" i="1"/>
  <c r="C32" i="1"/>
  <c r="C31" i="1"/>
  <c r="L30" i="1"/>
  <c r="K30" i="1"/>
  <c r="J30" i="1"/>
  <c r="I30" i="1"/>
  <c r="D30" i="1"/>
  <c r="C30" i="1"/>
  <c r="O25" i="1"/>
  <c r="N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E24" i="1"/>
  <c r="O23" i="1"/>
  <c r="N23" i="1"/>
  <c r="M23" i="1"/>
  <c r="M25" i="1" s="1"/>
  <c r="L23" i="1"/>
  <c r="L25" i="1" s="1"/>
  <c r="K23" i="1"/>
  <c r="K25" i="1" s="1"/>
  <c r="J23" i="1"/>
  <c r="J25" i="1" s="1"/>
  <c r="I23" i="1"/>
  <c r="H23" i="1"/>
  <c r="G23" i="1"/>
  <c r="F23" i="1"/>
  <c r="E23" i="1"/>
  <c r="E25" i="1" s="1"/>
  <c r="O22" i="1"/>
  <c r="O30" i="1" s="1"/>
  <c r="N22" i="1"/>
  <c r="N30" i="1" s="1"/>
  <c r="M22" i="1"/>
  <c r="M30" i="1" s="1"/>
  <c r="L22" i="1"/>
  <c r="K22" i="1"/>
  <c r="J22" i="1"/>
  <c r="I22" i="1"/>
  <c r="H22" i="1"/>
  <c r="H30" i="1" s="1"/>
  <c r="G22" i="1"/>
  <c r="G30" i="1" s="1"/>
  <c r="F22" i="1"/>
  <c r="F30" i="1" s="1"/>
  <c r="E22" i="1"/>
  <c r="E30" i="1" s="1"/>
  <c r="D22" i="1"/>
  <c r="D56" i="1"/>
  <c r="D34" i="1"/>
  <c r="D58" i="1"/>
  <c r="D32" i="1"/>
  <c r="D36" i="1"/>
  <c r="D53" i="1"/>
  <c r="D10" i="2" l="1"/>
  <c r="D7" i="2"/>
  <c r="D14" i="2"/>
  <c r="P14" i="2" s="1"/>
  <c r="D8" i="2"/>
  <c r="Q8" i="2" s="1"/>
  <c r="E26" i="5"/>
  <c r="C22" i="5" s="1"/>
  <c r="L29" i="5"/>
  <c r="D4" i="3"/>
  <c r="Q4" i="3" s="1"/>
  <c r="D6" i="3"/>
  <c r="Q6" i="3" s="1"/>
  <c r="D8" i="3"/>
  <c r="Q8" i="3" s="1"/>
  <c r="D4" i="2"/>
  <c r="Q4" i="2" s="1"/>
  <c r="D10" i="3"/>
  <c r="D5" i="2"/>
  <c r="Q7" i="2"/>
  <c r="P9" i="3"/>
  <c r="L26" i="13"/>
  <c r="F28" i="19"/>
  <c r="F26" i="19" s="1"/>
  <c r="E26" i="19"/>
  <c r="C22" i="19" s="1"/>
  <c r="F26" i="21"/>
  <c r="G8" i="2"/>
  <c r="G11" i="2"/>
  <c r="P16" i="2"/>
  <c r="L33" i="5"/>
  <c r="F41" i="9"/>
  <c r="K26" i="11"/>
  <c r="I22" i="11" s="1"/>
  <c r="L32" i="11"/>
  <c r="G8" i="3"/>
  <c r="E26" i="13"/>
  <c r="C22" i="13" s="1"/>
  <c r="F40" i="13"/>
  <c r="I3" i="3"/>
  <c r="F40" i="19"/>
  <c r="K16" i="2"/>
  <c r="Q16" i="2" s="1"/>
  <c r="E3" i="2"/>
  <c r="E26" i="7"/>
  <c r="C22" i="7" s="1"/>
  <c r="I4" i="2"/>
  <c r="H11" i="2"/>
  <c r="G4" i="3"/>
  <c r="F39" i="9"/>
  <c r="F26" i="9" s="1"/>
  <c r="F36" i="11"/>
  <c r="G12" i="2"/>
  <c r="K14" i="2"/>
  <c r="F38" i="19"/>
  <c r="L26" i="23"/>
  <c r="D9" i="2"/>
  <c r="F33" i="5"/>
  <c r="D12" i="2"/>
  <c r="H4" i="3"/>
  <c r="H3" i="3" s="1"/>
  <c r="L32" i="7"/>
  <c r="L26" i="7" s="1"/>
  <c r="H9" i="3"/>
  <c r="L33" i="13"/>
  <c r="L26" i="17"/>
  <c r="F26" i="23"/>
  <c r="K4" i="2"/>
  <c r="G5" i="2"/>
  <c r="Q5" i="2" s="1"/>
  <c r="J6" i="2"/>
  <c r="J3" i="2" s="1"/>
  <c r="L31" i="5"/>
  <c r="F35" i="5"/>
  <c r="D11" i="2"/>
  <c r="G6" i="3"/>
  <c r="L30" i="11"/>
  <c r="F42" i="11"/>
  <c r="G18" i="2"/>
  <c r="Q18" i="2" s="1"/>
  <c r="E26" i="15"/>
  <c r="C22" i="15" s="1"/>
  <c r="H5" i="2"/>
  <c r="H3" i="2" s="1"/>
  <c r="F12" i="2"/>
  <c r="F3" i="2" s="1"/>
  <c r="G14" i="2"/>
  <c r="F9" i="3"/>
  <c r="Q9" i="3" s="1"/>
  <c r="L26" i="11"/>
  <c r="F34" i="11"/>
  <c r="F26" i="11" s="1"/>
  <c r="G10" i="2"/>
  <c r="F31" i="13"/>
  <c r="F26" i="13" s="1"/>
  <c r="H7" i="2"/>
  <c r="F39" i="13"/>
  <c r="H15" i="2"/>
  <c r="F32" i="19"/>
  <c r="K8" i="2"/>
  <c r="D6" i="2"/>
  <c r="D15" i="2"/>
  <c r="F6" i="3"/>
  <c r="K26" i="5"/>
  <c r="I22" i="5" s="1"/>
  <c r="D17" i="2"/>
  <c r="F41" i="5"/>
  <c r="E26" i="9"/>
  <c r="C22" i="9" s="1"/>
  <c r="L29" i="9"/>
  <c r="L26" i="9" s="1"/>
  <c r="F5" i="3"/>
  <c r="Q5" i="3" s="1"/>
  <c r="E26" i="11"/>
  <c r="C22" i="11" s="1"/>
  <c r="H13" i="2"/>
  <c r="Q13" i="2" s="1"/>
  <c r="F37" i="13"/>
  <c r="K26" i="15"/>
  <c r="I22" i="15" s="1"/>
  <c r="E26" i="17"/>
  <c r="C22" i="17" s="1"/>
  <c r="L7" i="3"/>
  <c r="P7" i="3" s="1"/>
  <c r="L29" i="21"/>
  <c r="L26" i="21" s="1"/>
  <c r="D50" i="1"/>
  <c r="D47" i="1"/>
  <c r="D54" i="1"/>
  <c r="D48" i="1"/>
  <c r="D45" i="1"/>
  <c r="D31" i="1"/>
  <c r="D33" i="1"/>
  <c r="D35" i="1"/>
  <c r="D44" i="1"/>
  <c r="D37" i="1"/>
  <c r="D51" i="1"/>
  <c r="D49" i="1"/>
  <c r="D46" i="1"/>
  <c r="D57" i="1"/>
  <c r="D52" i="1"/>
  <c r="D55" i="1"/>
  <c r="P10" i="2" l="1"/>
  <c r="Q14" i="2"/>
  <c r="P8" i="2"/>
  <c r="P7" i="2"/>
  <c r="P6" i="3"/>
  <c r="F26" i="5"/>
  <c r="P4" i="3"/>
  <c r="P8" i="3"/>
  <c r="D23" i="1"/>
  <c r="Q10" i="3"/>
  <c r="E17" i="5"/>
  <c r="H13" i="5" s="1"/>
  <c r="H14" i="5" s="1"/>
  <c r="P10" i="3"/>
  <c r="L26" i="5"/>
  <c r="D3" i="3"/>
  <c r="D24" i="1"/>
  <c r="P15" i="2"/>
  <c r="Q15" i="2"/>
  <c r="Q12" i="2"/>
  <c r="P12" i="2"/>
  <c r="F3" i="3"/>
  <c r="P13" i="2"/>
  <c r="Q10" i="2"/>
  <c r="P5" i="2"/>
  <c r="P17" i="2"/>
  <c r="Q17" i="2"/>
  <c r="P5" i="3"/>
  <c r="P6" i="2"/>
  <c r="D3" i="2"/>
  <c r="Q6" i="2"/>
  <c r="P9" i="2"/>
  <c r="Q9" i="2"/>
  <c r="G3" i="3"/>
  <c r="P18" i="2"/>
  <c r="G3" i="2"/>
  <c r="L3" i="3"/>
  <c r="Q7" i="3"/>
  <c r="P11" i="2"/>
  <c r="Q11" i="2"/>
  <c r="K3" i="2"/>
  <c r="I3" i="2"/>
  <c r="P4" i="2"/>
  <c r="P3" i="3" l="1"/>
  <c r="D26" i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H15" i="5"/>
  <c r="L8" i="7"/>
  <c r="D17" i="7" s="1"/>
  <c r="E17" i="7" s="1"/>
  <c r="L8" i="9" s="1"/>
  <c r="D17" i="9" s="1"/>
  <c r="E17" i="9" s="1"/>
  <c r="P23" i="1"/>
  <c r="D25" i="1"/>
  <c r="P25" i="1" s="1"/>
  <c r="Q23" i="1"/>
  <c r="P3" i="2"/>
  <c r="Q24" i="1"/>
  <c r="P24" i="1"/>
  <c r="I13" i="7" l="1"/>
  <c r="I14" i="7" s="1"/>
  <c r="I15" i="7"/>
  <c r="Q25" i="1"/>
  <c r="I15" i="9"/>
  <c r="L8" i="11"/>
  <c r="D17" i="11" s="1"/>
  <c r="E17" i="11" s="1"/>
  <c r="I13" i="9"/>
  <c r="I14" i="9" s="1"/>
  <c r="P26" i="1"/>
  <c r="Q26" i="1"/>
  <c r="I15" i="11" l="1"/>
  <c r="L8" i="13"/>
  <c r="D17" i="13" s="1"/>
  <c r="E17" i="13" s="1"/>
  <c r="I13" i="11"/>
  <c r="I14" i="11" s="1"/>
  <c r="I13" i="13" l="1"/>
  <c r="I14" i="13" s="1"/>
  <c r="L8" i="15"/>
  <c r="D17" i="15" s="1"/>
  <c r="E17" i="15" s="1"/>
  <c r="I15" i="13"/>
  <c r="L8" i="17" l="1"/>
  <c r="D17" i="17" s="1"/>
  <c r="E17" i="17" s="1"/>
  <c r="I15" i="15"/>
  <c r="I13" i="15"/>
  <c r="I14" i="15" s="1"/>
  <c r="I13" i="17" l="1"/>
  <c r="I14" i="17" s="1"/>
  <c r="L8" i="19"/>
  <c r="D17" i="19" s="1"/>
  <c r="E17" i="19" s="1"/>
  <c r="I15" i="17"/>
  <c r="L8" i="21" l="1"/>
  <c r="D17" i="21" s="1"/>
  <c r="E17" i="21" s="1"/>
  <c r="I15" i="19"/>
  <c r="I13" i="19"/>
  <c r="I14" i="19" s="1"/>
  <c r="I15" i="21" l="1"/>
  <c r="L8" i="23"/>
  <c r="D17" i="23" s="1"/>
  <c r="E17" i="23" s="1"/>
  <c r="I13" i="21"/>
  <c r="I14" i="21" s="1"/>
  <c r="I13" i="23" l="1"/>
  <c r="I14" i="23" s="1"/>
  <c r="I1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5" authorId="0" shapeId="0" xr:uid="{00000000-0006-0000-0000-000001000000}">
      <text>
        <r>
          <rPr>
            <sz val="10"/>
            <color rgb="FF000000"/>
            <rFont val="Arial"/>
            <scheme val="minor"/>
          </rPr>
          <t>Total of Income - Expenses</t>
        </r>
      </text>
    </comment>
    <comment ref="C26" authorId="0" shapeId="0" xr:uid="{00000000-0006-0000-0000-000002000000}">
      <text>
        <r>
          <rPr>
            <sz val="10"/>
            <color rgb="FF000000"/>
            <rFont val="Arial"/>
            <scheme val="minor"/>
          </rPr>
          <t>This total includes the 'Starting Balance' from the 'Setup' tab.</t>
        </r>
      </text>
    </comment>
    <comment ref="B31" authorId="0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This formula matches the categories in column C with their locations in the 'Income' tab, then displays the resulting row number. The formula in column D uses it to calculate the values in columns D:Q. </t>
        </r>
      </text>
    </comment>
    <comment ref="B44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This formula matches the categories in column C with their locations in the 'Expenses' tab, then displays the resulting row number. The formula in column D uses it to calculate the values in columns D:Q.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0400-000001000000}">
      <text>
        <r>
          <rPr>
            <sz val="10"/>
            <color rgb="FF000000"/>
            <rFont val="Arial"/>
            <scheme val="minor"/>
          </rPr>
          <t>makan dine-in, take away, grab, jajan exclude supermarket</t>
        </r>
      </text>
    </comment>
    <comment ref="B29" authorId="0" shapeId="0" xr:uid="{00000000-0006-0000-0400-000002000000}">
      <text>
        <r>
          <rPr>
            <sz val="10"/>
            <color rgb="FF000000"/>
            <rFont val="Arial"/>
            <scheme val="minor"/>
          </rPr>
          <t>kado, sumbangan, ngasih orang termasuk ngutangin</t>
        </r>
      </text>
    </comment>
    <comment ref="B30" authorId="0" shapeId="0" xr:uid="{00000000-0006-0000-0400-000003000000}">
      <text>
        <r>
          <rPr>
            <sz val="10"/>
            <color rgb="FF000000"/>
            <rFont val="Arial"/>
            <scheme val="minor"/>
          </rPr>
          <t>biznet, paket m3 berdua</t>
        </r>
      </text>
    </comment>
    <comment ref="B31" authorId="0" shapeId="0" xr:uid="{00000000-0006-0000-0400-000004000000}">
      <text>
        <r>
          <rPr>
            <sz val="10"/>
            <color rgb="FF000000"/>
            <rFont val="Arial"/>
            <scheme val="minor"/>
          </rPr>
          <t>segala tentang asha</t>
        </r>
      </text>
    </comment>
    <comment ref="B32" authorId="0" shapeId="0" xr:uid="{00000000-0006-0000-0400-000005000000}">
      <text>
        <r>
          <rPr>
            <sz val="10"/>
            <color rgb="FF000000"/>
            <rFont val="Arial"/>
            <scheme val="minor"/>
          </rPr>
          <t>bensin, segala tentang motor dan mobil, ongkos lain lain</t>
        </r>
      </text>
    </comment>
    <comment ref="B33" authorId="0" shapeId="0" xr:uid="{00000000-0006-0000-0400-000006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4" authorId="0" shapeId="0" xr:uid="{00000000-0006-0000-0400-000007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5" authorId="0" shapeId="0" xr:uid="{00000000-0006-0000-0400-000008000000}">
      <text>
        <r>
          <rPr>
            <sz val="10"/>
            <color rgb="FF000000"/>
            <rFont val="Arial"/>
            <scheme val="minor"/>
          </rPr>
          <t>belanja kebutuhan rumah</t>
        </r>
      </text>
    </comment>
    <comment ref="B40" authorId="0" shapeId="0" xr:uid="{00000000-0006-0000-0400-000009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  <comment ref="B41" authorId="0" shapeId="0" xr:uid="{00000000-0006-0000-0400-00000A000000}">
      <text>
        <r>
          <rPr>
            <sz val="10"/>
            <color rgb="FF000000"/>
            <rFont val="Arial"/>
            <scheme val="minor"/>
          </rPr>
          <t>ngutangin orang</t>
        </r>
      </text>
    </comment>
    <comment ref="B42" authorId="0" shapeId="0" xr:uid="{00000000-0006-0000-0400-00000B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0600-000001000000}">
      <text>
        <r>
          <rPr>
            <sz val="10"/>
            <color rgb="FF000000"/>
            <rFont val="Arial"/>
            <scheme val="minor"/>
          </rPr>
          <t>makan dine-in, take away, grab, jajan exclude supermarket</t>
        </r>
      </text>
    </comment>
    <comment ref="B29" authorId="0" shapeId="0" xr:uid="{00000000-0006-0000-0600-000002000000}">
      <text>
        <r>
          <rPr>
            <sz val="10"/>
            <color rgb="FF000000"/>
            <rFont val="Arial"/>
            <scheme val="minor"/>
          </rPr>
          <t>kado, sumbangan, ngasih orang termasuk ngutangin</t>
        </r>
      </text>
    </comment>
    <comment ref="B30" authorId="0" shapeId="0" xr:uid="{00000000-0006-0000-0600-000003000000}">
      <text>
        <r>
          <rPr>
            <sz val="10"/>
            <color rgb="FF000000"/>
            <rFont val="Arial"/>
            <scheme val="minor"/>
          </rPr>
          <t>biznet, paket m3 berdua</t>
        </r>
      </text>
    </comment>
    <comment ref="B31" authorId="0" shapeId="0" xr:uid="{00000000-0006-0000-0600-000004000000}">
      <text>
        <r>
          <rPr>
            <sz val="10"/>
            <color rgb="FF000000"/>
            <rFont val="Arial"/>
            <scheme val="minor"/>
          </rPr>
          <t>segala tentang asha</t>
        </r>
      </text>
    </comment>
    <comment ref="B32" authorId="0" shapeId="0" xr:uid="{00000000-0006-0000-0600-000005000000}">
      <text>
        <r>
          <rPr>
            <sz val="10"/>
            <color rgb="FF000000"/>
            <rFont val="Arial"/>
            <scheme val="minor"/>
          </rPr>
          <t>bensin, segala tentang motor dan mobil, ongkos lain lain</t>
        </r>
      </text>
    </comment>
    <comment ref="B33" authorId="0" shapeId="0" xr:uid="{00000000-0006-0000-0600-000006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4" authorId="0" shapeId="0" xr:uid="{00000000-0006-0000-0600-000007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5" authorId="0" shapeId="0" xr:uid="{00000000-0006-0000-0600-000008000000}">
      <text>
        <r>
          <rPr>
            <sz val="10"/>
            <color rgb="FF000000"/>
            <rFont val="Arial"/>
            <scheme val="minor"/>
          </rPr>
          <t>belanja kebutuhan rumah</t>
        </r>
      </text>
    </comment>
    <comment ref="B40" authorId="0" shapeId="0" xr:uid="{00000000-0006-0000-0600-000009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  <comment ref="B41" authorId="0" shapeId="0" xr:uid="{00000000-0006-0000-0600-00000A000000}">
      <text>
        <r>
          <rPr>
            <sz val="10"/>
            <color rgb="FF000000"/>
            <rFont val="Arial"/>
            <scheme val="minor"/>
          </rPr>
          <t>ngutangin orang</t>
        </r>
      </text>
    </comment>
    <comment ref="B42" authorId="0" shapeId="0" xr:uid="{00000000-0006-0000-0600-00000B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0800-000001000000}">
      <text>
        <r>
          <rPr>
            <sz val="10"/>
            <color rgb="FF000000"/>
            <rFont val="Arial"/>
            <scheme val="minor"/>
          </rPr>
          <t>makan dine-in, take away, grab, jajan exclude supermarket</t>
        </r>
      </text>
    </comment>
    <comment ref="B29" authorId="0" shapeId="0" xr:uid="{00000000-0006-0000-0800-000002000000}">
      <text>
        <r>
          <rPr>
            <sz val="10"/>
            <color rgb="FF000000"/>
            <rFont val="Arial"/>
            <scheme val="minor"/>
          </rPr>
          <t>kado, sumbangan, ngasih orang termasuk ngutangin</t>
        </r>
      </text>
    </comment>
    <comment ref="B30" authorId="0" shapeId="0" xr:uid="{00000000-0006-0000-0800-000003000000}">
      <text>
        <r>
          <rPr>
            <sz val="10"/>
            <color rgb="FF000000"/>
            <rFont val="Arial"/>
            <scheme val="minor"/>
          </rPr>
          <t>biznet, paket m3 berdua</t>
        </r>
      </text>
    </comment>
    <comment ref="B31" authorId="0" shapeId="0" xr:uid="{00000000-0006-0000-0800-000004000000}">
      <text>
        <r>
          <rPr>
            <sz val="10"/>
            <color rgb="FF000000"/>
            <rFont val="Arial"/>
            <scheme val="minor"/>
          </rPr>
          <t>segala tentang asha</t>
        </r>
      </text>
    </comment>
    <comment ref="B32" authorId="0" shapeId="0" xr:uid="{00000000-0006-0000-0800-000005000000}">
      <text>
        <r>
          <rPr>
            <sz val="10"/>
            <color rgb="FF000000"/>
            <rFont val="Arial"/>
            <scheme val="minor"/>
          </rPr>
          <t>bensin, segala tentang motor dan mobil, ongkos lain lain</t>
        </r>
      </text>
    </comment>
    <comment ref="B33" authorId="0" shapeId="0" xr:uid="{00000000-0006-0000-0800-000006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4" authorId="0" shapeId="0" xr:uid="{00000000-0006-0000-0800-000007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5" authorId="0" shapeId="0" xr:uid="{00000000-0006-0000-0800-000008000000}">
      <text>
        <r>
          <rPr>
            <sz val="10"/>
            <color rgb="FF000000"/>
            <rFont val="Arial"/>
            <scheme val="minor"/>
          </rPr>
          <t>belanja kebutuhan rumah</t>
        </r>
      </text>
    </comment>
    <comment ref="B40" authorId="0" shapeId="0" xr:uid="{00000000-0006-0000-0800-000009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  <comment ref="B41" authorId="0" shapeId="0" xr:uid="{00000000-0006-0000-0800-00000A000000}">
      <text>
        <r>
          <rPr>
            <sz val="10"/>
            <color rgb="FF000000"/>
            <rFont val="Arial"/>
            <scheme val="minor"/>
          </rPr>
          <t>ngutangin orang</t>
        </r>
      </text>
    </comment>
    <comment ref="B42" authorId="0" shapeId="0" xr:uid="{00000000-0006-0000-0800-00000B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0A00-000001000000}">
      <text>
        <r>
          <rPr>
            <sz val="10"/>
            <color rgb="FF000000"/>
            <rFont val="Arial"/>
            <scheme val="minor"/>
          </rPr>
          <t>makan dine-in, take away, grab, jajan exclude supermarket</t>
        </r>
      </text>
    </comment>
    <comment ref="B29" authorId="0" shapeId="0" xr:uid="{00000000-0006-0000-0A00-000002000000}">
      <text>
        <r>
          <rPr>
            <sz val="10"/>
            <color rgb="FF000000"/>
            <rFont val="Arial"/>
            <scheme val="minor"/>
          </rPr>
          <t>kado, sumbangan, ngasih orang termasuk ngutangin</t>
        </r>
      </text>
    </comment>
    <comment ref="B30" authorId="0" shapeId="0" xr:uid="{00000000-0006-0000-0A00-000003000000}">
      <text>
        <r>
          <rPr>
            <sz val="10"/>
            <color rgb="FF000000"/>
            <rFont val="Arial"/>
            <scheme val="minor"/>
          </rPr>
          <t>biznet, paket m3 berdua</t>
        </r>
      </text>
    </comment>
    <comment ref="B31" authorId="0" shapeId="0" xr:uid="{00000000-0006-0000-0A00-000004000000}">
      <text>
        <r>
          <rPr>
            <sz val="10"/>
            <color rgb="FF000000"/>
            <rFont val="Arial"/>
            <scheme val="minor"/>
          </rPr>
          <t>segala tentang asha</t>
        </r>
      </text>
    </comment>
    <comment ref="B32" authorId="0" shapeId="0" xr:uid="{00000000-0006-0000-0A00-000005000000}">
      <text>
        <r>
          <rPr>
            <sz val="10"/>
            <color rgb="FF000000"/>
            <rFont val="Arial"/>
            <scheme val="minor"/>
          </rPr>
          <t>bensin, segala tentang motor dan mobil, ongkos lain lain</t>
        </r>
      </text>
    </comment>
    <comment ref="B33" authorId="0" shapeId="0" xr:uid="{00000000-0006-0000-0A00-000006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4" authorId="0" shapeId="0" xr:uid="{00000000-0006-0000-0A00-000007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5" authorId="0" shapeId="0" xr:uid="{00000000-0006-0000-0A00-000008000000}">
      <text>
        <r>
          <rPr>
            <sz val="10"/>
            <color rgb="FF000000"/>
            <rFont val="Arial"/>
            <scheme val="minor"/>
          </rPr>
          <t>belanja kebutuhan rumah</t>
        </r>
      </text>
    </comment>
    <comment ref="B40" authorId="0" shapeId="0" xr:uid="{00000000-0006-0000-0A00-000009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  <comment ref="B41" authorId="0" shapeId="0" xr:uid="{00000000-0006-0000-0A00-00000A000000}">
      <text>
        <r>
          <rPr>
            <sz val="10"/>
            <color rgb="FF000000"/>
            <rFont val="Arial"/>
            <scheme val="minor"/>
          </rPr>
          <t>ngutangin orang</t>
        </r>
      </text>
    </comment>
    <comment ref="B42" authorId="0" shapeId="0" xr:uid="{00000000-0006-0000-0A00-00000B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0C00-000001000000}">
      <text>
        <r>
          <rPr>
            <sz val="10"/>
            <color rgb="FF000000"/>
            <rFont val="Arial"/>
            <scheme val="minor"/>
          </rPr>
          <t>makan dine-in, take away, grab, jajan exclude supermarket</t>
        </r>
      </text>
    </comment>
    <comment ref="B29" authorId="0" shapeId="0" xr:uid="{00000000-0006-0000-0C00-000002000000}">
      <text>
        <r>
          <rPr>
            <sz val="10"/>
            <color rgb="FF000000"/>
            <rFont val="Arial"/>
            <scheme val="minor"/>
          </rPr>
          <t>kado, sumbangan, ngasih orang termasuk ngutangin</t>
        </r>
      </text>
    </comment>
    <comment ref="B30" authorId="0" shapeId="0" xr:uid="{00000000-0006-0000-0C00-000003000000}">
      <text>
        <r>
          <rPr>
            <sz val="10"/>
            <color rgb="FF000000"/>
            <rFont val="Arial"/>
            <scheme val="minor"/>
          </rPr>
          <t>biznet, paket m3 berdua</t>
        </r>
      </text>
    </comment>
    <comment ref="B31" authorId="0" shapeId="0" xr:uid="{00000000-0006-0000-0C00-000004000000}">
      <text>
        <r>
          <rPr>
            <sz val="10"/>
            <color rgb="FF000000"/>
            <rFont val="Arial"/>
            <scheme val="minor"/>
          </rPr>
          <t>segala tentang asha</t>
        </r>
      </text>
    </comment>
    <comment ref="B32" authorId="0" shapeId="0" xr:uid="{00000000-0006-0000-0C00-000005000000}">
      <text>
        <r>
          <rPr>
            <sz val="10"/>
            <color rgb="FF000000"/>
            <rFont val="Arial"/>
            <scheme val="minor"/>
          </rPr>
          <t>bensin, segala tentang motor dan mobil, ongkos lain lain</t>
        </r>
      </text>
    </comment>
    <comment ref="B33" authorId="0" shapeId="0" xr:uid="{00000000-0006-0000-0C00-000006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4" authorId="0" shapeId="0" xr:uid="{00000000-0006-0000-0C00-000007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5" authorId="0" shapeId="0" xr:uid="{00000000-0006-0000-0C00-000008000000}">
      <text>
        <r>
          <rPr>
            <sz val="10"/>
            <color rgb="FF000000"/>
            <rFont val="Arial"/>
            <scheme val="minor"/>
          </rPr>
          <t>belanja kebutuhan rumah</t>
        </r>
      </text>
    </comment>
    <comment ref="B40" authorId="0" shapeId="0" xr:uid="{00000000-0006-0000-0C00-000009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  <comment ref="B41" authorId="0" shapeId="0" xr:uid="{00000000-0006-0000-0C00-00000A000000}">
      <text>
        <r>
          <rPr>
            <sz val="10"/>
            <color rgb="FF000000"/>
            <rFont val="Arial"/>
            <scheme val="minor"/>
          </rPr>
          <t>ngutangin orang</t>
        </r>
      </text>
    </comment>
    <comment ref="B42" authorId="0" shapeId="0" xr:uid="{00000000-0006-0000-0C00-00000B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0E00-000001000000}">
      <text>
        <r>
          <rPr>
            <sz val="10"/>
            <color rgb="FF000000"/>
            <rFont val="Arial"/>
            <scheme val="minor"/>
          </rPr>
          <t>makan dine-in, take away, grab, jajan exclude supermarket</t>
        </r>
      </text>
    </comment>
    <comment ref="B29" authorId="0" shapeId="0" xr:uid="{00000000-0006-0000-0E00-000002000000}">
      <text>
        <r>
          <rPr>
            <sz val="10"/>
            <color rgb="FF000000"/>
            <rFont val="Arial"/>
            <scheme val="minor"/>
          </rPr>
          <t>kado, sumbangan, ngasih orang termasuk ngutangin</t>
        </r>
      </text>
    </comment>
    <comment ref="B30" authorId="0" shapeId="0" xr:uid="{00000000-0006-0000-0E00-000003000000}">
      <text>
        <r>
          <rPr>
            <sz val="10"/>
            <color rgb="FF000000"/>
            <rFont val="Arial"/>
            <scheme val="minor"/>
          </rPr>
          <t>biznet, paket m3 berdua</t>
        </r>
      </text>
    </comment>
    <comment ref="B31" authorId="0" shapeId="0" xr:uid="{00000000-0006-0000-0E00-000004000000}">
      <text>
        <r>
          <rPr>
            <sz val="10"/>
            <color rgb="FF000000"/>
            <rFont val="Arial"/>
            <scheme val="minor"/>
          </rPr>
          <t>segala tentang asha</t>
        </r>
      </text>
    </comment>
    <comment ref="B32" authorId="0" shapeId="0" xr:uid="{00000000-0006-0000-0E00-000005000000}">
      <text>
        <r>
          <rPr>
            <sz val="10"/>
            <color rgb="FF000000"/>
            <rFont val="Arial"/>
            <scheme val="minor"/>
          </rPr>
          <t>bensin, segala tentang motor dan mobil, ongkos lain lain</t>
        </r>
      </text>
    </comment>
    <comment ref="B33" authorId="0" shapeId="0" xr:uid="{00000000-0006-0000-0E00-000006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4" authorId="0" shapeId="0" xr:uid="{00000000-0006-0000-0E00-000007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5" authorId="0" shapeId="0" xr:uid="{00000000-0006-0000-0E00-000008000000}">
      <text>
        <r>
          <rPr>
            <sz val="10"/>
            <color rgb="FF000000"/>
            <rFont val="Arial"/>
            <scheme val="minor"/>
          </rPr>
          <t>belanja kebutuhan rumah</t>
        </r>
      </text>
    </comment>
    <comment ref="B40" authorId="0" shapeId="0" xr:uid="{00000000-0006-0000-0E00-000009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  <comment ref="B41" authorId="0" shapeId="0" xr:uid="{00000000-0006-0000-0E00-00000A000000}">
      <text>
        <r>
          <rPr>
            <sz val="10"/>
            <color rgb="FF000000"/>
            <rFont val="Arial"/>
            <scheme val="minor"/>
          </rPr>
          <t>ngutangin orang</t>
        </r>
      </text>
    </comment>
    <comment ref="B42" authorId="0" shapeId="0" xr:uid="{00000000-0006-0000-0E00-00000B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1000-000001000000}">
      <text>
        <r>
          <rPr>
            <sz val="10"/>
            <color rgb="FF000000"/>
            <rFont val="Arial"/>
            <scheme val="minor"/>
          </rPr>
          <t>makan dine-in, take away, grab, jajan exclude supermarket</t>
        </r>
      </text>
    </comment>
    <comment ref="B29" authorId="0" shapeId="0" xr:uid="{00000000-0006-0000-1000-000002000000}">
      <text>
        <r>
          <rPr>
            <sz val="10"/>
            <color rgb="FF000000"/>
            <rFont val="Arial"/>
            <scheme val="minor"/>
          </rPr>
          <t>kado, sumbangan, ngasih orang termasuk ngutangin</t>
        </r>
      </text>
    </comment>
    <comment ref="B30" authorId="0" shapeId="0" xr:uid="{00000000-0006-0000-1000-000003000000}">
      <text>
        <r>
          <rPr>
            <sz val="10"/>
            <color rgb="FF000000"/>
            <rFont val="Arial"/>
            <scheme val="minor"/>
          </rPr>
          <t>biznet, paket m3 berdua</t>
        </r>
      </text>
    </comment>
    <comment ref="B31" authorId="0" shapeId="0" xr:uid="{00000000-0006-0000-1000-000004000000}">
      <text>
        <r>
          <rPr>
            <sz val="10"/>
            <color rgb="FF000000"/>
            <rFont val="Arial"/>
            <scheme val="minor"/>
          </rPr>
          <t>segala tentang asha</t>
        </r>
      </text>
    </comment>
    <comment ref="B32" authorId="0" shapeId="0" xr:uid="{00000000-0006-0000-1000-000005000000}">
      <text>
        <r>
          <rPr>
            <sz val="10"/>
            <color rgb="FF000000"/>
            <rFont val="Arial"/>
            <scheme val="minor"/>
          </rPr>
          <t>bensin, segala tentang motor dan mobil, ongkos lain lain</t>
        </r>
      </text>
    </comment>
    <comment ref="B33" authorId="0" shapeId="0" xr:uid="{00000000-0006-0000-1000-000006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4" authorId="0" shapeId="0" xr:uid="{00000000-0006-0000-1000-000007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5" authorId="0" shapeId="0" xr:uid="{00000000-0006-0000-1000-000008000000}">
      <text>
        <r>
          <rPr>
            <sz val="10"/>
            <color rgb="FF000000"/>
            <rFont val="Arial"/>
            <scheme val="minor"/>
          </rPr>
          <t>belanja kebutuhan rumah</t>
        </r>
      </text>
    </comment>
    <comment ref="B40" authorId="0" shapeId="0" xr:uid="{00000000-0006-0000-1000-000009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  <comment ref="B41" authorId="0" shapeId="0" xr:uid="{00000000-0006-0000-1000-00000A000000}">
      <text>
        <r>
          <rPr>
            <sz val="10"/>
            <color rgb="FF000000"/>
            <rFont val="Arial"/>
            <scheme val="minor"/>
          </rPr>
          <t>ngutangin orang</t>
        </r>
      </text>
    </comment>
    <comment ref="B42" authorId="0" shapeId="0" xr:uid="{00000000-0006-0000-1000-00000B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1200-000001000000}">
      <text>
        <r>
          <rPr>
            <sz val="10"/>
            <color rgb="FF000000"/>
            <rFont val="Arial"/>
            <scheme val="minor"/>
          </rPr>
          <t>makan dine-in, take away, grab, jajan exclude supermarket</t>
        </r>
      </text>
    </comment>
    <comment ref="B29" authorId="0" shapeId="0" xr:uid="{00000000-0006-0000-1200-000002000000}">
      <text>
        <r>
          <rPr>
            <sz val="10"/>
            <color rgb="FF000000"/>
            <rFont val="Arial"/>
            <scheme val="minor"/>
          </rPr>
          <t>kado, sumbangan, ngasih orang termasuk ngutangin</t>
        </r>
      </text>
    </comment>
    <comment ref="B30" authorId="0" shapeId="0" xr:uid="{00000000-0006-0000-1200-000003000000}">
      <text>
        <r>
          <rPr>
            <sz val="10"/>
            <color rgb="FF000000"/>
            <rFont val="Arial"/>
            <scheme val="minor"/>
          </rPr>
          <t>biznet, paket m3 berdua</t>
        </r>
      </text>
    </comment>
    <comment ref="B31" authorId="0" shapeId="0" xr:uid="{00000000-0006-0000-1200-000004000000}">
      <text>
        <r>
          <rPr>
            <sz val="10"/>
            <color rgb="FF000000"/>
            <rFont val="Arial"/>
            <scheme val="minor"/>
          </rPr>
          <t>segala tentang asha</t>
        </r>
      </text>
    </comment>
    <comment ref="B32" authorId="0" shapeId="0" xr:uid="{00000000-0006-0000-1200-000005000000}">
      <text>
        <r>
          <rPr>
            <sz val="10"/>
            <color rgb="FF000000"/>
            <rFont val="Arial"/>
            <scheme val="minor"/>
          </rPr>
          <t>bensin, segala tentang motor dan mobil, ongkos lain lain</t>
        </r>
      </text>
    </comment>
    <comment ref="B33" authorId="0" shapeId="0" xr:uid="{00000000-0006-0000-1200-000006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4" authorId="0" shapeId="0" xr:uid="{00000000-0006-0000-1200-000007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5" authorId="0" shapeId="0" xr:uid="{00000000-0006-0000-1200-000008000000}">
      <text>
        <r>
          <rPr>
            <sz val="10"/>
            <color rgb="FF000000"/>
            <rFont val="Arial"/>
            <scheme val="minor"/>
          </rPr>
          <t>belanja kebutuhan rumah</t>
        </r>
      </text>
    </comment>
    <comment ref="B40" authorId="0" shapeId="0" xr:uid="{00000000-0006-0000-1200-000009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  <comment ref="B41" authorId="0" shapeId="0" xr:uid="{00000000-0006-0000-1200-00000A000000}">
      <text>
        <r>
          <rPr>
            <sz val="10"/>
            <color rgb="FF000000"/>
            <rFont val="Arial"/>
            <scheme val="minor"/>
          </rPr>
          <t>ngutangin orang</t>
        </r>
      </text>
    </comment>
    <comment ref="B42" authorId="0" shapeId="0" xr:uid="{00000000-0006-0000-1200-00000B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1400-000001000000}">
      <text>
        <r>
          <rPr>
            <sz val="10"/>
            <color rgb="FF000000"/>
            <rFont val="Arial"/>
            <scheme val="minor"/>
          </rPr>
          <t>makan dine-in, take away, grab, jajan exclude supermarket</t>
        </r>
      </text>
    </comment>
    <comment ref="B29" authorId="0" shapeId="0" xr:uid="{00000000-0006-0000-1400-000002000000}">
      <text>
        <r>
          <rPr>
            <sz val="10"/>
            <color rgb="FF000000"/>
            <rFont val="Arial"/>
            <scheme val="minor"/>
          </rPr>
          <t>kado, sumbangan, ngasih orang termasuk ngutangin</t>
        </r>
      </text>
    </comment>
    <comment ref="B30" authorId="0" shapeId="0" xr:uid="{00000000-0006-0000-1400-000003000000}">
      <text>
        <r>
          <rPr>
            <sz val="10"/>
            <color rgb="FF000000"/>
            <rFont val="Arial"/>
            <scheme val="minor"/>
          </rPr>
          <t>biznet, paket m3 berdua</t>
        </r>
      </text>
    </comment>
    <comment ref="B31" authorId="0" shapeId="0" xr:uid="{00000000-0006-0000-1400-000004000000}">
      <text>
        <r>
          <rPr>
            <sz val="10"/>
            <color rgb="FF000000"/>
            <rFont val="Arial"/>
            <scheme val="minor"/>
          </rPr>
          <t>segala tentang asha</t>
        </r>
      </text>
    </comment>
    <comment ref="B32" authorId="0" shapeId="0" xr:uid="{00000000-0006-0000-1400-000005000000}">
      <text>
        <r>
          <rPr>
            <sz val="10"/>
            <color rgb="FF000000"/>
            <rFont val="Arial"/>
            <scheme val="minor"/>
          </rPr>
          <t>bensin, segala tentang motor dan mobil, ongkos lain lain</t>
        </r>
      </text>
    </comment>
    <comment ref="B33" authorId="0" shapeId="0" xr:uid="{00000000-0006-0000-1400-000006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4" authorId="0" shapeId="0" xr:uid="{00000000-0006-0000-1400-000007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5" authorId="0" shapeId="0" xr:uid="{00000000-0006-0000-1400-000008000000}">
      <text>
        <r>
          <rPr>
            <sz val="10"/>
            <color rgb="FF000000"/>
            <rFont val="Arial"/>
            <scheme val="minor"/>
          </rPr>
          <t>belanja kebutuhan rumah</t>
        </r>
      </text>
    </comment>
    <comment ref="B40" authorId="0" shapeId="0" xr:uid="{00000000-0006-0000-1400-000009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  <comment ref="B41" authorId="0" shapeId="0" xr:uid="{00000000-0006-0000-1400-00000A000000}">
      <text>
        <r>
          <rPr>
            <sz val="10"/>
            <color rgb="FF000000"/>
            <rFont val="Arial"/>
            <scheme val="minor"/>
          </rPr>
          <t>ngutangin orang</t>
        </r>
      </text>
    </comment>
    <comment ref="B42" authorId="0" shapeId="0" xr:uid="{00000000-0006-0000-1400-00000B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8" authorId="0" shapeId="0" xr:uid="{00000000-0006-0000-1600-000001000000}">
      <text>
        <r>
          <rPr>
            <sz val="10"/>
            <color rgb="FF000000"/>
            <rFont val="Arial"/>
            <scheme val="minor"/>
          </rPr>
          <t>makan dine-in, take away, grab, jajan exclude supermarket</t>
        </r>
      </text>
    </comment>
    <comment ref="B29" authorId="0" shapeId="0" xr:uid="{00000000-0006-0000-1600-000002000000}">
      <text>
        <r>
          <rPr>
            <sz val="10"/>
            <color rgb="FF000000"/>
            <rFont val="Arial"/>
            <scheme val="minor"/>
          </rPr>
          <t>kado, sumbangan, ngasih orang termasuk ngutangin</t>
        </r>
      </text>
    </comment>
    <comment ref="B30" authorId="0" shapeId="0" xr:uid="{00000000-0006-0000-1600-000003000000}">
      <text>
        <r>
          <rPr>
            <sz val="10"/>
            <color rgb="FF000000"/>
            <rFont val="Arial"/>
            <scheme val="minor"/>
          </rPr>
          <t>biznet, paket m3 berdua</t>
        </r>
      </text>
    </comment>
    <comment ref="B31" authorId="0" shapeId="0" xr:uid="{00000000-0006-0000-1600-000004000000}">
      <text>
        <r>
          <rPr>
            <sz val="10"/>
            <color rgb="FF000000"/>
            <rFont val="Arial"/>
            <scheme val="minor"/>
          </rPr>
          <t>segala tentang asha</t>
        </r>
      </text>
    </comment>
    <comment ref="B32" authorId="0" shapeId="0" xr:uid="{00000000-0006-0000-1600-000005000000}">
      <text>
        <r>
          <rPr>
            <sz val="10"/>
            <color rgb="FF000000"/>
            <rFont val="Arial"/>
            <scheme val="minor"/>
          </rPr>
          <t>bensin, segala tentang motor dan mobil, ongkos lain lain</t>
        </r>
      </text>
    </comment>
    <comment ref="B33" authorId="0" shapeId="0" xr:uid="{00000000-0006-0000-1600-000006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4" authorId="0" shapeId="0" xr:uid="{00000000-0006-0000-1600-000007000000}">
      <text>
        <r>
          <rPr>
            <sz val="10"/>
            <color rgb="FF000000"/>
            <rFont val="Arial"/>
            <scheme val="minor"/>
          </rPr>
          <t>belanja tersier, main, nonton termasuk akomodasi di luar sppd</t>
        </r>
      </text>
    </comment>
    <comment ref="B35" authorId="0" shapeId="0" xr:uid="{00000000-0006-0000-1600-000008000000}">
      <text>
        <r>
          <rPr>
            <sz val="10"/>
            <color rgb="FF000000"/>
            <rFont val="Arial"/>
            <scheme val="minor"/>
          </rPr>
          <t>belanja kebutuhan rumah</t>
        </r>
      </text>
    </comment>
    <comment ref="B40" authorId="0" shapeId="0" xr:uid="{00000000-0006-0000-1600-000009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  <comment ref="B41" authorId="0" shapeId="0" xr:uid="{00000000-0006-0000-1600-00000A000000}">
      <text>
        <r>
          <rPr>
            <sz val="10"/>
            <color rgb="FF000000"/>
            <rFont val="Arial"/>
            <scheme val="minor"/>
          </rPr>
          <t>ngutangin orang</t>
        </r>
      </text>
    </comment>
    <comment ref="B42" authorId="0" shapeId="0" xr:uid="{00000000-0006-0000-1600-00000B000000}">
      <text>
        <r>
          <rPr>
            <sz val="10"/>
            <color rgb="FF000000"/>
            <rFont val="Arial"/>
            <scheme val="minor"/>
          </rPr>
          <t>kado, sumbangan, ngasih orang</t>
        </r>
      </text>
    </comment>
  </commentList>
</comments>
</file>

<file path=xl/sharedStrings.xml><?xml version="1.0" encoding="utf-8"?>
<sst xmlns="http://schemas.openxmlformats.org/spreadsheetml/2006/main" count="679" uniqueCount="68">
  <si>
    <t>ABOUT THIS SHEET</t>
  </si>
  <si>
    <t>NOTE</t>
  </si>
  <si>
    <t>This sheet generates a summary of your spending based on data in the 'Expenses' and 'Income' tabs.</t>
  </si>
  <si>
    <t>Please don't edit this sheet.</t>
  </si>
  <si>
    <t>Make sure you've set a starting balance in the 'Setup' tab before beginning.</t>
  </si>
  <si>
    <t>It contains formulas and will update automatically.</t>
  </si>
  <si>
    <t>Summary</t>
  </si>
  <si>
    <t>Total</t>
  </si>
  <si>
    <t>Average</t>
  </si>
  <si>
    <t>Income</t>
  </si>
  <si>
    <t>Expenses</t>
  </si>
  <si>
    <t>Net savings</t>
  </si>
  <si>
    <t>Ending balance</t>
  </si>
  <si>
    <t>Row #</t>
  </si>
  <si>
    <t>Monthly totals:</t>
  </si>
  <si>
    <t>Food</t>
  </si>
  <si>
    <t>maksi</t>
  </si>
  <si>
    <t>food</t>
  </si>
  <si>
    <t>makan malam</t>
  </si>
  <si>
    <t>groceries</t>
  </si>
  <si>
    <t>titipku</t>
  </si>
  <si>
    <t>internet</t>
  </si>
  <si>
    <t>mart</t>
  </si>
  <si>
    <t>Groceries</t>
  </si>
  <si>
    <t>Internet</t>
  </si>
  <si>
    <t>Bensin</t>
  </si>
  <si>
    <t>laundry</t>
  </si>
  <si>
    <t>transport</t>
  </si>
  <si>
    <t>GET STARTED</t>
  </si>
  <si>
    <t>Set your starting balance in cell L8, then customize your categories and planned spending amounts in the 'Income' and 'Expenses' tables below.</t>
  </si>
  <si>
    <t>Only edit highlighted cells.</t>
  </si>
  <si>
    <t xml:space="preserve">Try not to alter cells that contain a formula. </t>
  </si>
  <si>
    <t>As you enter data in the 'Transactions' tab, this sheet will automatically update to show a summary of your spending for the month.</t>
  </si>
  <si>
    <t>Monthly Budget 2024</t>
  </si>
  <si>
    <t xml:space="preserve">Starting balance: </t>
  </si>
  <si>
    <t xml:space="preserve">START BALANCE </t>
  </si>
  <si>
    <t xml:space="preserve"> END BALANCE</t>
  </si>
  <si>
    <t>Planned</t>
  </si>
  <si>
    <t>Actual</t>
  </si>
  <si>
    <t>Diff.</t>
  </si>
  <si>
    <t>Totals</t>
  </si>
  <si>
    <t>Savings</t>
  </si>
  <si>
    <t>Paycheck</t>
  </si>
  <si>
    <t>Bonus</t>
  </si>
  <si>
    <t>Kids</t>
  </si>
  <si>
    <t>Interest</t>
  </si>
  <si>
    <t>Transportation</t>
  </si>
  <si>
    <t>Affiliate</t>
  </si>
  <si>
    <t>Shopping</t>
  </si>
  <si>
    <t>IKS</t>
  </si>
  <si>
    <t>Entertain</t>
  </si>
  <si>
    <t>Endorsement</t>
  </si>
  <si>
    <t>Home and Laundry</t>
  </si>
  <si>
    <t>Listrik</t>
  </si>
  <si>
    <t>Health/Bodycare</t>
  </si>
  <si>
    <t>Content dan PP</t>
  </si>
  <si>
    <t>Koperasi</t>
  </si>
  <si>
    <t>Gifts/charity</t>
  </si>
  <si>
    <t>Lending</t>
  </si>
  <si>
    <t>SPPD</t>
  </si>
  <si>
    <t>Change or add categories by updating the Expenses and Income tables in the Summary sheet.</t>
  </si>
  <si>
    <t>Date</t>
  </si>
  <si>
    <t>Amount</t>
  </si>
  <si>
    <t>Description</t>
  </si>
  <si>
    <t>Category</t>
  </si>
  <si>
    <t>Monthly Budget</t>
  </si>
  <si>
    <t/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</si>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</sst>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#,##0"/>
    <numFmt numFmtId="165" formatCode="mmm&quot; &quot;"/>
    <numFmt numFmtId="166" formatCode="mmm&quot; '&quot;yy"/>
    <numFmt numFmtId="167" formatCode="[$Rp]#,##0"/>
    <numFmt numFmtId="168" formatCode="[$£-809]#,##0"/>
    <numFmt numFmtId="169" formatCode="mmm"/>
    <numFmt numFmtId="170" formatCode="dd/mm/yyyy"/>
    <numFmt numFmtId="171" formatCode="d/m/yy"/>
  </numFmts>
  <fonts count="89" x14ac:knownFonts="1">
    <font>
      <sz val="10"/>
      <color rgb="FF000000"/>
      <name val="Arial"/>
      <scheme val="minor"/>
    </font>
    <font>
      <sz val="6"/>
      <color rgb="FFFFFFFF"/>
      <name val="Lato"/>
    </font>
    <font>
      <sz val="6"/>
      <color rgb="FFB7B7B7"/>
      <name val="Lato"/>
    </font>
    <font>
      <sz val="10"/>
      <color theme="1"/>
      <name val="Lato"/>
    </font>
    <font>
      <sz val="10"/>
      <color theme="1"/>
      <name val="Lato"/>
    </font>
    <font>
      <i/>
      <sz val="10"/>
      <color theme="1"/>
      <name val="Lato"/>
    </font>
    <font>
      <b/>
      <sz val="12"/>
      <color theme="1"/>
      <name val="Lato"/>
    </font>
    <font>
      <b/>
      <sz val="10"/>
      <color rgb="FF222222"/>
      <name val="Lato"/>
    </font>
    <font>
      <b/>
      <sz val="9"/>
      <color rgb="FF222222"/>
      <name val="Lato"/>
    </font>
    <font>
      <sz val="9"/>
      <color theme="1"/>
      <name val="Lato"/>
    </font>
    <font>
      <sz val="10"/>
      <color rgb="FF434343"/>
      <name val="Lato"/>
    </font>
    <font>
      <b/>
      <sz val="18"/>
      <color rgb="FFF46524"/>
      <name val="Raleway"/>
    </font>
    <font>
      <b/>
      <sz val="18"/>
      <color rgb="FFF46524"/>
      <name val="Lato"/>
    </font>
    <font>
      <b/>
      <sz val="6"/>
      <color rgb="FFFFFFFF"/>
      <name val="Lato"/>
    </font>
    <font>
      <b/>
      <i/>
      <sz val="6"/>
      <color rgb="FFB7B7B7"/>
      <name val="Lato"/>
    </font>
    <font>
      <b/>
      <sz val="10"/>
      <color rgb="FF334960"/>
      <name val="Lato"/>
    </font>
    <font>
      <b/>
      <sz val="11"/>
      <color rgb="FF334960"/>
      <name val="Lato"/>
    </font>
    <font>
      <b/>
      <i/>
      <sz val="11"/>
      <color rgb="FF666666"/>
      <name val="Lato"/>
    </font>
    <font>
      <b/>
      <sz val="10"/>
      <color rgb="FF334960"/>
      <name val="Lato"/>
    </font>
    <font>
      <sz val="10"/>
      <color rgb="FF576475"/>
      <name val="Lato"/>
    </font>
    <font>
      <i/>
      <sz val="10"/>
      <color rgb="FF6C7687"/>
      <name val="Lato"/>
    </font>
    <font>
      <sz val="10"/>
      <color rgb="FF334960"/>
      <name val="Lato"/>
    </font>
    <font>
      <b/>
      <sz val="10"/>
      <color rgb="FF222222"/>
      <name val="Lato"/>
    </font>
    <font>
      <sz val="10"/>
      <color rgb="FF222222"/>
      <name val="Lato"/>
    </font>
    <font>
      <i/>
      <sz val="10"/>
      <color rgb="FF6C7687"/>
      <name val="Lato"/>
    </font>
    <font>
      <b/>
      <sz val="18"/>
      <color rgb="FF334960"/>
      <name val="Lato"/>
    </font>
    <font>
      <sz val="11"/>
      <color rgb="FF334960"/>
      <name val="Lato"/>
    </font>
    <font>
      <sz val="10"/>
      <color rgb="FF576475"/>
      <name val="Lato"/>
    </font>
    <font>
      <b/>
      <sz val="18"/>
      <color rgb="FF576475"/>
      <name val="Lato"/>
    </font>
    <font>
      <sz val="11"/>
      <color rgb="FF576475"/>
      <name val="Lato"/>
    </font>
    <font>
      <b/>
      <i/>
      <sz val="11"/>
      <color rgb="FF334960"/>
      <name val="Lato"/>
    </font>
    <font>
      <sz val="10"/>
      <color rgb="FF334960"/>
      <name val="Lato"/>
    </font>
    <font>
      <b/>
      <i/>
      <sz val="9"/>
      <color rgb="FF334960"/>
      <name val="Lato"/>
    </font>
    <font>
      <b/>
      <i/>
      <sz val="9"/>
      <color rgb="FF576475"/>
      <name val="Lato"/>
    </font>
    <font>
      <b/>
      <i/>
      <sz val="11"/>
      <color rgb="FF556376"/>
      <name val="Lato"/>
    </font>
    <font>
      <b/>
      <i/>
      <sz val="10"/>
      <color rgb="FFFFFFFF"/>
      <name val="Lato"/>
    </font>
    <font>
      <sz val="10"/>
      <color rgb="FFFFFFFF"/>
      <name val="Lato"/>
    </font>
    <font>
      <b/>
      <sz val="10"/>
      <color rgb="FFFFFFFF"/>
      <name val="Lato"/>
    </font>
    <font>
      <sz val="9"/>
      <color rgb="FFD9D9D9"/>
      <name val="Lato"/>
    </font>
    <font>
      <sz val="9"/>
      <color rgb="FF576475"/>
      <name val="Lato"/>
    </font>
    <font>
      <i/>
      <sz val="9"/>
      <color rgb="FF6C7687"/>
      <name val="Lato"/>
    </font>
    <font>
      <i/>
      <sz val="9"/>
      <color rgb="FF334960"/>
      <name val="Lato"/>
    </font>
    <font>
      <i/>
      <sz val="9"/>
      <color rgb="FFA7B0BF"/>
      <name val="Lato"/>
    </font>
    <font>
      <sz val="9"/>
      <color rgb="FF334960"/>
      <name val="Lato"/>
    </font>
    <font>
      <sz val="10"/>
      <color theme="1"/>
      <name val="Arial"/>
      <scheme val="minor"/>
    </font>
    <font>
      <sz val="9"/>
      <color rgb="FFFFFFFF"/>
      <name val="Lato"/>
    </font>
    <font>
      <b/>
      <sz val="9"/>
      <color rgb="FFFFFFFF"/>
      <name val="Lato"/>
    </font>
    <font>
      <sz val="9"/>
      <color rgb="FFCCCCCC"/>
      <name val="Lato"/>
    </font>
    <font>
      <sz val="10"/>
      <color rgb="FFCCCCCC"/>
      <name val="Lato"/>
    </font>
    <font>
      <i/>
      <sz val="10"/>
      <color rgb="FF334960"/>
      <name val="Lato"/>
    </font>
    <font>
      <i/>
      <sz val="10"/>
      <color rgb="FFCCCCCC"/>
      <name val="Lato"/>
    </font>
    <font>
      <sz val="10"/>
      <color rgb="FFF46524"/>
      <name val="Lato"/>
    </font>
    <font>
      <b/>
      <sz val="25"/>
      <color rgb="FFF46524"/>
      <name val="Raleway"/>
    </font>
    <font>
      <b/>
      <sz val="25"/>
      <color rgb="FF334960"/>
      <name val="Lato"/>
    </font>
    <font>
      <b/>
      <sz val="10"/>
      <color theme="1"/>
      <name val="Lato"/>
    </font>
    <font>
      <sz val="10"/>
      <name val="Arial"/>
    </font>
    <font>
      <sz val="24"/>
      <color rgb="FF334960"/>
      <name val="Lato"/>
    </font>
    <font>
      <b/>
      <sz val="24"/>
      <color rgb="FF334960"/>
      <name val="Lato"/>
    </font>
    <font>
      <i/>
      <sz val="10"/>
      <color rgb="FF576475"/>
      <name val="Lato"/>
    </font>
    <font>
      <b/>
      <sz val="10"/>
      <color theme="1"/>
      <name val="Lato"/>
    </font>
    <font>
      <b/>
      <sz val="14"/>
      <color rgb="FF334960"/>
      <name val="Lato"/>
    </font>
    <font>
      <b/>
      <sz val="14"/>
      <color rgb="FFF46524"/>
      <name val="Lato"/>
    </font>
    <font>
      <i/>
      <sz val="10"/>
      <color rgb="FFF46524"/>
      <name val="Lato"/>
    </font>
    <font>
      <sz val="14"/>
      <color theme="1"/>
      <name val="Lato"/>
    </font>
    <font>
      <b/>
      <sz val="10"/>
      <color rgb="FF576475"/>
      <name val="Lato"/>
    </font>
    <font>
      <b/>
      <sz val="10"/>
      <color rgb="FF666666"/>
      <name val="Lato"/>
    </font>
    <font>
      <sz val="10"/>
      <color rgb="FF666666"/>
      <name val="Lato"/>
    </font>
    <font>
      <b/>
      <sz val="10"/>
      <color rgb="FFF46524"/>
      <name val="Lato"/>
    </font>
    <font>
      <b/>
      <sz val="17"/>
      <color rgb="FFF46524"/>
      <name val="Raleway"/>
    </font>
    <font>
      <b/>
      <sz val="17"/>
      <color rgb="FF334960"/>
      <name val="Lato"/>
    </font>
    <font>
      <sz val="18"/>
      <color rgb="FF334960"/>
      <name val="Lato"/>
    </font>
    <font>
      <i/>
      <sz val="9"/>
      <color rgb="FF687887"/>
      <name val="Lato"/>
    </font>
    <font>
      <b/>
      <sz val="10"/>
      <color rgb="FF434343"/>
      <name val="Lato"/>
    </font>
    <font>
      <sz val="10"/>
      <color rgb="FF687887"/>
      <name val="Lato"/>
    </font>
    <font>
      <b/>
      <sz val="10"/>
      <color rgb="FF434343"/>
      <name val="Lato"/>
    </font>
    <font>
      <sz val="10"/>
      <color rgb="FF434343"/>
      <name val="Lato"/>
    </font>
    <font>
      <i/>
      <sz val="10"/>
      <color rgb="FF708090"/>
      <name val="Lato"/>
    </font>
    <font>
      <sz val="10"/>
      <color rgb="FFF46524"/>
      <name val="Raleway"/>
    </font>
    <font>
      <sz val="10"/>
      <color rgb="FF556376"/>
      <name val="Lato"/>
    </font>
    <font>
      <sz val="10"/>
      <color rgb="FFFF0000"/>
      <name val="Lato"/>
    </font>
    <font>
      <sz val="9"/>
      <color rgb="FF1155CC"/>
      <name val="Arial"/>
    </font>
    <font>
      <sz val="10"/>
      <color rgb="FF556376"/>
      <name val="Lato"/>
    </font>
    <font>
      <b/>
      <sz val="10"/>
      <color rgb="FF980000"/>
      <name val="Lato"/>
    </font>
    <font>
      <sz val="10"/>
      <color rgb="FF980000"/>
      <name val="Lato"/>
    </font>
    <font>
      <sz val="10"/>
      <color rgb="FF000000"/>
      <name val="Lato"/>
    </font>
    <font>
      <b/>
      <sz val="10"/>
      <color rgb="FF000000"/>
      <name val="Lato"/>
    </font>
    <font>
      <b/>
      <sz val="10"/>
      <color rgb="FF134F5C"/>
      <name val="Lato"/>
    </font>
    <font>
      <sz val="10"/>
      <color rgb="FF134F5C"/>
      <name val="Lato"/>
    </font>
    <font>
      <sz val="10"/>
      <color rgb="FFCC0000"/>
      <name val="Lato"/>
    </font>
  </fonts>
  <fills count="9">
    <fill>
      <patternFill patternType="none"/>
    </fill>
    <fill>
      <patternFill patternType="gray125"/>
    </fill>
    <fill>
      <patternFill patternType="solid">
        <fgColor rgb="FF334960"/>
        <bgColor rgb="FF33496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6C7687"/>
        <bgColor rgb="FF6C7687"/>
      </patternFill>
    </fill>
    <fill>
      <patternFill patternType="solid">
        <fgColor rgb="FFFFF2ED"/>
        <bgColor rgb="FFFFF2ED"/>
      </patternFill>
    </fill>
    <fill>
      <patternFill patternType="solid">
        <fgColor rgb="FFEBEDEF"/>
        <bgColor rgb="FFEBEDEF"/>
      </patternFill>
    </fill>
    <fill>
      <patternFill patternType="solid">
        <fgColor rgb="FFFCECE6"/>
        <bgColor rgb="FFFCECE6"/>
      </patternFill>
    </fill>
  </fills>
  <borders count="39">
    <border>
      <left/>
      <right/>
      <top/>
      <bottom/>
      <diagonal/>
    </border>
    <border>
      <left/>
      <right/>
      <top/>
      <bottom style="dotted">
        <color rgb="FFA7B0BF"/>
      </bottom>
      <diagonal/>
    </border>
    <border>
      <left/>
      <right/>
      <top style="dotted">
        <color rgb="FFA7B0B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  <diagonal/>
    </border>
    <border>
      <left/>
      <right/>
      <top/>
      <bottom style="thin">
        <color rgb="FFA7B0B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dotted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  <diagonal/>
    </border>
    <border>
      <left style="thin">
        <color rgb="FFFFFFFF"/>
      </left>
      <right style="thin">
        <color rgb="FFFFFFFF"/>
      </right>
      <top/>
      <bottom style="thin">
        <color rgb="FF6C7687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FFFFFF"/>
      </left>
      <right style="hair">
        <color rgb="FFFFFFFF"/>
      </right>
      <top/>
      <bottom style="hair">
        <color rgb="FFFFFFFF"/>
      </bottom>
      <diagonal/>
    </border>
    <border>
      <left style="hair">
        <color rgb="FFFFFFFF"/>
      </left>
      <right style="thin">
        <color rgb="FFFFFFFF"/>
      </right>
      <top/>
      <bottom style="hair">
        <color rgb="FFFFFFFF"/>
      </bottom>
      <diagonal/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dotted">
        <color rgb="FFB7B7B7"/>
      </right>
      <top/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A7B0B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 style="thin">
        <color rgb="FFFFFFFF"/>
      </left>
      <right/>
      <top style="thin">
        <color rgb="FFA7B0BF"/>
      </top>
      <bottom style="thin">
        <color rgb="FFFFFFFF"/>
      </bottom>
      <diagonal/>
    </border>
    <border>
      <left/>
      <right style="thin">
        <color rgb="FFFFFFFF"/>
      </right>
      <top style="thin">
        <color rgb="FFA7B0BF"/>
      </top>
      <bottom style="thin">
        <color rgb="FFFFFFFF"/>
      </bottom>
      <diagonal/>
    </border>
  </borders>
  <cellStyleXfs count="1">
    <xf numFmtId="0" fontId="0" fillId="0" borderId="0"/>
  </cellStyleXfs>
  <cellXfs count="30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/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0" borderId="1" xfId="0" applyFont="1" applyBorder="1"/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4" borderId="0" xfId="0" applyFont="1" applyFill="1" applyAlignment="1">
      <alignment horizontal="left" vertical="top"/>
    </xf>
    <xf numFmtId="0" fontId="3" fillId="4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2" xfId="0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164" fontId="15" fillId="0" borderId="3" xfId="0" applyNumberFormat="1" applyFont="1" applyBorder="1" applyAlignment="1">
      <alignment vertical="center"/>
    </xf>
    <xf numFmtId="165" fontId="16" fillId="4" borderId="4" xfId="0" applyNumberFormat="1" applyFont="1" applyFill="1" applyBorder="1" applyAlignment="1">
      <alignment horizontal="right" vertical="center"/>
    </xf>
    <xf numFmtId="166" fontId="17" fillId="4" borderId="4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167" fontId="19" fillId="0" borderId="0" xfId="0" applyNumberFormat="1" applyFont="1" applyAlignment="1">
      <alignment horizontal="right" vertical="center"/>
    </xf>
    <xf numFmtId="167" fontId="20" fillId="0" borderId="5" xfId="0" applyNumberFormat="1" applyFont="1" applyBorder="1" applyAlignment="1">
      <alignment horizontal="right" vertical="center"/>
    </xf>
    <xf numFmtId="164" fontId="2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0" fontId="18" fillId="0" borderId="6" xfId="0" applyFont="1" applyBorder="1" applyAlignment="1">
      <alignment vertical="top"/>
    </xf>
    <xf numFmtId="167" fontId="19" fillId="0" borderId="6" xfId="0" applyNumberFormat="1" applyFont="1" applyBorder="1" applyAlignment="1">
      <alignment horizontal="right" vertical="top"/>
    </xf>
    <xf numFmtId="167" fontId="20" fillId="0" borderId="7" xfId="0" applyNumberFormat="1" applyFont="1" applyBorder="1" applyAlignment="1">
      <alignment horizontal="right" vertical="top"/>
    </xf>
    <xf numFmtId="164" fontId="21" fillId="0" borderId="0" xfId="0" applyNumberFormat="1" applyFont="1" applyAlignment="1">
      <alignment horizontal="right" vertical="top"/>
    </xf>
    <xf numFmtId="0" fontId="1" fillId="0" borderId="0" xfId="0" applyFont="1"/>
    <xf numFmtId="0" fontId="2" fillId="0" borderId="0" xfId="0" applyFont="1" applyAlignment="1">
      <alignment horizontal="right"/>
    </xf>
    <xf numFmtId="0" fontId="22" fillId="0" borderId="0" xfId="0" applyFont="1"/>
    <xf numFmtId="167" fontId="19" fillId="0" borderId="0" xfId="0" applyNumberFormat="1" applyFont="1" applyAlignment="1">
      <alignment horizontal="right"/>
    </xf>
    <xf numFmtId="167" fontId="20" fillId="0" borderId="8" xfId="0" applyNumberFormat="1" applyFont="1" applyBorder="1" applyAlignment="1">
      <alignment horizontal="right"/>
    </xf>
    <xf numFmtId="164" fontId="18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167" fontId="23" fillId="0" borderId="0" xfId="0" applyNumberFormat="1" applyFont="1" applyAlignment="1">
      <alignment horizontal="right" vertical="center"/>
    </xf>
    <xf numFmtId="167" fontId="21" fillId="0" borderId="0" xfId="0" applyNumberFormat="1" applyFont="1" applyAlignment="1">
      <alignment horizontal="right" vertical="center"/>
    </xf>
    <xf numFmtId="167" fontId="24" fillId="0" borderId="0" xfId="0" applyNumberFormat="1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167" fontId="25" fillId="0" borderId="0" xfId="0" applyNumberFormat="1" applyFont="1" applyAlignment="1">
      <alignment horizontal="left" vertical="center"/>
    </xf>
    <xf numFmtId="167" fontId="25" fillId="0" borderId="0" xfId="0" applyNumberFormat="1" applyFont="1" applyAlignment="1">
      <alignment horizontal="right" vertical="center"/>
    </xf>
    <xf numFmtId="167" fontId="26" fillId="4" borderId="0" xfId="0" applyNumberFormat="1" applyFont="1" applyFill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164" fontId="15" fillId="0" borderId="8" xfId="0" applyNumberFormat="1" applyFont="1" applyBorder="1" applyAlignment="1">
      <alignment vertical="center"/>
    </xf>
    <xf numFmtId="167" fontId="27" fillId="0" borderId="5" xfId="0" applyNumberFormat="1" applyFont="1" applyBorder="1" applyAlignment="1">
      <alignment horizontal="right" vertical="center"/>
    </xf>
    <xf numFmtId="164" fontId="21" fillId="0" borderId="5" xfId="0" applyNumberFormat="1" applyFont="1" applyBorder="1" applyAlignment="1">
      <alignment horizontal="right" vertical="center"/>
    </xf>
    <xf numFmtId="164" fontId="15" fillId="0" borderId="5" xfId="0" applyNumberFormat="1" applyFont="1" applyBorder="1" applyAlignment="1">
      <alignment vertical="center"/>
    </xf>
    <xf numFmtId="168" fontId="27" fillId="0" borderId="5" xfId="0" applyNumberFormat="1" applyFont="1" applyBorder="1" applyAlignment="1">
      <alignment horizontal="right" vertical="center"/>
    </xf>
    <xf numFmtId="168" fontId="20" fillId="0" borderId="5" xfId="0" applyNumberFormat="1" applyFont="1" applyBorder="1" applyAlignment="1">
      <alignment horizontal="right" vertical="center"/>
    </xf>
    <xf numFmtId="168" fontId="28" fillId="0" borderId="0" xfId="0" applyNumberFormat="1" applyFont="1" applyAlignment="1">
      <alignment horizontal="left" vertical="center"/>
    </xf>
    <xf numFmtId="168" fontId="29" fillId="4" borderId="0" xfId="0" applyNumberFormat="1" applyFont="1" applyFill="1" applyAlignment="1">
      <alignment horizontal="right" vertical="center"/>
    </xf>
    <xf numFmtId="168" fontId="19" fillId="0" borderId="0" xfId="0" applyNumberFormat="1" applyFont="1" applyAlignment="1">
      <alignment horizontal="right"/>
    </xf>
    <xf numFmtId="0" fontId="25" fillId="0" borderId="0" xfId="0" applyFont="1" applyAlignment="1">
      <alignment horizontal="left" vertical="center"/>
    </xf>
    <xf numFmtId="166" fontId="26" fillId="4" borderId="0" xfId="0" applyNumberFormat="1" applyFont="1" applyFill="1" applyAlignment="1">
      <alignment horizontal="right" vertical="center"/>
    </xf>
    <xf numFmtId="0" fontId="21" fillId="0" borderId="0" xfId="0" applyFont="1" applyAlignment="1">
      <alignment horizontal="right"/>
    </xf>
    <xf numFmtId="164" fontId="20" fillId="0" borderId="5" xfId="0" applyNumberFormat="1" applyFont="1" applyBorder="1" applyAlignment="1">
      <alignment horizontal="right" vertical="center"/>
    </xf>
    <xf numFmtId="0" fontId="19" fillId="0" borderId="3" xfId="0" applyFont="1" applyBorder="1" applyAlignment="1">
      <alignment vertical="center"/>
    </xf>
    <xf numFmtId="164" fontId="15" fillId="0" borderId="9" xfId="0" applyNumberFormat="1" applyFont="1" applyBorder="1" applyAlignment="1">
      <alignment vertical="center"/>
    </xf>
    <xf numFmtId="167" fontId="27" fillId="0" borderId="9" xfId="0" applyNumberFormat="1" applyFont="1" applyBorder="1" applyAlignment="1">
      <alignment horizontal="right" vertical="center"/>
    </xf>
    <xf numFmtId="167" fontId="20" fillId="0" borderId="9" xfId="0" applyNumberFormat="1" applyFont="1" applyBorder="1" applyAlignment="1">
      <alignment horizontal="right" vertical="center"/>
    </xf>
    <xf numFmtId="167" fontId="21" fillId="0" borderId="5" xfId="0" applyNumberFormat="1" applyFont="1" applyBorder="1" applyAlignment="1">
      <alignment horizontal="right" vertical="center"/>
    </xf>
    <xf numFmtId="164" fontId="15" fillId="0" borderId="10" xfId="0" applyNumberFormat="1" applyFont="1" applyBorder="1" applyAlignment="1">
      <alignment vertical="center"/>
    </xf>
    <xf numFmtId="167" fontId="20" fillId="0" borderId="10" xfId="0" applyNumberFormat="1" applyFont="1" applyBorder="1" applyAlignment="1">
      <alignment horizontal="right" vertical="center"/>
    </xf>
    <xf numFmtId="167" fontId="27" fillId="0" borderId="10" xfId="0" applyNumberFormat="1" applyFont="1" applyBorder="1" applyAlignment="1">
      <alignment horizontal="right" vertical="center"/>
    </xf>
    <xf numFmtId="164" fontId="21" fillId="0" borderId="8" xfId="0" applyNumberFormat="1" applyFont="1" applyBorder="1" applyAlignment="1">
      <alignment vertical="center"/>
    </xf>
    <xf numFmtId="167" fontId="27" fillId="0" borderId="8" xfId="0" applyNumberFormat="1" applyFont="1" applyBorder="1" applyAlignment="1">
      <alignment horizontal="right" vertical="center"/>
    </xf>
    <xf numFmtId="167" fontId="20" fillId="0" borderId="8" xfId="0" applyNumberFormat="1" applyFont="1" applyBorder="1" applyAlignment="1">
      <alignment horizontal="right" vertical="center"/>
    </xf>
    <xf numFmtId="167" fontId="21" fillId="0" borderId="5" xfId="0" applyNumberFormat="1" applyFont="1" applyBorder="1" applyAlignment="1">
      <alignment vertical="center"/>
    </xf>
    <xf numFmtId="168" fontId="27" fillId="0" borderId="0" xfId="0" applyNumberFormat="1" applyFont="1" applyAlignment="1">
      <alignment horizontal="right" vertical="center"/>
    </xf>
    <xf numFmtId="168" fontId="20" fillId="0" borderId="0" xfId="0" applyNumberFormat="1" applyFont="1" applyAlignment="1">
      <alignment horizontal="right" vertical="center"/>
    </xf>
    <xf numFmtId="168" fontId="21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168" fontId="19" fillId="0" borderId="0" xfId="0" applyNumberFormat="1" applyFont="1"/>
    <xf numFmtId="168" fontId="19" fillId="0" borderId="0" xfId="0" applyNumberFormat="1" applyFont="1" applyAlignment="1">
      <alignment vertical="center"/>
    </xf>
    <xf numFmtId="168" fontId="27" fillId="4" borderId="0" xfId="0" applyNumberFormat="1" applyFont="1" applyFill="1" applyAlignment="1">
      <alignment vertical="center"/>
    </xf>
    <xf numFmtId="168" fontId="24" fillId="0" borderId="0" xfId="0" applyNumberFormat="1" applyFont="1" applyAlignment="1">
      <alignment vertical="center"/>
    </xf>
    <xf numFmtId="0" fontId="30" fillId="2" borderId="11" xfId="0" applyFont="1" applyFill="1" applyBorder="1" applyAlignment="1">
      <alignment horizontal="right" vertical="center"/>
    </xf>
    <xf numFmtId="0" fontId="27" fillId="2" borderId="11" xfId="0" applyFont="1" applyFill="1" applyBorder="1" applyAlignment="1">
      <alignment horizontal="left" vertical="center"/>
    </xf>
    <xf numFmtId="164" fontId="31" fillId="2" borderId="11" xfId="0" applyNumberFormat="1" applyFont="1" applyFill="1" applyBorder="1" applyAlignment="1">
      <alignment horizontal="right" vertical="center"/>
    </xf>
    <xf numFmtId="164" fontId="32" fillId="2" borderId="11" xfId="0" applyNumberFormat="1" applyFont="1" applyFill="1" applyBorder="1" applyAlignment="1">
      <alignment horizontal="right" vertical="center"/>
    </xf>
    <xf numFmtId="0" fontId="32" fillId="2" borderId="11" xfId="0" applyFont="1" applyFill="1" applyBorder="1" applyAlignment="1">
      <alignment horizontal="right" vertical="center"/>
    </xf>
    <xf numFmtId="0" fontId="30" fillId="0" borderId="12" xfId="0" applyFont="1" applyBorder="1" applyAlignment="1">
      <alignment horizontal="right"/>
    </xf>
    <xf numFmtId="0" fontId="11" fillId="0" borderId="12" xfId="0" applyFont="1" applyBorder="1" applyAlignment="1">
      <alignment horizontal="left"/>
    </xf>
    <xf numFmtId="169" fontId="16" fillId="0" borderId="12" xfId="0" applyNumberFormat="1" applyFont="1" applyBorder="1" applyAlignment="1">
      <alignment horizontal="right"/>
    </xf>
    <xf numFmtId="164" fontId="33" fillId="0" borderId="12" xfId="0" applyNumberFormat="1" applyFont="1" applyBorder="1" applyAlignment="1">
      <alignment horizontal="right"/>
    </xf>
    <xf numFmtId="0" fontId="33" fillId="0" borderId="12" xfId="0" applyFont="1" applyBorder="1" applyAlignment="1">
      <alignment horizontal="right"/>
    </xf>
    <xf numFmtId="0" fontId="34" fillId="0" borderId="8" xfId="0" applyFont="1" applyBorder="1" applyAlignment="1">
      <alignment horizontal="right" vertical="center"/>
    </xf>
    <xf numFmtId="0" fontId="34" fillId="0" borderId="13" xfId="0" applyFont="1" applyBorder="1" applyAlignment="1">
      <alignment horizontal="right" vertical="center"/>
    </xf>
    <xf numFmtId="0" fontId="35" fillId="5" borderId="0" xfId="0" applyFont="1" applyFill="1" applyAlignment="1">
      <alignment horizontal="left" vertical="center"/>
    </xf>
    <xf numFmtId="167" fontId="36" fillId="5" borderId="0" xfId="0" applyNumberFormat="1" applyFont="1" applyFill="1" applyAlignment="1">
      <alignment horizontal="right" vertical="center"/>
    </xf>
    <xf numFmtId="167" fontId="37" fillId="5" borderId="0" xfId="0" applyNumberFormat="1" applyFont="1" applyFill="1" applyAlignment="1">
      <alignment horizontal="right" vertical="center"/>
    </xf>
    <xf numFmtId="164" fontId="38" fillId="0" borderId="14" xfId="0" applyNumberFormat="1" applyFont="1" applyBorder="1" applyAlignment="1">
      <alignment horizontal="right" vertical="center"/>
    </xf>
    <xf numFmtId="167" fontId="30" fillId="0" borderId="15" xfId="0" applyNumberFormat="1" applyFont="1" applyBorder="1" applyAlignment="1">
      <alignment horizontal="right" vertical="center"/>
    </xf>
    <xf numFmtId="0" fontId="30" fillId="0" borderId="16" xfId="0" applyFont="1" applyBorder="1" applyAlignment="1">
      <alignment horizontal="right" vertical="center"/>
    </xf>
    <xf numFmtId="0" fontId="31" fillId="0" borderId="0" xfId="0" applyFont="1" applyAlignment="1">
      <alignment horizontal="left" vertical="center"/>
    </xf>
    <xf numFmtId="167" fontId="39" fillId="0" borderId="0" xfId="0" applyNumberFormat="1" applyFont="1" applyAlignment="1">
      <alignment horizontal="right" vertical="center"/>
    </xf>
    <xf numFmtId="167" fontId="40" fillId="0" borderId="0" xfId="0" applyNumberFormat="1" applyFont="1" applyAlignment="1">
      <alignment horizontal="right" vertical="center"/>
    </xf>
    <xf numFmtId="164" fontId="41" fillId="0" borderId="5" xfId="0" applyNumberFormat="1" applyFont="1" applyBorder="1" applyAlignment="1">
      <alignment horizontal="right" vertical="center"/>
    </xf>
    <xf numFmtId="0" fontId="30" fillId="0" borderId="17" xfId="0" applyFont="1" applyBorder="1" applyAlignment="1">
      <alignment horizontal="right" vertical="center"/>
    </xf>
    <xf numFmtId="0" fontId="30" fillId="0" borderId="18" xfId="0" applyFont="1" applyBorder="1" applyAlignment="1">
      <alignment horizontal="right" vertical="center"/>
    </xf>
    <xf numFmtId="167" fontId="42" fillId="0" borderId="0" xfId="0" applyNumberFormat="1" applyFont="1" applyAlignment="1">
      <alignment horizontal="right" vertical="center"/>
    </xf>
    <xf numFmtId="0" fontId="30" fillId="0" borderId="15" xfId="0" applyFont="1" applyBorder="1" applyAlignment="1">
      <alignment horizontal="right" vertical="center"/>
    </xf>
    <xf numFmtId="0" fontId="27" fillId="0" borderId="0" xfId="0" applyFont="1" applyAlignment="1">
      <alignment horizontal="left" vertical="center"/>
    </xf>
    <xf numFmtId="168" fontId="30" fillId="0" borderId="18" xfId="0" applyNumberFormat="1" applyFont="1" applyBorder="1" applyAlignment="1">
      <alignment horizontal="right" vertical="center"/>
    </xf>
    <xf numFmtId="168" fontId="30" fillId="0" borderId="17" xfId="0" applyNumberFormat="1" applyFont="1" applyBorder="1" applyAlignment="1">
      <alignment horizontal="right" vertical="center"/>
    </xf>
    <xf numFmtId="168" fontId="27" fillId="0" borderId="0" xfId="0" applyNumberFormat="1" applyFont="1" applyAlignment="1">
      <alignment horizontal="left" vertical="center"/>
    </xf>
    <xf numFmtId="168" fontId="43" fillId="0" borderId="0" xfId="0" applyNumberFormat="1" applyFont="1" applyAlignment="1">
      <alignment horizontal="right" vertical="center"/>
    </xf>
    <xf numFmtId="168" fontId="41" fillId="0" borderId="0" xfId="0" applyNumberFormat="1" applyFont="1" applyAlignment="1">
      <alignment horizontal="right" vertical="center"/>
    </xf>
    <xf numFmtId="168" fontId="41" fillId="0" borderId="5" xfId="0" applyNumberFormat="1" applyFont="1" applyBorder="1" applyAlignment="1">
      <alignment horizontal="right" vertical="center"/>
    </xf>
    <xf numFmtId="167" fontId="30" fillId="0" borderId="18" xfId="0" applyNumberFormat="1" applyFont="1" applyBorder="1" applyAlignment="1">
      <alignment horizontal="right" vertical="center"/>
    </xf>
    <xf numFmtId="168" fontId="30" fillId="0" borderId="15" xfId="0" applyNumberFormat="1" applyFont="1" applyBorder="1" applyAlignment="1">
      <alignment horizontal="right" vertical="center"/>
    </xf>
    <xf numFmtId="168" fontId="30" fillId="0" borderId="16" xfId="0" applyNumberFormat="1" applyFont="1" applyBorder="1" applyAlignment="1">
      <alignment horizontal="right" vertical="center"/>
    </xf>
    <xf numFmtId="168" fontId="31" fillId="0" borderId="0" xfId="0" applyNumberFormat="1" applyFont="1" applyAlignment="1">
      <alignment horizontal="left" vertical="center"/>
    </xf>
    <xf numFmtId="168" fontId="39" fillId="0" borderId="0" xfId="0" applyNumberFormat="1" applyFont="1" applyAlignment="1">
      <alignment horizontal="right" vertical="center"/>
    </xf>
    <xf numFmtId="168" fontId="42" fillId="0" borderId="0" xfId="0" applyNumberFormat="1" applyFont="1" applyAlignment="1">
      <alignment horizontal="right" vertical="center"/>
    </xf>
    <xf numFmtId="0" fontId="44" fillId="0" borderId="0" xfId="0" applyFont="1"/>
    <xf numFmtId="4" fontId="44" fillId="0" borderId="0" xfId="0" applyNumberFormat="1" applyFont="1"/>
    <xf numFmtId="1" fontId="44" fillId="0" borderId="0" xfId="0" applyNumberFormat="1" applyFont="1"/>
    <xf numFmtId="167" fontId="3" fillId="2" borderId="0" xfId="0" applyNumberFormat="1" applyFont="1" applyFill="1"/>
    <xf numFmtId="167" fontId="3" fillId="2" borderId="0" xfId="0" applyNumberFormat="1" applyFont="1" applyFill="1" applyAlignment="1">
      <alignment horizontal="right"/>
    </xf>
    <xf numFmtId="167" fontId="45" fillId="2" borderId="0" xfId="0" applyNumberFormat="1" applyFont="1" applyFill="1" applyAlignment="1">
      <alignment vertical="center" wrapText="1"/>
    </xf>
    <xf numFmtId="167" fontId="47" fillId="2" borderId="0" xfId="0" applyNumberFormat="1" applyFont="1" applyFill="1" applyAlignment="1">
      <alignment vertical="top" wrapText="1"/>
    </xf>
    <xf numFmtId="167" fontId="48" fillId="2" borderId="0" xfId="0" applyNumberFormat="1" applyFont="1" applyFill="1" applyAlignment="1">
      <alignment horizontal="left" vertical="top" wrapText="1"/>
    </xf>
    <xf numFmtId="167" fontId="48" fillId="2" borderId="0" xfId="0" applyNumberFormat="1" applyFont="1" applyFill="1" applyAlignment="1">
      <alignment vertical="top" wrapText="1"/>
    </xf>
    <xf numFmtId="167" fontId="47" fillId="2" borderId="0" xfId="0" applyNumberFormat="1" applyFont="1" applyFill="1" applyAlignment="1">
      <alignment wrapText="1"/>
    </xf>
    <xf numFmtId="167" fontId="48" fillId="2" borderId="0" xfId="0" applyNumberFormat="1" applyFont="1" applyFill="1" applyAlignment="1">
      <alignment horizontal="left" wrapText="1"/>
    </xf>
    <xf numFmtId="167" fontId="3" fillId="0" borderId="0" xfId="0" applyNumberFormat="1" applyFont="1"/>
    <xf numFmtId="167" fontId="4" fillId="0" borderId="0" xfId="0" applyNumberFormat="1" applyFont="1" applyAlignment="1">
      <alignment vertical="top"/>
    </xf>
    <xf numFmtId="167" fontId="3" fillId="0" borderId="0" xfId="0" applyNumberFormat="1" applyFont="1" applyAlignment="1">
      <alignment vertical="top"/>
    </xf>
    <xf numFmtId="167" fontId="31" fillId="0" borderId="0" xfId="0" applyNumberFormat="1" applyFont="1" applyAlignment="1">
      <alignment vertical="top"/>
    </xf>
    <xf numFmtId="167" fontId="31" fillId="0" borderId="0" xfId="0" applyNumberFormat="1" applyFont="1" applyAlignment="1">
      <alignment horizontal="right" vertical="top"/>
    </xf>
    <xf numFmtId="167" fontId="31" fillId="0" borderId="0" xfId="0" applyNumberFormat="1" applyFont="1"/>
    <xf numFmtId="167" fontId="51" fillId="0" borderId="0" xfId="0" applyNumberFormat="1" applyFont="1" applyAlignment="1">
      <alignment vertical="top"/>
    </xf>
    <xf numFmtId="167" fontId="21" fillId="0" borderId="0" xfId="0" applyNumberFormat="1" applyFont="1" applyAlignment="1">
      <alignment vertical="top"/>
    </xf>
    <xf numFmtId="167" fontId="4" fillId="0" borderId="0" xfId="0" applyNumberFormat="1" applyFont="1"/>
    <xf numFmtId="167" fontId="21" fillId="6" borderId="0" xfId="0" applyNumberFormat="1" applyFont="1" applyFill="1" applyAlignment="1">
      <alignment vertical="center"/>
    </xf>
    <xf numFmtId="167" fontId="49" fillId="0" borderId="0" xfId="0" applyNumberFormat="1" applyFont="1" applyAlignment="1">
      <alignment vertical="top"/>
    </xf>
    <xf numFmtId="167" fontId="53" fillId="4" borderId="0" xfId="0" applyNumberFormat="1" applyFont="1" applyFill="1" applyAlignment="1">
      <alignment horizontal="left" vertical="top"/>
    </xf>
    <xf numFmtId="167" fontId="54" fillId="0" borderId="0" xfId="0" applyNumberFormat="1" applyFont="1"/>
    <xf numFmtId="167" fontId="3" fillId="0" borderId="0" xfId="0" applyNumberFormat="1" applyFont="1" applyAlignment="1">
      <alignment horizontal="left"/>
    </xf>
    <xf numFmtId="167" fontId="4" fillId="7" borderId="19" xfId="0" applyNumberFormat="1" applyFont="1" applyFill="1" applyBorder="1"/>
    <xf numFmtId="167" fontId="4" fillId="7" borderId="20" xfId="0" applyNumberFormat="1" applyFont="1" applyFill="1" applyBorder="1"/>
    <xf numFmtId="167" fontId="3" fillId="7" borderId="21" xfId="0" applyNumberFormat="1" applyFont="1" applyFill="1" applyBorder="1"/>
    <xf numFmtId="167" fontId="4" fillId="7" borderId="23" xfId="0" applyNumberFormat="1" applyFont="1" applyFill="1" applyBorder="1"/>
    <xf numFmtId="167" fontId="4" fillId="7" borderId="0" xfId="0" applyNumberFormat="1" applyFont="1" applyFill="1"/>
    <xf numFmtId="167" fontId="4" fillId="7" borderId="24" xfId="0" applyNumberFormat="1" applyFont="1" applyFill="1" applyBorder="1"/>
    <xf numFmtId="167" fontId="57" fillId="0" borderId="0" xfId="0" applyNumberFormat="1" applyFont="1" applyAlignment="1">
      <alignment horizontal="left"/>
    </xf>
    <xf numFmtId="167" fontId="59" fillId="0" borderId="0" xfId="0" applyNumberFormat="1" applyFont="1"/>
    <xf numFmtId="167" fontId="60" fillId="0" borderId="22" xfId="0" applyNumberFormat="1" applyFont="1" applyBorder="1" applyAlignment="1">
      <alignment horizontal="right"/>
    </xf>
    <xf numFmtId="167" fontId="61" fillId="0" borderId="0" xfId="0" applyNumberFormat="1" applyFont="1" applyAlignment="1">
      <alignment horizontal="left"/>
    </xf>
    <xf numFmtId="167" fontId="58" fillId="0" borderId="0" xfId="0" applyNumberFormat="1" applyFont="1" applyAlignment="1">
      <alignment horizontal="left" vertical="top"/>
    </xf>
    <xf numFmtId="167" fontId="58" fillId="0" borderId="22" xfId="0" applyNumberFormat="1" applyFont="1" applyBorder="1" applyAlignment="1">
      <alignment horizontal="center" vertical="top"/>
    </xf>
    <xf numFmtId="167" fontId="62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vertical="center"/>
    </xf>
    <xf numFmtId="167" fontId="4" fillId="7" borderId="25" xfId="0" applyNumberFormat="1" applyFont="1" applyFill="1" applyBorder="1"/>
    <xf numFmtId="167" fontId="4" fillId="7" borderId="26" xfId="0" applyNumberFormat="1" applyFont="1" applyFill="1" applyBorder="1"/>
    <xf numFmtId="167" fontId="4" fillId="7" borderId="26" xfId="0" applyNumberFormat="1" applyFont="1" applyFill="1" applyBorder="1" applyAlignment="1">
      <alignment vertical="top"/>
    </xf>
    <xf numFmtId="167" fontId="4" fillId="7" borderId="27" xfId="0" applyNumberFormat="1" applyFont="1" applyFill="1" applyBorder="1"/>
    <xf numFmtId="167" fontId="63" fillId="0" borderId="0" xfId="0" applyNumberFormat="1" applyFont="1" applyAlignment="1">
      <alignment vertical="center"/>
    </xf>
    <xf numFmtId="167" fontId="60" fillId="0" borderId="0" xfId="0" applyNumberFormat="1" applyFont="1" applyAlignment="1">
      <alignment horizontal="left" vertical="center"/>
    </xf>
    <xf numFmtId="167" fontId="63" fillId="0" borderId="0" xfId="0" applyNumberFormat="1" applyFont="1" applyAlignment="1">
      <alignment horizontal="right" vertical="center"/>
    </xf>
    <xf numFmtId="167" fontId="27" fillId="0" borderId="0" xfId="0" applyNumberFormat="1" applyFont="1" applyAlignment="1">
      <alignment vertical="center"/>
    </xf>
    <xf numFmtId="167" fontId="64" fillId="0" borderId="0" xfId="0" applyNumberFormat="1" applyFont="1" applyAlignment="1">
      <alignment horizontal="left" vertical="center"/>
    </xf>
    <xf numFmtId="167" fontId="27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vertical="center"/>
    </xf>
    <xf numFmtId="167" fontId="18" fillId="0" borderId="0" xfId="0" applyNumberFormat="1" applyFont="1" applyAlignment="1">
      <alignment horizontal="left" vertical="center"/>
    </xf>
    <xf numFmtId="167" fontId="31" fillId="0" borderId="0" xfId="0" applyNumberFormat="1" applyFont="1" applyAlignment="1">
      <alignment horizontal="right" vertical="center"/>
    </xf>
    <xf numFmtId="167" fontId="65" fillId="0" borderId="0" xfId="0" applyNumberFormat="1" applyFont="1" applyAlignment="1">
      <alignment horizontal="left"/>
    </xf>
    <xf numFmtId="167" fontId="66" fillId="0" borderId="0" xfId="0" applyNumberFormat="1" applyFont="1" applyAlignment="1">
      <alignment horizontal="right"/>
    </xf>
    <xf numFmtId="167" fontId="67" fillId="0" borderId="0" xfId="0" applyNumberFormat="1" applyFont="1" applyAlignment="1">
      <alignment vertical="top"/>
    </xf>
    <xf numFmtId="167" fontId="59" fillId="0" borderId="0" xfId="0" applyNumberFormat="1" applyFont="1" applyAlignment="1">
      <alignment vertical="top"/>
    </xf>
    <xf numFmtId="167" fontId="67" fillId="0" borderId="0" xfId="0" applyNumberFormat="1" applyFont="1" applyAlignment="1">
      <alignment horizontal="right" vertical="top"/>
    </xf>
    <xf numFmtId="167" fontId="11" fillId="0" borderId="0" xfId="0" applyNumberFormat="1" applyFont="1" applyAlignment="1">
      <alignment horizontal="left" vertical="top"/>
    </xf>
    <xf numFmtId="167" fontId="12" fillId="0" borderId="0" xfId="0" applyNumberFormat="1" applyFont="1" applyAlignment="1">
      <alignment horizontal="left" vertical="top"/>
    </xf>
    <xf numFmtId="167" fontId="31" fillId="0" borderId="28" xfId="0" applyNumberFormat="1" applyFont="1" applyBorder="1"/>
    <xf numFmtId="167" fontId="16" fillId="0" borderId="29" xfId="0" applyNumberFormat="1" applyFont="1" applyBorder="1" applyAlignment="1">
      <alignment horizontal="right"/>
    </xf>
    <xf numFmtId="167" fontId="69" fillId="0" borderId="29" xfId="0" applyNumberFormat="1" applyFont="1" applyBorder="1" applyAlignment="1">
      <alignment horizontal="left"/>
    </xf>
    <xf numFmtId="167" fontId="31" fillId="0" borderId="28" xfId="0" applyNumberFormat="1" applyFont="1" applyBorder="1" applyAlignment="1">
      <alignment horizontal="right"/>
    </xf>
    <xf numFmtId="167" fontId="25" fillId="0" borderId="29" xfId="0" applyNumberFormat="1" applyFont="1" applyBorder="1" applyAlignment="1">
      <alignment horizontal="left"/>
    </xf>
    <xf numFmtId="167" fontId="70" fillId="0" borderId="29" xfId="0" applyNumberFormat="1" applyFont="1" applyBorder="1" applyAlignment="1">
      <alignment horizontal="left"/>
    </xf>
    <xf numFmtId="167" fontId="71" fillId="0" borderId="0" xfId="0" applyNumberFormat="1" applyFont="1" applyAlignment="1">
      <alignment vertical="top"/>
    </xf>
    <xf numFmtId="167" fontId="71" fillId="0" borderId="4" xfId="0" applyNumberFormat="1" applyFont="1" applyBorder="1" applyAlignment="1">
      <alignment vertical="top"/>
    </xf>
    <xf numFmtId="167" fontId="71" fillId="0" borderId="4" xfId="0" applyNumberFormat="1" applyFont="1" applyBorder="1" applyAlignment="1">
      <alignment horizontal="right" vertical="top"/>
    </xf>
    <xf numFmtId="167" fontId="71" fillId="0" borderId="0" xfId="0" applyNumberFormat="1" applyFont="1" applyAlignment="1">
      <alignment horizontal="right" vertical="top"/>
    </xf>
    <xf numFmtId="167" fontId="71" fillId="0" borderId="4" xfId="0" applyNumberFormat="1" applyFont="1" applyBorder="1" applyAlignment="1">
      <alignment horizontal="left" vertical="top"/>
    </xf>
    <xf numFmtId="167" fontId="31" fillId="0" borderId="0" xfId="0" applyNumberFormat="1" applyFont="1" applyAlignment="1">
      <alignment vertical="center"/>
    </xf>
    <xf numFmtId="167" fontId="10" fillId="0" borderId="10" xfId="0" applyNumberFormat="1" applyFont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7" fontId="10" fillId="0" borderId="8" xfId="0" applyNumberFormat="1" applyFont="1" applyBorder="1" applyAlignment="1">
      <alignment horizontal="right" vertical="center"/>
    </xf>
    <xf numFmtId="167" fontId="10" fillId="0" borderId="5" xfId="0" applyNumberFormat="1" applyFont="1" applyBorder="1" applyAlignment="1">
      <alignment horizontal="right" vertical="center"/>
    </xf>
    <xf numFmtId="167" fontId="73" fillId="0" borderId="0" xfId="0" applyNumberFormat="1" applyFont="1" applyAlignment="1">
      <alignment horizontal="right" vertical="center"/>
    </xf>
    <xf numFmtId="167" fontId="31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left" vertical="center"/>
    </xf>
    <xf numFmtId="167" fontId="10" fillId="0" borderId="5" xfId="0" applyNumberFormat="1" applyFont="1" applyBorder="1" applyAlignment="1">
      <alignment vertical="center"/>
    </xf>
    <xf numFmtId="167" fontId="75" fillId="0" borderId="5" xfId="0" applyNumberFormat="1" applyFont="1" applyBorder="1"/>
    <xf numFmtId="167" fontId="10" fillId="0" borderId="5" xfId="0" applyNumberFormat="1" applyFont="1" applyBorder="1" applyAlignment="1">
      <alignment horizontal="right"/>
    </xf>
    <xf numFmtId="167" fontId="72" fillId="0" borderId="0" xfId="0" applyNumberFormat="1" applyFont="1" applyAlignment="1">
      <alignment vertical="center"/>
    </xf>
    <xf numFmtId="167" fontId="10" fillId="0" borderId="0" xfId="0" applyNumberFormat="1" applyFont="1" applyAlignment="1">
      <alignment vertical="center"/>
    </xf>
    <xf numFmtId="0" fontId="76" fillId="2" borderId="0" xfId="0" applyFont="1" applyFill="1" applyAlignment="1">
      <alignment vertical="center"/>
    </xf>
    <xf numFmtId="0" fontId="51" fillId="0" borderId="0" xfId="0" applyFont="1"/>
    <xf numFmtId="0" fontId="11" fillId="0" borderId="0" xfId="0" applyFont="1" applyAlignment="1">
      <alignment horizontal="left"/>
    </xf>
    <xf numFmtId="0" fontId="77" fillId="0" borderId="0" xfId="0" applyFont="1" applyAlignment="1">
      <alignment horizontal="right"/>
    </xf>
    <xf numFmtId="0" fontId="77" fillId="0" borderId="0" xfId="0" applyFont="1"/>
    <xf numFmtId="0" fontId="51" fillId="0" borderId="0" xfId="0" applyFont="1" applyAlignment="1">
      <alignment horizontal="right"/>
    </xf>
    <xf numFmtId="0" fontId="3" fillId="0" borderId="34" xfId="0" applyFont="1" applyBorder="1"/>
    <xf numFmtId="167" fontId="3" fillId="0" borderId="34" xfId="0" applyNumberFormat="1" applyFont="1" applyBorder="1" applyAlignment="1">
      <alignment horizontal="right"/>
    </xf>
    <xf numFmtId="0" fontId="3" fillId="0" borderId="34" xfId="0" applyFont="1" applyBorder="1" applyAlignment="1">
      <alignment horizontal="right"/>
    </xf>
    <xf numFmtId="0" fontId="16" fillId="0" borderId="0" xfId="0" applyFont="1" applyAlignment="1">
      <alignment horizontal="left" vertical="center"/>
    </xf>
    <xf numFmtId="170" fontId="73" fillId="0" borderId="35" xfId="0" applyNumberFormat="1" applyFont="1" applyBorder="1" applyAlignment="1">
      <alignment horizontal="left" vertical="center"/>
    </xf>
    <xf numFmtId="167" fontId="64" fillId="0" borderId="35" xfId="0" applyNumberFormat="1" applyFont="1" applyBorder="1" applyAlignment="1">
      <alignment horizontal="right" vertical="center"/>
    </xf>
    <xf numFmtId="0" fontId="78" fillId="0" borderId="35" xfId="0" applyFont="1" applyBorder="1" applyAlignment="1">
      <alignment horizontal="left" vertical="center"/>
    </xf>
    <xf numFmtId="0" fontId="73" fillId="0" borderId="35" xfId="0" applyFont="1" applyBorder="1" applyAlignment="1">
      <alignment horizontal="left" vertical="center"/>
    </xf>
    <xf numFmtId="0" fontId="27" fillId="0" borderId="35" xfId="0" applyFont="1" applyBorder="1" applyAlignment="1">
      <alignment horizontal="left" vertical="center"/>
    </xf>
    <xf numFmtId="167" fontId="64" fillId="0" borderId="36" xfId="0" applyNumberFormat="1" applyFont="1" applyBorder="1" applyAlignment="1">
      <alignment horizontal="right" vertical="center"/>
    </xf>
    <xf numFmtId="0" fontId="78" fillId="0" borderId="36" xfId="0" applyFont="1" applyBorder="1" applyAlignment="1">
      <alignment horizontal="left" vertical="center"/>
    </xf>
    <xf numFmtId="0" fontId="73" fillId="0" borderId="36" xfId="0" applyFont="1" applyBorder="1" applyAlignment="1">
      <alignment horizontal="left" vertical="center"/>
    </xf>
    <xf numFmtId="0" fontId="27" fillId="0" borderId="36" xfId="0" applyFont="1" applyBorder="1" applyAlignment="1">
      <alignment horizontal="left" vertical="center"/>
    </xf>
    <xf numFmtId="170" fontId="73" fillId="0" borderId="36" xfId="0" applyNumberFormat="1" applyFont="1" applyBorder="1" applyAlignment="1">
      <alignment horizontal="left" vertical="center"/>
    </xf>
    <xf numFmtId="14" fontId="73" fillId="0" borderId="36" xfId="0" applyNumberFormat="1" applyFont="1" applyBorder="1" applyAlignment="1">
      <alignment horizontal="left" vertical="center"/>
    </xf>
    <xf numFmtId="14" fontId="73" fillId="0" borderId="35" xfId="0" applyNumberFormat="1" applyFont="1" applyBorder="1" applyAlignment="1">
      <alignment horizontal="left" vertical="center"/>
    </xf>
    <xf numFmtId="14" fontId="73" fillId="0" borderId="0" xfId="0" applyNumberFormat="1" applyFont="1" applyAlignment="1">
      <alignment horizontal="left" vertical="center"/>
    </xf>
    <xf numFmtId="167" fontId="64" fillId="0" borderId="0" xfId="0" applyNumberFormat="1" applyFont="1" applyAlignment="1">
      <alignment horizontal="right" vertical="center"/>
    </xf>
    <xf numFmtId="0" fontId="73" fillId="0" borderId="0" xfId="0" applyFont="1" applyAlignment="1">
      <alignment horizontal="left" vertical="center"/>
    </xf>
    <xf numFmtId="0" fontId="78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left" vertical="center" wrapText="1"/>
    </xf>
    <xf numFmtId="171" fontId="73" fillId="0" borderId="35" xfId="0" applyNumberFormat="1" applyFont="1" applyBorder="1" applyAlignment="1">
      <alignment horizontal="left" vertical="center"/>
    </xf>
    <xf numFmtId="0" fontId="79" fillId="0" borderId="36" xfId="0" applyFont="1" applyBorder="1" applyAlignment="1">
      <alignment horizontal="left" vertical="center"/>
    </xf>
    <xf numFmtId="167" fontId="80" fillId="4" borderId="0" xfId="0" applyNumberFormat="1" applyFont="1" applyFill="1"/>
    <xf numFmtId="0" fontId="81" fillId="0" borderId="36" xfId="0" applyFont="1" applyBorder="1"/>
    <xf numFmtId="167" fontId="82" fillId="6" borderId="36" xfId="0" applyNumberFormat="1" applyFont="1" applyFill="1" applyBorder="1" applyAlignment="1">
      <alignment horizontal="right" vertical="center"/>
    </xf>
    <xf numFmtId="0" fontId="83" fillId="6" borderId="36" xfId="0" applyFont="1" applyFill="1" applyBorder="1" applyAlignment="1">
      <alignment horizontal="left" vertical="center"/>
    </xf>
    <xf numFmtId="0" fontId="84" fillId="0" borderId="36" xfId="0" applyFont="1" applyBorder="1" applyAlignment="1">
      <alignment horizontal="left" vertical="center"/>
    </xf>
    <xf numFmtId="167" fontId="85" fillId="0" borderId="36" xfId="0" applyNumberFormat="1" applyFont="1" applyBorder="1" applyAlignment="1">
      <alignment horizontal="right" vertical="center"/>
    </xf>
    <xf numFmtId="167" fontId="86" fillId="0" borderId="36" xfId="0" applyNumberFormat="1" applyFont="1" applyBorder="1" applyAlignment="1">
      <alignment horizontal="right" vertical="center"/>
    </xf>
    <xf numFmtId="0" fontId="87" fillId="0" borderId="36" xfId="0" applyFont="1" applyBorder="1" applyAlignment="1">
      <alignment horizontal="left" vertical="center"/>
    </xf>
    <xf numFmtId="170" fontId="73" fillId="0" borderId="0" xfId="0" applyNumberFormat="1" applyFont="1" applyAlignment="1">
      <alignment horizontal="left" vertical="center"/>
    </xf>
    <xf numFmtId="0" fontId="88" fillId="0" borderId="36" xfId="0" applyFont="1" applyBorder="1" applyAlignment="1">
      <alignment horizontal="left" vertical="center"/>
    </xf>
    <xf numFmtId="167" fontId="64" fillId="8" borderId="36" xfId="0" applyNumberFormat="1" applyFont="1" applyFill="1" applyBorder="1" applyAlignment="1">
      <alignment horizontal="right" vertical="center"/>
    </xf>
    <xf numFmtId="0" fontId="78" fillId="8" borderId="36" xfId="0" applyFont="1" applyFill="1" applyBorder="1" applyAlignment="1">
      <alignment horizontal="left" vertical="center"/>
    </xf>
    <xf numFmtId="170" fontId="84" fillId="0" borderId="35" xfId="0" applyNumberFormat="1" applyFont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0" fillId="0" borderId="0" xfId="0"/>
    <xf numFmtId="167" fontId="72" fillId="0" borderId="32" xfId="0" applyNumberFormat="1" applyFont="1" applyBorder="1" applyAlignment="1">
      <alignment vertical="center"/>
    </xf>
    <xf numFmtId="0" fontId="55" fillId="0" borderId="33" xfId="0" applyFont="1" applyBorder="1"/>
    <xf numFmtId="167" fontId="46" fillId="2" borderId="0" xfId="0" applyNumberFormat="1" applyFont="1" applyFill="1" applyAlignment="1">
      <alignment vertical="center" wrapText="1"/>
    </xf>
    <xf numFmtId="167" fontId="46" fillId="2" borderId="0" xfId="0" applyNumberFormat="1" applyFont="1" applyFill="1" applyAlignment="1">
      <alignment horizontal="left" vertical="center" wrapText="1"/>
    </xf>
    <xf numFmtId="167" fontId="48" fillId="2" borderId="0" xfId="0" applyNumberFormat="1" applyFont="1" applyFill="1" applyAlignment="1">
      <alignment horizontal="left" vertical="top" wrapText="1"/>
    </xf>
    <xf numFmtId="167" fontId="49" fillId="6" borderId="0" xfId="0" applyNumberFormat="1" applyFont="1" applyFill="1" applyAlignment="1">
      <alignment horizontal="left" vertical="center" wrapText="1"/>
    </xf>
    <xf numFmtId="167" fontId="50" fillId="2" borderId="0" xfId="0" applyNumberFormat="1" applyFont="1" applyFill="1" applyAlignment="1">
      <alignment horizontal="left" vertical="center" wrapText="1"/>
    </xf>
    <xf numFmtId="167" fontId="15" fillId="0" borderId="0" xfId="0" applyNumberFormat="1" applyFont="1" applyAlignment="1">
      <alignment horizontal="right" vertical="center"/>
    </xf>
    <xf numFmtId="167" fontId="52" fillId="4" borderId="0" xfId="0" applyNumberFormat="1" applyFont="1" applyFill="1" applyAlignment="1">
      <alignment horizontal="left" vertical="top"/>
    </xf>
    <xf numFmtId="167" fontId="3" fillId="0" borderId="22" xfId="0" applyNumberFormat="1" applyFont="1" applyBorder="1"/>
    <xf numFmtId="0" fontId="55" fillId="0" borderId="22" xfId="0" applyFont="1" applyBorder="1"/>
    <xf numFmtId="167" fontId="3" fillId="0" borderId="0" xfId="0" applyNumberFormat="1" applyFont="1"/>
    <xf numFmtId="167" fontId="56" fillId="7" borderId="0" xfId="0" applyNumberFormat="1" applyFont="1" applyFill="1" applyAlignment="1">
      <alignment horizontal="center"/>
    </xf>
    <xf numFmtId="167" fontId="58" fillId="7" borderId="6" xfId="0" applyNumberFormat="1" applyFont="1" applyFill="1" applyBorder="1" applyAlignment="1">
      <alignment horizontal="center" vertical="top"/>
    </xf>
    <xf numFmtId="0" fontId="55" fillId="0" borderId="6" xfId="0" applyFont="1" applyBorder="1"/>
    <xf numFmtId="167" fontId="58" fillId="7" borderId="0" xfId="0" applyNumberFormat="1" applyFont="1" applyFill="1" applyAlignment="1">
      <alignment horizontal="center" vertical="top"/>
    </xf>
    <xf numFmtId="167" fontId="4" fillId="7" borderId="0" xfId="0" applyNumberFormat="1" applyFont="1" applyFill="1"/>
    <xf numFmtId="167" fontId="60" fillId="0" borderId="0" xfId="0" applyNumberFormat="1" applyFont="1" applyAlignment="1">
      <alignment horizontal="left" vertical="center"/>
    </xf>
    <xf numFmtId="167" fontId="27" fillId="4" borderId="0" xfId="0" applyNumberFormat="1" applyFont="1" applyFill="1" applyAlignment="1">
      <alignment vertical="center"/>
    </xf>
    <xf numFmtId="167" fontId="21" fillId="0" borderId="0" xfId="0" applyNumberFormat="1" applyFont="1" applyAlignment="1">
      <alignment horizontal="left" vertical="center"/>
    </xf>
    <xf numFmtId="167" fontId="3" fillId="4" borderId="0" xfId="0" applyNumberFormat="1" applyFont="1" applyFill="1"/>
    <xf numFmtId="167" fontId="68" fillId="0" borderId="0" xfId="0" applyNumberFormat="1" applyFont="1" applyAlignment="1">
      <alignment horizontal="left" vertical="top"/>
    </xf>
    <xf numFmtId="167" fontId="72" fillId="0" borderId="30" xfId="0" applyNumberFormat="1" applyFont="1" applyBorder="1" applyAlignment="1">
      <alignment vertical="center"/>
    </xf>
    <xf numFmtId="0" fontId="55" fillId="0" borderId="31" xfId="0" applyFont="1" applyBorder="1"/>
    <xf numFmtId="167" fontId="72" fillId="0" borderId="13" xfId="0" applyNumberFormat="1" applyFont="1" applyBorder="1" applyAlignment="1">
      <alignment vertical="center"/>
    </xf>
    <xf numFmtId="0" fontId="55" fillId="0" borderId="14" xfId="0" applyFont="1" applyBorder="1"/>
    <xf numFmtId="167" fontId="74" fillId="0" borderId="32" xfId="0" applyNumberFormat="1" applyFont="1" applyBorder="1"/>
    <xf numFmtId="0" fontId="50" fillId="2" borderId="0" xfId="0" applyFont="1" applyFill="1" applyAlignment="1">
      <alignment horizontal="left" vertical="center" wrapText="1"/>
    </xf>
    <xf numFmtId="167" fontId="72" fillId="0" borderId="37" xfId="0" applyNumberFormat="1" applyFont="1" applyBorder="1" applyAlignment="1">
      <alignment vertical="center"/>
    </xf>
    <xf numFmtId="0" fontId="55" fillId="0" borderId="38" xfId="0" applyFont="1" applyBorder="1"/>
    <xf numFmtId="167" fontId="71" fillId="0" borderId="4" xfId="0" applyNumberFormat="1" applyFont="1" applyBorder="1" applyAlignment="1">
      <alignment horizontal="left" vertical="top"/>
    </xf>
    <xf numFmtId="167" fontId="16" fillId="0" borderId="29" xfId="0" applyNumberFormat="1" applyFont="1" applyBorder="1" applyAlignment="1">
      <alignment horizontal="center"/>
    </xf>
    <xf numFmtId="167" fontId="56" fillId="7" borderId="23" xfId="0" applyNumberFormat="1" applyFont="1" applyFill="1" applyBorder="1" applyAlignment="1">
      <alignment horizontal="center"/>
    </xf>
    <xf numFmtId="167" fontId="56" fillId="7" borderId="24" xfId="0" applyNumberFormat="1" applyFont="1" applyFill="1" applyBorder="1" applyAlignment="1">
      <alignment horizontal="center"/>
    </xf>
    <xf numFmtId="167" fontId="58" fillId="7" borderId="23" xfId="0" applyNumberFormat="1" applyFont="1" applyFill="1" applyBorder="1" applyAlignment="1">
      <alignment horizontal="center" vertical="top"/>
    </xf>
    <xf numFmtId="167" fontId="58" fillId="7" borderId="0" xfId="0" applyNumberFormat="1" applyFont="1" applyFill="1" applyBorder="1" applyAlignment="1">
      <alignment horizontal="center" vertical="top"/>
    </xf>
    <xf numFmtId="167" fontId="58" fillId="7" borderId="24" xfId="0" applyNumberFormat="1" applyFont="1" applyFill="1" applyBorder="1" applyAlignment="1">
      <alignment horizontal="center" vertical="top"/>
    </xf>
    <xf numFmtId="167" fontId="52" fillId="4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51"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F46524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5.3380000000000004E-2"/>
          <c:y val="0.19128000000000001"/>
          <c:w val="0.90894999999999992"/>
          <c:h val="0.67449999999999999"/>
        </c:manualLayout>
      </c:layout>
      <c:lineChart>
        <c:grouping val="standard"/>
        <c:varyColors val="1"/>
        <c:ser>
          <c:idx val="0"/>
          <c:order val="0"/>
          <c:tx>
            <c:strRef>
              <c:f>'Annual Graphic'!$C$23</c:f>
              <c:strCache>
                <c:ptCount val="1"/>
                <c:pt idx="0">
                  <c:v>Income</c:v>
                </c:pt>
              </c:strCache>
            </c:strRef>
          </c:tx>
          <c:spPr>
            <a:ln w="9525"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'Annual Graphic'!$D$22:$O$22</c:f>
              <c:numCache>
                <c:formatCode>mmm" "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'Annual Graphic'!$D$23:$O$23</c:f>
              <c:numCache>
                <c:formatCode>[$Rp]#,##0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F1-4C71-83B1-7BED7DA02830}"/>
            </c:ext>
          </c:extLst>
        </c:ser>
        <c:ser>
          <c:idx val="1"/>
          <c:order val="1"/>
          <c:tx>
            <c:strRef>
              <c:f>'Annual Graphic'!$C$24</c:f>
              <c:strCache>
                <c:ptCount val="1"/>
                <c:pt idx="0">
                  <c:v>Expenses</c:v>
                </c:pt>
              </c:strCache>
            </c:strRef>
          </c:tx>
          <c:spPr>
            <a:ln w="9525" cmpd="sng">
              <a:solidFill>
                <a:srgbClr val="DB4437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'Annual Graphic'!$D$22:$O$22</c:f>
              <c:numCache>
                <c:formatCode>mmm" "</c:formatCode>
                <c:ptCount val="12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  <c:pt idx="3">
                  <c:v>42461</c:v>
                </c:pt>
                <c:pt idx="4">
                  <c:v>42491</c:v>
                </c:pt>
                <c:pt idx="5">
                  <c:v>42522</c:v>
                </c:pt>
                <c:pt idx="6">
                  <c:v>42552</c:v>
                </c:pt>
                <c:pt idx="7">
                  <c:v>42583</c:v>
                </c:pt>
                <c:pt idx="8">
                  <c:v>42614</c:v>
                </c:pt>
                <c:pt idx="9">
                  <c:v>42644</c:v>
                </c:pt>
                <c:pt idx="10">
                  <c:v>42675</c:v>
                </c:pt>
                <c:pt idx="11">
                  <c:v>42705</c:v>
                </c:pt>
              </c:numCache>
            </c:numRef>
          </c:cat>
          <c:val>
            <c:numRef>
              <c:f>'Annual Graphic'!$D$24:$O$24</c:f>
              <c:numCache>
                <c:formatCode>[$Rp]#,##0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F1-4C71-83B1-7BED7DA02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058560"/>
        <c:axId val="1601029785"/>
      </c:lineChart>
      <c:dateAx>
        <c:axId val="209705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mmm&quot; &quot;" sourceLinked="1"/>
        <c:majorTickMark val="none"/>
        <c:minorTickMark val="none"/>
        <c:tickLblPos val="nextTo"/>
        <c:txPr>
          <a:bodyPr/>
          <a:lstStyle/>
          <a:p>
            <a:pPr lvl="0">
              <a:defRPr sz="1100" b="0" i="0">
                <a:solidFill>
                  <a:srgbClr val="434343"/>
                </a:solidFill>
                <a:latin typeface="Roboto"/>
              </a:defRPr>
            </a:pPr>
            <a:endParaRPr lang="en-US"/>
          </a:p>
        </c:txPr>
        <c:crossAx val="1601029785"/>
        <c:crosses val="autoZero"/>
        <c:auto val="1"/>
        <c:lblOffset val="100"/>
        <c:baseTimeUnit val="months"/>
      </c:dateAx>
      <c:valAx>
        <c:axId val="1601029785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[$Rp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222222"/>
                </a:solidFill>
                <a:latin typeface="Roboto"/>
              </a:defRPr>
            </a:pPr>
            <a:endParaRPr lang="en-US"/>
          </a:p>
        </c:txPr>
        <c:crossAx val="2097058560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1100" b="0" i="0">
              <a:solidFill>
                <a:srgbClr val="434343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434343"/>
                </a:solidFill>
                <a:latin typeface="Roboto"/>
              </a:defRPr>
            </a:pPr>
            <a:r>
              <a:rPr lang="en-ID" sz="1200" b="1" i="0">
                <a:solidFill>
                  <a:srgbClr val="434343"/>
                </a:solidFill>
                <a:latin typeface="Roboto"/>
              </a:rPr>
              <a:t>Average £ spent per category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4.7960000000000003E-2"/>
          <c:y val="0.16573000000000002"/>
          <c:w val="0.93159999999999998"/>
          <c:h val="0.71629000000000009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'Annual Graphic'!$C$44:$C$58</c:f>
              <c:strCache>
                <c:ptCount val="15"/>
                <c:pt idx="0">
                  <c:v>Food</c:v>
                </c:pt>
                <c:pt idx="1">
                  <c:v>Groceries</c:v>
                </c:pt>
                <c:pt idx="2">
                  <c:v>Internet</c:v>
                </c:pt>
                <c:pt idx="3">
                  <c:v>Kids</c:v>
                </c:pt>
                <c:pt idx="4">
                  <c:v>Transportation</c:v>
                </c:pt>
                <c:pt idx="5">
                  <c:v>Shopping</c:v>
                </c:pt>
                <c:pt idx="6">
                  <c:v>Entertain</c:v>
                </c:pt>
                <c:pt idx="7">
                  <c:v>Home and Laundry</c:v>
                </c:pt>
                <c:pt idx="8">
                  <c:v>Listrik</c:v>
                </c:pt>
                <c:pt idx="9">
                  <c:v>Health/Bodycare</c:v>
                </c:pt>
                <c:pt idx="10">
                  <c:v>Content dan PP</c:v>
                </c:pt>
                <c:pt idx="11">
                  <c:v>Koperasi</c:v>
                </c:pt>
                <c:pt idx="12">
                  <c:v>Gifts/charity</c:v>
                </c:pt>
                <c:pt idx="13">
                  <c:v>Lending</c:v>
                </c:pt>
                <c:pt idx="14">
                  <c:v>SPPD</c:v>
                </c:pt>
              </c:strCache>
            </c:strRef>
          </c:cat>
          <c:val>
            <c:numRef>
              <c:f>'Annual Graphic'!$Q$44:$Q$58</c:f>
              <c:numCache>
                <c:formatCode>[$Rp]#,##0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EE0-4E85-8CC3-732CE036A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8370228"/>
        <c:axId val="372652266"/>
      </c:barChart>
      <c:catAx>
        <c:axId val="1348370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100" b="0" i="0">
                <a:solidFill>
                  <a:srgbClr val="434343"/>
                </a:solidFill>
                <a:latin typeface="Roboto"/>
              </a:defRPr>
            </a:pPr>
            <a:endParaRPr lang="en-US"/>
          </a:p>
        </c:txPr>
        <c:crossAx val="372652266"/>
        <c:crosses val="autoZero"/>
        <c:auto val="1"/>
        <c:lblAlgn val="ctr"/>
        <c:lblOffset val="100"/>
        <c:noMultiLvlLbl val="1"/>
      </c:catAx>
      <c:valAx>
        <c:axId val="372652266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[$Rp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434343"/>
                </a:solidFill>
                <a:latin typeface="Roboto"/>
              </a:defRPr>
            </a:pPr>
            <a:endParaRPr lang="en-US"/>
          </a:p>
        </c:txPr>
        <c:crossAx val="134837022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7</xdr:row>
      <xdr:rowOff>0</xdr:rowOff>
    </xdr:from>
    <xdr:ext cx="11934825" cy="28765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409575</xdr:colOff>
      <xdr:row>58</xdr:row>
      <xdr:rowOff>514350</xdr:rowOff>
    </xdr:from>
    <xdr:ext cx="12144375" cy="3390900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showGridLines="0" topLeftCell="A4" workbookViewId="0"/>
  </sheetViews>
  <sheetFormatPr defaultColWidth="12.6640625" defaultRowHeight="15" customHeight="1" x14ac:dyDescent="0.25"/>
  <cols>
    <col min="1" max="1" width="6" customWidth="1"/>
    <col min="2" max="2" width="5.109375" customWidth="1"/>
    <col min="3" max="3" width="12.6640625" customWidth="1"/>
    <col min="4" max="17" width="14.21875" customWidth="1"/>
    <col min="18" max="18" width="5.109375" customWidth="1"/>
  </cols>
  <sheetData>
    <row r="1" spans="1:18" ht="6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5"/>
      <c r="Q1" s="5"/>
      <c r="R1" s="4"/>
    </row>
    <row r="2" spans="1:18" ht="30" customHeight="1" x14ac:dyDescent="0.3">
      <c r="A2" s="6"/>
      <c r="B2" s="7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8"/>
      <c r="O2" s="8"/>
      <c r="P2" s="9"/>
      <c r="Q2" s="9"/>
      <c r="R2" s="8"/>
    </row>
    <row r="3" spans="1:18" ht="24" customHeight="1" x14ac:dyDescent="0.3">
      <c r="A3" s="10"/>
      <c r="B3" s="11"/>
      <c r="C3" s="12" t="s">
        <v>0</v>
      </c>
      <c r="D3" s="13"/>
      <c r="E3" s="13"/>
      <c r="F3" s="13"/>
      <c r="G3" s="13"/>
      <c r="H3" s="13"/>
      <c r="I3" s="14"/>
      <c r="J3" s="13"/>
      <c r="K3" s="15" t="s">
        <v>1</v>
      </c>
      <c r="L3" s="13"/>
      <c r="M3" s="13"/>
      <c r="N3" s="16"/>
      <c r="O3" s="16"/>
      <c r="P3" s="17"/>
      <c r="Q3" s="17"/>
      <c r="R3" s="16"/>
    </row>
    <row r="4" spans="1:18" ht="18" customHeight="1" x14ac:dyDescent="0.25">
      <c r="A4" s="10"/>
      <c r="B4" s="11"/>
      <c r="C4" s="18" t="s">
        <v>2</v>
      </c>
      <c r="D4" s="19"/>
      <c r="E4" s="19"/>
      <c r="F4" s="19"/>
      <c r="G4" s="19"/>
      <c r="H4" s="19"/>
      <c r="I4" s="16"/>
      <c r="J4" s="19"/>
      <c r="K4" s="265" t="s">
        <v>3</v>
      </c>
      <c r="L4" s="266"/>
      <c r="M4" s="266"/>
      <c r="N4" s="20"/>
      <c r="O4" s="16"/>
      <c r="P4" s="17"/>
      <c r="Q4" s="17"/>
      <c r="R4" s="16"/>
    </row>
    <row r="5" spans="1:18" ht="24" customHeight="1" x14ac:dyDescent="0.3">
      <c r="A5" s="10"/>
      <c r="B5" s="11"/>
      <c r="C5" s="21" t="s">
        <v>4</v>
      </c>
      <c r="D5" s="22"/>
      <c r="E5" s="23"/>
      <c r="F5" s="23"/>
      <c r="G5" s="23"/>
      <c r="H5" s="23"/>
      <c r="I5" s="14"/>
      <c r="J5" s="23"/>
      <c r="K5" s="24" t="s">
        <v>5</v>
      </c>
      <c r="L5" s="23"/>
      <c r="M5" s="23"/>
      <c r="N5" s="25"/>
      <c r="O5" s="25"/>
      <c r="P5" s="26"/>
      <c r="Q5" s="26"/>
      <c r="R5" s="25"/>
    </row>
    <row r="6" spans="1:18" ht="30" customHeight="1" x14ac:dyDescent="0.25">
      <c r="A6" s="27"/>
      <c r="B6" s="28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9"/>
      <c r="Q6" s="29"/>
      <c r="R6" s="27"/>
    </row>
    <row r="7" spans="1:18" ht="18" customHeight="1" x14ac:dyDescent="0.25">
      <c r="A7" s="10"/>
      <c r="B7" s="11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  <c r="Q7" s="31"/>
      <c r="R7" s="16"/>
    </row>
    <row r="8" spans="1:18" ht="18" customHeight="1" x14ac:dyDescent="0.25">
      <c r="A8" s="10"/>
      <c r="B8" s="11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1"/>
      <c r="Q8" s="31"/>
      <c r="R8" s="16"/>
    </row>
    <row r="9" spans="1:18" ht="18" customHeight="1" x14ac:dyDescent="0.25">
      <c r="A9" s="10"/>
      <c r="B9" s="11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1"/>
      <c r="Q9" s="31"/>
      <c r="R9" s="16"/>
    </row>
    <row r="10" spans="1:18" ht="18" customHeight="1" x14ac:dyDescent="0.25">
      <c r="A10" s="10"/>
      <c r="B10" s="11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1"/>
      <c r="Q10" s="31"/>
      <c r="R10" s="16"/>
    </row>
    <row r="11" spans="1:18" ht="18" customHeight="1" x14ac:dyDescent="0.25">
      <c r="A11" s="10"/>
      <c r="B11" s="11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1"/>
      <c r="Q11" s="31"/>
      <c r="R11" s="16"/>
    </row>
    <row r="12" spans="1:18" ht="18" customHeight="1" x14ac:dyDescent="0.25">
      <c r="A12" s="10"/>
      <c r="B12" s="11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31"/>
      <c r="R12" s="16"/>
    </row>
    <row r="13" spans="1:18" ht="18" customHeight="1" x14ac:dyDescent="0.25">
      <c r="A13" s="10"/>
      <c r="B13" s="11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31"/>
      <c r="R13" s="16"/>
    </row>
    <row r="14" spans="1:18" ht="18" customHeight="1" x14ac:dyDescent="0.25">
      <c r="A14" s="10"/>
      <c r="B14" s="11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31"/>
      <c r="R14" s="16"/>
    </row>
    <row r="15" spans="1:18" ht="18" customHeight="1" x14ac:dyDescent="0.25">
      <c r="A15" s="10"/>
      <c r="B15" s="11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1"/>
      <c r="Q15" s="31"/>
      <c r="R15" s="16"/>
    </row>
    <row r="16" spans="1:18" ht="18" customHeight="1" x14ac:dyDescent="0.25">
      <c r="A16" s="10"/>
      <c r="B16" s="11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31"/>
      <c r="R16" s="16"/>
    </row>
    <row r="17" spans="1:18" ht="18" customHeight="1" x14ac:dyDescent="0.25">
      <c r="A17" s="10"/>
      <c r="B17" s="11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31"/>
      <c r="R17" s="16"/>
    </row>
    <row r="18" spans="1:18" ht="18" customHeight="1" x14ac:dyDescent="0.25">
      <c r="A18" s="10"/>
      <c r="B18" s="11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1"/>
      <c r="Q18" s="31"/>
      <c r="R18" s="16"/>
    </row>
    <row r="19" spans="1:18" ht="18" customHeight="1" x14ac:dyDescent="0.25">
      <c r="A19" s="10"/>
      <c r="B19" s="11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1"/>
      <c r="Q19" s="31"/>
      <c r="R19" s="16"/>
    </row>
    <row r="20" spans="1:18" ht="30" customHeight="1" x14ac:dyDescent="0.25">
      <c r="A20" s="10"/>
      <c r="B20" s="11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/>
      <c r="Q20" s="17"/>
      <c r="R20" s="16"/>
    </row>
    <row r="21" spans="1:18" ht="19.5" customHeight="1" x14ac:dyDescent="0.25">
      <c r="A21" s="10"/>
      <c r="B21" s="11"/>
      <c r="C21" s="32" t="s">
        <v>6</v>
      </c>
      <c r="D21" s="33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5"/>
      <c r="Q21" s="35"/>
      <c r="R21" s="34"/>
    </row>
    <row r="22" spans="1:18" ht="19.5" customHeight="1" x14ac:dyDescent="0.25">
      <c r="A22" s="36"/>
      <c r="B22" s="37"/>
      <c r="C22" s="38"/>
      <c r="D22" s="39">
        <f>'Annual Expenses'!D2</f>
        <v>42370</v>
      </c>
      <c r="E22" s="39">
        <f>'Annual Expenses'!E2</f>
        <v>42401</v>
      </c>
      <c r="F22" s="39">
        <f>'Annual Expenses'!F2</f>
        <v>42430</v>
      </c>
      <c r="G22" s="39">
        <f>'Annual Expenses'!G2</f>
        <v>42461</v>
      </c>
      <c r="H22" s="39">
        <f>'Annual Expenses'!H2</f>
        <v>42491</v>
      </c>
      <c r="I22" s="39">
        <f>'Annual Expenses'!I2</f>
        <v>42522</v>
      </c>
      <c r="J22" s="39">
        <f>'Annual Expenses'!J2</f>
        <v>42552</v>
      </c>
      <c r="K22" s="39">
        <f>'Annual Expenses'!K2</f>
        <v>42583</v>
      </c>
      <c r="L22" s="39">
        <f>'Annual Expenses'!L2</f>
        <v>42614</v>
      </c>
      <c r="M22" s="39">
        <f>'Annual Expenses'!M2</f>
        <v>42644</v>
      </c>
      <c r="N22" s="39">
        <f>'Annual Expenses'!N2</f>
        <v>42675</v>
      </c>
      <c r="O22" s="39">
        <f>'Annual Expenses'!O2</f>
        <v>42705</v>
      </c>
      <c r="P22" s="40" t="s">
        <v>7</v>
      </c>
      <c r="Q22" s="40" t="s">
        <v>8</v>
      </c>
      <c r="R22" s="41"/>
    </row>
    <row r="23" spans="1:18" ht="24" customHeight="1" x14ac:dyDescent="0.25">
      <c r="A23" s="10"/>
      <c r="B23" s="11"/>
      <c r="C23" s="42" t="s">
        <v>9</v>
      </c>
      <c r="D23" s="43">
        <f t="shared" ref="D23:K23" ca="1" si="0">SUM(D31:D36)</f>
        <v>0</v>
      </c>
      <c r="E23" s="43">
        <f t="shared" si="0"/>
        <v>0</v>
      </c>
      <c r="F23" s="43">
        <f t="shared" si="0"/>
        <v>0</v>
      </c>
      <c r="G23" s="43">
        <f t="shared" si="0"/>
        <v>0</v>
      </c>
      <c r="H23" s="43">
        <f t="shared" si="0"/>
        <v>0</v>
      </c>
      <c r="I23" s="43">
        <f t="shared" si="0"/>
        <v>0</v>
      </c>
      <c r="J23" s="43">
        <f t="shared" si="0"/>
        <v>0</v>
      </c>
      <c r="K23" s="43">
        <f t="shared" si="0"/>
        <v>0</v>
      </c>
      <c r="L23" s="43">
        <f t="shared" ref="L23:O23" si="1">SUM(L31:L41)</f>
        <v>0</v>
      </c>
      <c r="M23" s="43">
        <f t="shared" si="1"/>
        <v>0</v>
      </c>
      <c r="N23" s="43" t="e">
        <f t="shared" si="1"/>
        <v>#REF!</v>
      </c>
      <c r="O23" s="43" t="e">
        <f t="shared" si="1"/>
        <v>#REF!</v>
      </c>
      <c r="P23" s="44" t="e">
        <f t="shared" ref="P23:P26" ca="1" si="2">SUM(D23:O23)</f>
        <v>#REF!</v>
      </c>
      <c r="Q23" s="44" t="e">
        <f t="shared" ref="Q23:Q26" ca="1" si="3">AVERAGE(D23:O23)</f>
        <v>#REF!</v>
      </c>
      <c r="R23" s="45"/>
    </row>
    <row r="24" spans="1:18" ht="21" customHeight="1" x14ac:dyDescent="0.25">
      <c r="A24" s="46"/>
      <c r="B24" s="47"/>
      <c r="C24" s="48" t="s">
        <v>10</v>
      </c>
      <c r="D24" s="49">
        <f t="shared" ref="D24:O24" ca="1" si="4">SUM(D44:D58)</f>
        <v>0</v>
      </c>
      <c r="E24" s="49">
        <f t="shared" si="4"/>
        <v>0</v>
      </c>
      <c r="F24" s="49">
        <f t="shared" si="4"/>
        <v>0</v>
      </c>
      <c r="G24" s="49">
        <f t="shared" si="4"/>
        <v>0</v>
      </c>
      <c r="H24" s="49">
        <f t="shared" si="4"/>
        <v>0</v>
      </c>
      <c r="I24" s="49">
        <f t="shared" si="4"/>
        <v>0</v>
      </c>
      <c r="J24" s="49">
        <f t="shared" si="4"/>
        <v>0</v>
      </c>
      <c r="K24" s="49">
        <f t="shared" si="4"/>
        <v>0</v>
      </c>
      <c r="L24" s="49">
        <f t="shared" si="4"/>
        <v>0</v>
      </c>
      <c r="M24" s="49">
        <f t="shared" si="4"/>
        <v>0</v>
      </c>
      <c r="N24" s="49" t="e">
        <f t="shared" si="4"/>
        <v>#REF!</v>
      </c>
      <c r="O24" s="49" t="e">
        <f t="shared" si="4"/>
        <v>#REF!</v>
      </c>
      <c r="P24" s="50" t="e">
        <f t="shared" ca="1" si="2"/>
        <v>#REF!</v>
      </c>
      <c r="Q24" s="50" t="e">
        <f t="shared" ca="1" si="3"/>
        <v>#REF!</v>
      </c>
      <c r="R24" s="51"/>
    </row>
    <row r="25" spans="1:18" ht="21" customHeight="1" x14ac:dyDescent="0.3">
      <c r="A25" s="52"/>
      <c r="B25" s="53"/>
      <c r="C25" s="54" t="s">
        <v>11</v>
      </c>
      <c r="D25" s="55">
        <f t="shared" ref="D25:O25" ca="1" si="5">D23-D24</f>
        <v>0</v>
      </c>
      <c r="E25" s="55">
        <f t="shared" si="5"/>
        <v>0</v>
      </c>
      <c r="F25" s="55">
        <f t="shared" si="5"/>
        <v>0</v>
      </c>
      <c r="G25" s="55">
        <f t="shared" si="5"/>
        <v>0</v>
      </c>
      <c r="H25" s="55">
        <f t="shared" si="5"/>
        <v>0</v>
      </c>
      <c r="I25" s="55">
        <f t="shared" si="5"/>
        <v>0</v>
      </c>
      <c r="J25" s="55">
        <f t="shared" si="5"/>
        <v>0</v>
      </c>
      <c r="K25" s="55">
        <f t="shared" si="5"/>
        <v>0</v>
      </c>
      <c r="L25" s="55">
        <f t="shared" si="5"/>
        <v>0</v>
      </c>
      <c r="M25" s="55">
        <f t="shared" si="5"/>
        <v>0</v>
      </c>
      <c r="N25" s="55" t="e">
        <f t="shared" si="5"/>
        <v>#REF!</v>
      </c>
      <c r="O25" s="55" t="e">
        <f t="shared" si="5"/>
        <v>#REF!</v>
      </c>
      <c r="P25" s="56" t="e">
        <f t="shared" ca="1" si="2"/>
        <v>#REF!</v>
      </c>
      <c r="Q25" s="56" t="e">
        <f t="shared" ca="1" si="3"/>
        <v>#REF!</v>
      </c>
      <c r="R25" s="57"/>
    </row>
    <row r="26" spans="1:18" ht="21" customHeight="1" x14ac:dyDescent="0.3">
      <c r="A26" s="10"/>
      <c r="B26" s="11"/>
      <c r="C26" s="58" t="s">
        <v>12</v>
      </c>
      <c r="D26" s="59">
        <f ca="1">(January!L8+D23)-D24</f>
        <v>3000000</v>
      </c>
      <c r="E26" s="59">
        <f t="shared" ref="E26:O26" ca="1" si="6">(D26+E23)-E24</f>
        <v>3000000</v>
      </c>
      <c r="F26" s="59">
        <f t="shared" ca="1" si="6"/>
        <v>3000000</v>
      </c>
      <c r="G26" s="59">
        <f t="shared" ca="1" si="6"/>
        <v>3000000</v>
      </c>
      <c r="H26" s="59">
        <f t="shared" ca="1" si="6"/>
        <v>3000000</v>
      </c>
      <c r="I26" s="59">
        <f t="shared" ca="1" si="6"/>
        <v>3000000</v>
      </c>
      <c r="J26" s="59">
        <f t="shared" ca="1" si="6"/>
        <v>3000000</v>
      </c>
      <c r="K26" s="59">
        <f t="shared" ca="1" si="6"/>
        <v>3000000</v>
      </c>
      <c r="L26" s="59">
        <f t="shared" ca="1" si="6"/>
        <v>3000000</v>
      </c>
      <c r="M26" s="59">
        <f t="shared" ca="1" si="6"/>
        <v>3000000</v>
      </c>
      <c r="N26" s="59" t="e">
        <f t="shared" ca="1" si="6"/>
        <v>#REF!</v>
      </c>
      <c r="O26" s="59" t="e">
        <f t="shared" ca="1" si="6"/>
        <v>#REF!</v>
      </c>
      <c r="P26" s="56" t="e">
        <f t="shared" ca="1" si="2"/>
        <v>#REF!</v>
      </c>
      <c r="Q26" s="44" t="e">
        <f t="shared" ca="1" si="3"/>
        <v>#REF!</v>
      </c>
      <c r="R26" s="45"/>
    </row>
    <row r="27" spans="1:18" ht="19.5" customHeight="1" x14ac:dyDescent="0.25">
      <c r="A27" s="10"/>
      <c r="B27" s="11"/>
      <c r="C27" s="16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1"/>
      <c r="Q27" s="61"/>
      <c r="R27" s="45"/>
    </row>
    <row r="28" spans="1:18" ht="19.5" customHeight="1" x14ac:dyDescent="0.25">
      <c r="A28" s="10"/>
      <c r="B28" s="11"/>
      <c r="C28" s="16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1"/>
      <c r="Q28" s="61"/>
      <c r="R28" s="62"/>
    </row>
    <row r="29" spans="1:18" ht="19.5" customHeight="1" x14ac:dyDescent="0.25">
      <c r="A29" s="10"/>
      <c r="B29" s="11"/>
      <c r="C29" s="32" t="s">
        <v>9</v>
      </c>
      <c r="D29" s="63"/>
      <c r="E29" s="64"/>
      <c r="F29" s="64"/>
      <c r="G29" s="64"/>
      <c r="H29" s="64"/>
      <c r="I29" s="64"/>
      <c r="J29" s="65"/>
      <c r="K29" s="60"/>
      <c r="L29" s="60"/>
      <c r="M29" s="60"/>
      <c r="N29" s="60"/>
      <c r="O29" s="60"/>
      <c r="P29" s="61"/>
      <c r="Q29" s="61"/>
      <c r="R29" s="62"/>
    </row>
    <row r="30" spans="1:18" ht="19.5" customHeight="1" x14ac:dyDescent="0.25">
      <c r="A30" s="36"/>
      <c r="B30" s="37" t="s">
        <v>13</v>
      </c>
      <c r="C30" s="38" t="str">
        <f ca="1">IFERROR(__xludf.DUMMYFUNCTION("unique('Annual Income'!A:A)"),"")</f>
        <v/>
      </c>
      <c r="D30" s="39">
        <f t="shared" ref="D30:O30" si="7">D22</f>
        <v>42370</v>
      </c>
      <c r="E30" s="39">
        <f t="shared" si="7"/>
        <v>42401</v>
      </c>
      <c r="F30" s="39">
        <f t="shared" si="7"/>
        <v>42430</v>
      </c>
      <c r="G30" s="39">
        <f t="shared" si="7"/>
        <v>42461</v>
      </c>
      <c r="H30" s="39">
        <f t="shared" si="7"/>
        <v>42491</v>
      </c>
      <c r="I30" s="39">
        <f t="shared" si="7"/>
        <v>42522</v>
      </c>
      <c r="J30" s="39">
        <f t="shared" si="7"/>
        <v>42552</v>
      </c>
      <c r="K30" s="39">
        <f t="shared" si="7"/>
        <v>42583</v>
      </c>
      <c r="L30" s="39">
        <f t="shared" si="7"/>
        <v>42614</v>
      </c>
      <c r="M30" s="39">
        <f t="shared" si="7"/>
        <v>42644</v>
      </c>
      <c r="N30" s="39">
        <f t="shared" si="7"/>
        <v>42675</v>
      </c>
      <c r="O30" s="39">
        <f t="shared" si="7"/>
        <v>42705</v>
      </c>
      <c r="P30" s="40" t="s">
        <v>7</v>
      </c>
      <c r="Q30" s="40" t="s">
        <v>8</v>
      </c>
      <c r="R30" s="41"/>
    </row>
    <row r="31" spans="1:18" ht="19.5" customHeight="1" x14ac:dyDescent="0.25">
      <c r="A31" s="10"/>
      <c r="B31" s="66">
        <v>4</v>
      </c>
      <c r="C31" s="67" t="str">
        <f ca="1">IFERROR(__xludf.DUMMYFUNCTION("""COMPUTED_VALUE"""),"Savings")</f>
        <v>Savings</v>
      </c>
      <c r="D31" s="68">
        <f t="shared" ref="D31:D38" ca="1" si="8">IF(NOT(ISBLANK(B31)), INDIRECT("'Annual Income'!D"&amp;B31&amp;":Q"&amp;B31),"")</f>
        <v>0</v>
      </c>
      <c r="E31" s="68">
        <v>0</v>
      </c>
      <c r="F31" s="68">
        <v>0</v>
      </c>
      <c r="G31" s="68">
        <v>0</v>
      </c>
      <c r="H31" s="68">
        <v>0</v>
      </c>
      <c r="I31" s="68">
        <v>0</v>
      </c>
      <c r="J31" s="68">
        <v>0</v>
      </c>
      <c r="K31" s="68">
        <v>0</v>
      </c>
      <c r="L31" s="68">
        <v>0</v>
      </c>
      <c r="M31" s="68">
        <v>0</v>
      </c>
      <c r="N31" s="68" t="e">
        <v>#REF!</v>
      </c>
      <c r="O31" s="68" t="e">
        <v>#REF!</v>
      </c>
      <c r="P31" s="44" t="e">
        <v>#REF!</v>
      </c>
      <c r="Q31" s="44">
        <v>0</v>
      </c>
      <c r="R31" s="69"/>
    </row>
    <row r="32" spans="1:18" ht="20.25" customHeight="1" x14ac:dyDescent="0.25">
      <c r="A32" s="10"/>
      <c r="B32" s="66">
        <v>5</v>
      </c>
      <c r="C32" s="70" t="str">
        <f ca="1">IFERROR(__xludf.DUMMYFUNCTION("""COMPUTED_VALUE"""),"Paycheck")</f>
        <v>Paycheck</v>
      </c>
      <c r="D32" s="68">
        <f t="shared" ca="1" si="8"/>
        <v>0</v>
      </c>
      <c r="E32" s="68">
        <v>0</v>
      </c>
      <c r="F32" s="68">
        <v>0</v>
      </c>
      <c r="G32" s="68">
        <v>0</v>
      </c>
      <c r="H32" s="68">
        <v>0</v>
      </c>
      <c r="I32" s="68">
        <v>0</v>
      </c>
      <c r="J32" s="68">
        <v>0</v>
      </c>
      <c r="K32" s="68">
        <v>0</v>
      </c>
      <c r="L32" s="68">
        <v>0</v>
      </c>
      <c r="M32" s="68">
        <v>0</v>
      </c>
      <c r="N32" s="68" t="e">
        <v>#REF!</v>
      </c>
      <c r="O32" s="68" t="e">
        <v>#REF!</v>
      </c>
      <c r="P32" s="44" t="e">
        <v>#REF!</v>
      </c>
      <c r="Q32" s="44">
        <v>0</v>
      </c>
      <c r="R32" s="69"/>
    </row>
    <row r="33" spans="1:18" ht="20.25" customHeight="1" x14ac:dyDescent="0.25">
      <c r="A33" s="10"/>
      <c r="B33" s="11">
        <v>6</v>
      </c>
      <c r="C33" s="70" t="str">
        <f ca="1">IFERROR(__xludf.DUMMYFUNCTION("""COMPUTED_VALUE"""),"Bonus")</f>
        <v>Bonus</v>
      </c>
      <c r="D33" s="68">
        <f t="shared" ca="1" si="8"/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 t="e">
        <v>#REF!</v>
      </c>
      <c r="O33" s="68" t="e">
        <v>#REF!</v>
      </c>
      <c r="P33" s="44" t="e">
        <v>#REF!</v>
      </c>
      <c r="Q33" s="44">
        <v>0</v>
      </c>
      <c r="R33" s="45"/>
    </row>
    <row r="34" spans="1:18" ht="20.25" customHeight="1" x14ac:dyDescent="0.25">
      <c r="A34" s="10"/>
      <c r="B34" s="11">
        <v>7</v>
      </c>
      <c r="C34" s="70" t="str">
        <f ca="1">IFERROR(__xludf.DUMMYFUNCTION("""COMPUTED_VALUE"""),"Interest")</f>
        <v>Interest</v>
      </c>
      <c r="D34" s="68">
        <f t="shared" ca="1" si="8"/>
        <v>0</v>
      </c>
      <c r="E34" s="68">
        <v>0</v>
      </c>
      <c r="F34" s="68">
        <v>0</v>
      </c>
      <c r="G34" s="68">
        <v>0</v>
      </c>
      <c r="H34" s="68">
        <v>0</v>
      </c>
      <c r="I34" s="68">
        <v>0</v>
      </c>
      <c r="J34" s="68">
        <v>0</v>
      </c>
      <c r="K34" s="68">
        <v>0</v>
      </c>
      <c r="L34" s="68">
        <v>0</v>
      </c>
      <c r="M34" s="68">
        <v>0</v>
      </c>
      <c r="N34" s="68" t="e">
        <v>#REF!</v>
      </c>
      <c r="O34" s="68" t="e">
        <v>#REF!</v>
      </c>
      <c r="P34" s="44" t="e">
        <v>#REF!</v>
      </c>
      <c r="Q34" s="44">
        <v>0</v>
      </c>
      <c r="R34" s="45"/>
    </row>
    <row r="35" spans="1:18" ht="20.25" customHeight="1" x14ac:dyDescent="0.25">
      <c r="A35" s="10"/>
      <c r="B35" s="11">
        <v>8</v>
      </c>
      <c r="C35" s="70" t="str">
        <f ca="1">IFERROR(__xludf.DUMMYFUNCTION("""COMPUTED_VALUE"""),"Affiliate")</f>
        <v>Affiliate</v>
      </c>
      <c r="D35" s="68">
        <f t="shared" ca="1" si="8"/>
        <v>0</v>
      </c>
      <c r="E35" s="68">
        <v>0</v>
      </c>
      <c r="F35" s="68">
        <v>0</v>
      </c>
      <c r="G35" s="68">
        <v>0</v>
      </c>
      <c r="H35" s="68">
        <v>0</v>
      </c>
      <c r="I35" s="68">
        <v>0</v>
      </c>
      <c r="J35" s="68">
        <v>0</v>
      </c>
      <c r="K35" s="68">
        <v>0</v>
      </c>
      <c r="L35" s="68">
        <v>0</v>
      </c>
      <c r="M35" s="68">
        <v>0</v>
      </c>
      <c r="N35" s="68" t="e">
        <v>#REF!</v>
      </c>
      <c r="O35" s="68" t="e">
        <v>#REF!</v>
      </c>
      <c r="P35" s="44" t="e">
        <v>#REF!</v>
      </c>
      <c r="Q35" s="44">
        <v>0</v>
      </c>
      <c r="R35" s="45"/>
    </row>
    <row r="36" spans="1:18" ht="20.25" customHeight="1" x14ac:dyDescent="0.25">
      <c r="A36" s="10"/>
      <c r="B36" s="11">
        <v>9</v>
      </c>
      <c r="C36" s="70" t="str">
        <f ca="1">IFERROR(__xludf.DUMMYFUNCTION("""COMPUTED_VALUE"""),"IKS")</f>
        <v>IKS</v>
      </c>
      <c r="D36" s="68">
        <f t="shared" ca="1" si="8"/>
        <v>0</v>
      </c>
      <c r="E36" s="68">
        <v>0</v>
      </c>
      <c r="F36" s="68">
        <v>0</v>
      </c>
      <c r="G36" s="68">
        <v>0</v>
      </c>
      <c r="H36" s="68">
        <v>0</v>
      </c>
      <c r="I36" s="68">
        <v>0</v>
      </c>
      <c r="J36" s="68">
        <v>0</v>
      </c>
      <c r="K36" s="68">
        <v>0</v>
      </c>
      <c r="L36" s="68">
        <v>0</v>
      </c>
      <c r="M36" s="68">
        <v>0</v>
      </c>
      <c r="N36" s="68" t="e">
        <v>#REF!</v>
      </c>
      <c r="O36" s="68" t="e">
        <v>#REF!</v>
      </c>
      <c r="P36" s="44" t="e">
        <v>#REF!</v>
      </c>
      <c r="Q36" s="44">
        <v>0</v>
      </c>
      <c r="R36" s="45"/>
    </row>
    <row r="37" spans="1:18" ht="15" customHeight="1" x14ac:dyDescent="0.25">
      <c r="A37" s="10"/>
      <c r="B37" s="11">
        <v>10</v>
      </c>
      <c r="C37" s="70" t="str">
        <f ca="1">IFERROR(__xludf.DUMMYFUNCTION("""COMPUTED_VALUE"""),"Endorsement")</f>
        <v>Endorsement</v>
      </c>
      <c r="D37" s="68">
        <f t="shared" ca="1" si="8"/>
        <v>0</v>
      </c>
      <c r="E37" s="68">
        <v>0</v>
      </c>
      <c r="F37" s="68">
        <v>0</v>
      </c>
      <c r="G37" s="68">
        <v>0</v>
      </c>
      <c r="H37" s="68">
        <v>0</v>
      </c>
      <c r="I37" s="68">
        <v>0</v>
      </c>
      <c r="J37" s="68">
        <v>0</v>
      </c>
      <c r="K37" s="68">
        <v>0</v>
      </c>
      <c r="L37" s="68">
        <v>0</v>
      </c>
      <c r="M37" s="68">
        <v>0</v>
      </c>
      <c r="N37" s="68" t="e">
        <v>#REF!</v>
      </c>
      <c r="O37" s="68" t="e">
        <v>#REF!</v>
      </c>
      <c r="P37" s="44" t="e">
        <v>#REF!</v>
      </c>
      <c r="Q37" s="44">
        <v>0</v>
      </c>
      <c r="R37" s="45"/>
    </row>
    <row r="38" spans="1:18" ht="15" customHeight="1" x14ac:dyDescent="0.25">
      <c r="A38" s="10"/>
      <c r="B38" s="11"/>
      <c r="C38" s="70"/>
      <c r="D38" s="68" t="str">
        <f t="shared" ca="1" si="8"/>
        <v/>
      </c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44"/>
      <c r="Q38" s="44"/>
      <c r="R38" s="45"/>
    </row>
    <row r="39" spans="1:18" ht="15" customHeight="1" x14ac:dyDescent="0.25">
      <c r="A39" s="10"/>
      <c r="B39" s="11"/>
      <c r="C39" s="70"/>
      <c r="D39" s="71" t="str">
        <f t="shared" ref="D39:D40" ca="1" si="9">IF(NOT(ISBLANK(B39)), INDIRECT("Income!D"&amp;B39&amp;":Q"&amp;B39),"")</f>
        <v/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2"/>
      <c r="Q39" s="72"/>
      <c r="R39" s="45"/>
    </row>
    <row r="40" spans="1:18" ht="15" customHeight="1" x14ac:dyDescent="0.25">
      <c r="A40" s="10"/>
      <c r="B40" s="11"/>
      <c r="C40" s="70"/>
      <c r="D40" s="71" t="str">
        <f t="shared" ca="1" si="9"/>
        <v/>
      </c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2"/>
      <c r="Q40" s="72"/>
      <c r="R40" s="62"/>
    </row>
    <row r="41" spans="1:18" ht="15" customHeight="1" x14ac:dyDescent="0.3">
      <c r="A41" s="10"/>
      <c r="B41" s="11"/>
      <c r="C41" s="33"/>
      <c r="D41" s="73"/>
      <c r="E41" s="74"/>
      <c r="F41" s="74"/>
      <c r="G41" s="75"/>
      <c r="H41" s="75"/>
      <c r="I41" s="75"/>
      <c r="J41" s="75"/>
      <c r="K41" s="75"/>
      <c r="L41" s="75"/>
      <c r="M41" s="75"/>
      <c r="N41" s="75"/>
      <c r="O41" s="75"/>
      <c r="P41" s="72"/>
      <c r="Q41" s="72"/>
      <c r="R41" s="62"/>
    </row>
    <row r="42" spans="1:18" ht="19.5" customHeight="1" x14ac:dyDescent="0.3">
      <c r="A42" s="10"/>
      <c r="B42" s="11"/>
      <c r="C42" s="32" t="s">
        <v>10</v>
      </c>
      <c r="D42" s="76"/>
      <c r="E42" s="77"/>
      <c r="F42" s="77"/>
      <c r="G42" s="78"/>
      <c r="H42" s="78"/>
      <c r="I42" s="78"/>
      <c r="J42" s="78"/>
      <c r="K42" s="78"/>
      <c r="L42" s="78"/>
      <c r="M42" s="78"/>
      <c r="N42" s="78"/>
      <c r="O42" s="78"/>
      <c r="P42" s="79"/>
      <c r="Q42" s="79"/>
      <c r="R42" s="62"/>
    </row>
    <row r="43" spans="1:18" ht="19.5" customHeight="1" x14ac:dyDescent="0.25">
      <c r="A43" s="36"/>
      <c r="B43" s="37" t="s">
        <v>13</v>
      </c>
      <c r="C43" s="80" t="str">
        <f ca="1">IFERROR(__xludf.DUMMYFUNCTION("unique('Annual Expenses'!A:A)"),"")</f>
        <v/>
      </c>
      <c r="D43" s="39">
        <f>'Annual Expenses'!D2</f>
        <v>42370</v>
      </c>
      <c r="E43" s="39">
        <f>'Annual Expenses'!E2</f>
        <v>42401</v>
      </c>
      <c r="F43" s="39">
        <f>'Annual Expenses'!F2</f>
        <v>42430</v>
      </c>
      <c r="G43" s="39">
        <f>'Annual Expenses'!G2</f>
        <v>42461</v>
      </c>
      <c r="H43" s="39">
        <f>'Annual Expenses'!H2</f>
        <v>42491</v>
      </c>
      <c r="I43" s="39">
        <f>'Annual Expenses'!I2</f>
        <v>42522</v>
      </c>
      <c r="J43" s="39">
        <f>'Annual Expenses'!J2</f>
        <v>42552</v>
      </c>
      <c r="K43" s="39">
        <f>'Annual Expenses'!K2</f>
        <v>42583</v>
      </c>
      <c r="L43" s="39">
        <f>'Annual Expenses'!L2</f>
        <v>42614</v>
      </c>
      <c r="M43" s="39">
        <f>'Annual Expenses'!M2</f>
        <v>42644</v>
      </c>
      <c r="N43" s="39">
        <f>'Annual Expenses'!N2</f>
        <v>42675</v>
      </c>
      <c r="O43" s="39">
        <f>'Annual Expenses'!O2</f>
        <v>42705</v>
      </c>
      <c r="P43" s="40" t="s">
        <v>7</v>
      </c>
      <c r="Q43" s="40" t="s">
        <v>8</v>
      </c>
      <c r="R43" s="41"/>
    </row>
    <row r="44" spans="1:18" ht="19.5" customHeight="1" x14ac:dyDescent="0.25">
      <c r="A44" s="10"/>
      <c r="B44" s="66">
        <v>4</v>
      </c>
      <c r="C44" s="81" t="str">
        <f ca="1">IFERROR(__xludf.DUMMYFUNCTION("""COMPUTED_VALUE"""),"Food")</f>
        <v>Food</v>
      </c>
      <c r="D44" s="82">
        <f t="shared" ref="D44:D58" ca="1" si="10">IF(NOT(ISBLANK(B44)), INDIRECT("'Annual Expenses'!D"&amp;B44&amp;":Q"&amp;B44),"")</f>
        <v>0</v>
      </c>
      <c r="E44" s="82">
        <v>0</v>
      </c>
      <c r="F44" s="82">
        <v>0</v>
      </c>
      <c r="G44" s="82">
        <v>0</v>
      </c>
      <c r="H44" s="82">
        <v>0</v>
      </c>
      <c r="I44" s="82">
        <v>0</v>
      </c>
      <c r="J44" s="82">
        <v>0</v>
      </c>
      <c r="K44" s="82">
        <v>0</v>
      </c>
      <c r="L44" s="82">
        <v>0</v>
      </c>
      <c r="M44" s="82">
        <v>0</v>
      </c>
      <c r="N44" s="82" t="e">
        <v>#REF!</v>
      </c>
      <c r="O44" s="82" t="e">
        <v>#REF!</v>
      </c>
      <c r="P44" s="83" t="e">
        <v>#REF!</v>
      </c>
      <c r="Q44" s="83">
        <v>0</v>
      </c>
      <c r="R44" s="84"/>
    </row>
    <row r="45" spans="1:18" ht="19.5" customHeight="1" x14ac:dyDescent="0.25">
      <c r="A45" s="10"/>
      <c r="B45" s="66">
        <v>5</v>
      </c>
      <c r="C45" s="85" t="str">
        <f ca="1">IFERROR(__xludf.DUMMYFUNCTION("""COMPUTED_VALUE"""),"Groceries")</f>
        <v>Groceries</v>
      </c>
      <c r="D45" s="82">
        <f t="shared" ca="1" si="10"/>
        <v>0</v>
      </c>
      <c r="E45" s="82">
        <v>0</v>
      </c>
      <c r="F45" s="82">
        <v>0</v>
      </c>
      <c r="G45" s="82">
        <v>0</v>
      </c>
      <c r="H45" s="82">
        <v>0</v>
      </c>
      <c r="I45" s="82">
        <v>0</v>
      </c>
      <c r="J45" s="82">
        <v>0</v>
      </c>
      <c r="K45" s="82">
        <v>0</v>
      </c>
      <c r="L45" s="82">
        <v>0</v>
      </c>
      <c r="M45" s="82">
        <v>0</v>
      </c>
      <c r="N45" s="82" t="e">
        <v>#REF!</v>
      </c>
      <c r="O45" s="82" t="e">
        <v>#REF!</v>
      </c>
      <c r="P45" s="86" t="e">
        <v>#REF!</v>
      </c>
      <c r="Q45" s="83">
        <v>0</v>
      </c>
      <c r="R45" s="84"/>
    </row>
    <row r="46" spans="1:18" ht="19.5" customHeight="1" x14ac:dyDescent="0.25">
      <c r="A46" s="10"/>
      <c r="B46" s="66">
        <v>6</v>
      </c>
      <c r="C46" s="85" t="str">
        <f ca="1">IFERROR(__xludf.DUMMYFUNCTION("""COMPUTED_VALUE"""),"Internet")</f>
        <v>Internet</v>
      </c>
      <c r="D46" s="82">
        <f t="shared" ca="1" si="10"/>
        <v>0</v>
      </c>
      <c r="E46" s="82">
        <v>0</v>
      </c>
      <c r="F46" s="82">
        <v>0</v>
      </c>
      <c r="G46" s="82">
        <v>0</v>
      </c>
      <c r="H46" s="82">
        <v>0</v>
      </c>
      <c r="I46" s="82">
        <v>0</v>
      </c>
      <c r="J46" s="82">
        <v>0</v>
      </c>
      <c r="K46" s="82">
        <v>0</v>
      </c>
      <c r="L46" s="82">
        <v>0</v>
      </c>
      <c r="M46" s="82">
        <v>0</v>
      </c>
      <c r="N46" s="82" t="e">
        <v>#REF!</v>
      </c>
      <c r="O46" s="82" t="e">
        <v>#REF!</v>
      </c>
      <c r="P46" s="86" t="e">
        <v>#REF!</v>
      </c>
      <c r="Q46" s="83">
        <v>0</v>
      </c>
      <c r="R46" s="84"/>
    </row>
    <row r="47" spans="1:18" ht="19.5" customHeight="1" x14ac:dyDescent="0.25">
      <c r="A47" s="10"/>
      <c r="B47" s="66">
        <v>7</v>
      </c>
      <c r="C47" s="85" t="str">
        <f ca="1">IFERROR(__xludf.DUMMYFUNCTION("""COMPUTED_VALUE"""),"Kids")</f>
        <v>Kids</v>
      </c>
      <c r="D47" s="82">
        <f t="shared" ca="1" si="10"/>
        <v>0</v>
      </c>
      <c r="E47" s="82">
        <v>0</v>
      </c>
      <c r="F47" s="82">
        <v>0</v>
      </c>
      <c r="G47" s="82">
        <v>0</v>
      </c>
      <c r="H47" s="82">
        <v>0</v>
      </c>
      <c r="I47" s="82">
        <v>0</v>
      </c>
      <c r="J47" s="82">
        <v>0</v>
      </c>
      <c r="K47" s="82">
        <v>0</v>
      </c>
      <c r="L47" s="82">
        <v>0</v>
      </c>
      <c r="M47" s="82">
        <v>0</v>
      </c>
      <c r="N47" s="82" t="e">
        <v>#REF!</v>
      </c>
      <c r="O47" s="82" t="e">
        <v>#REF!</v>
      </c>
      <c r="P47" s="86" t="e">
        <v>#REF!</v>
      </c>
      <c r="Q47" s="83">
        <v>0</v>
      </c>
      <c r="R47" s="84"/>
    </row>
    <row r="48" spans="1:18" ht="19.5" customHeight="1" x14ac:dyDescent="0.25">
      <c r="A48" s="10"/>
      <c r="B48" s="66">
        <v>8</v>
      </c>
      <c r="C48" s="85" t="str">
        <f ca="1">IFERROR(__xludf.DUMMYFUNCTION("""COMPUTED_VALUE"""),"Transportation")</f>
        <v>Transportation</v>
      </c>
      <c r="D48" s="82">
        <f t="shared" ca="1" si="10"/>
        <v>0</v>
      </c>
      <c r="E48" s="82">
        <v>0</v>
      </c>
      <c r="F48" s="82">
        <v>0</v>
      </c>
      <c r="G48" s="82">
        <v>0</v>
      </c>
      <c r="H48" s="82">
        <v>0</v>
      </c>
      <c r="I48" s="82">
        <v>0</v>
      </c>
      <c r="J48" s="82">
        <v>0</v>
      </c>
      <c r="K48" s="82">
        <v>0</v>
      </c>
      <c r="L48" s="82">
        <v>0</v>
      </c>
      <c r="M48" s="82">
        <v>0</v>
      </c>
      <c r="N48" s="82" t="e">
        <v>#REF!</v>
      </c>
      <c r="O48" s="82" t="e">
        <v>#REF!</v>
      </c>
      <c r="P48" s="86" t="e">
        <v>#REF!</v>
      </c>
      <c r="Q48" s="83">
        <v>0</v>
      </c>
      <c r="R48" s="84"/>
    </row>
    <row r="49" spans="1:18" ht="19.5" customHeight="1" x14ac:dyDescent="0.25">
      <c r="A49" s="10"/>
      <c r="B49" s="66">
        <v>9</v>
      </c>
      <c r="C49" s="85" t="str">
        <f ca="1">IFERROR(__xludf.DUMMYFUNCTION("""COMPUTED_VALUE"""),"Shopping")</f>
        <v>Shopping</v>
      </c>
      <c r="D49" s="82">
        <f t="shared" ca="1" si="10"/>
        <v>0</v>
      </c>
      <c r="E49" s="82">
        <v>0</v>
      </c>
      <c r="F49" s="82">
        <v>0</v>
      </c>
      <c r="G49" s="82">
        <v>0</v>
      </c>
      <c r="H49" s="82">
        <v>0</v>
      </c>
      <c r="I49" s="82">
        <v>0</v>
      </c>
      <c r="J49" s="82">
        <v>0</v>
      </c>
      <c r="K49" s="82">
        <v>0</v>
      </c>
      <c r="L49" s="82">
        <v>0</v>
      </c>
      <c r="M49" s="82">
        <v>0</v>
      </c>
      <c r="N49" s="82" t="e">
        <v>#REF!</v>
      </c>
      <c r="O49" s="82" t="e">
        <v>#REF!</v>
      </c>
      <c r="P49" s="86" t="e">
        <v>#REF!</v>
      </c>
      <c r="Q49" s="83">
        <v>0</v>
      </c>
      <c r="R49" s="84"/>
    </row>
    <row r="50" spans="1:18" ht="19.5" customHeight="1" x14ac:dyDescent="0.25">
      <c r="A50" s="10"/>
      <c r="B50" s="66">
        <v>10</v>
      </c>
      <c r="C50" s="85" t="str">
        <f ca="1">IFERROR(__xludf.DUMMYFUNCTION("""COMPUTED_VALUE"""),"Entertain")</f>
        <v>Entertain</v>
      </c>
      <c r="D50" s="82">
        <f t="shared" ca="1" si="10"/>
        <v>0</v>
      </c>
      <c r="E50" s="82">
        <v>0</v>
      </c>
      <c r="F50" s="82">
        <v>0</v>
      </c>
      <c r="G50" s="82">
        <v>0</v>
      </c>
      <c r="H50" s="82">
        <v>0</v>
      </c>
      <c r="I50" s="82">
        <v>0</v>
      </c>
      <c r="J50" s="82">
        <v>0</v>
      </c>
      <c r="K50" s="82">
        <v>0</v>
      </c>
      <c r="L50" s="82">
        <v>0</v>
      </c>
      <c r="M50" s="82">
        <v>0</v>
      </c>
      <c r="N50" s="82" t="e">
        <v>#REF!</v>
      </c>
      <c r="O50" s="82" t="e">
        <v>#REF!</v>
      </c>
      <c r="P50" s="86" t="e">
        <v>#REF!</v>
      </c>
      <c r="Q50" s="83">
        <v>0</v>
      </c>
      <c r="R50" s="84"/>
    </row>
    <row r="51" spans="1:18" ht="19.5" customHeight="1" x14ac:dyDescent="0.25">
      <c r="A51" s="10"/>
      <c r="B51" s="66">
        <v>11</v>
      </c>
      <c r="C51" s="85" t="str">
        <f ca="1">IFERROR(__xludf.DUMMYFUNCTION("""COMPUTED_VALUE"""),"Home and Laundry")</f>
        <v>Home and Laundry</v>
      </c>
      <c r="D51" s="82">
        <f t="shared" ca="1" si="10"/>
        <v>0</v>
      </c>
      <c r="E51" s="82">
        <v>0</v>
      </c>
      <c r="F51" s="82">
        <v>0</v>
      </c>
      <c r="G51" s="82">
        <v>0</v>
      </c>
      <c r="H51" s="82">
        <v>0</v>
      </c>
      <c r="I51" s="82">
        <v>0</v>
      </c>
      <c r="J51" s="82">
        <v>0</v>
      </c>
      <c r="K51" s="82">
        <v>0</v>
      </c>
      <c r="L51" s="82">
        <v>0</v>
      </c>
      <c r="M51" s="82">
        <v>0</v>
      </c>
      <c r="N51" s="82" t="e">
        <v>#REF!</v>
      </c>
      <c r="O51" s="82" t="e">
        <v>#REF!</v>
      </c>
      <c r="P51" s="86" t="e">
        <v>#REF!</v>
      </c>
      <c r="Q51" s="83">
        <v>0</v>
      </c>
      <c r="R51" s="84"/>
    </row>
    <row r="52" spans="1:18" ht="19.5" customHeight="1" x14ac:dyDescent="0.25">
      <c r="A52" s="10"/>
      <c r="B52" s="66">
        <v>12</v>
      </c>
      <c r="C52" s="85" t="str">
        <f ca="1">IFERROR(__xludf.DUMMYFUNCTION("""COMPUTED_VALUE"""),"Listrik")</f>
        <v>Listrik</v>
      </c>
      <c r="D52" s="82">
        <f t="shared" ca="1" si="10"/>
        <v>0</v>
      </c>
      <c r="E52" s="82">
        <v>0</v>
      </c>
      <c r="F52" s="82">
        <v>0</v>
      </c>
      <c r="G52" s="82">
        <v>0</v>
      </c>
      <c r="H52" s="82">
        <v>0</v>
      </c>
      <c r="I52" s="82">
        <v>0</v>
      </c>
      <c r="J52" s="82">
        <v>0</v>
      </c>
      <c r="K52" s="82">
        <v>0</v>
      </c>
      <c r="L52" s="82">
        <v>0</v>
      </c>
      <c r="M52" s="82">
        <v>0</v>
      </c>
      <c r="N52" s="82" t="e">
        <v>#REF!</v>
      </c>
      <c r="O52" s="82" t="e">
        <v>#REF!</v>
      </c>
      <c r="P52" s="86" t="e">
        <v>#REF!</v>
      </c>
      <c r="Q52" s="83">
        <v>0</v>
      </c>
      <c r="R52" s="84"/>
    </row>
    <row r="53" spans="1:18" ht="19.5" customHeight="1" x14ac:dyDescent="0.25">
      <c r="A53" s="10"/>
      <c r="B53" s="66">
        <v>13</v>
      </c>
      <c r="C53" s="85" t="str">
        <f ca="1">IFERROR(__xludf.DUMMYFUNCTION("""COMPUTED_VALUE"""),"Health/Bodycare")</f>
        <v>Health/Bodycare</v>
      </c>
      <c r="D53" s="82">
        <f t="shared" ca="1" si="10"/>
        <v>0</v>
      </c>
      <c r="E53" s="82">
        <v>0</v>
      </c>
      <c r="F53" s="82">
        <v>0</v>
      </c>
      <c r="G53" s="82">
        <v>0</v>
      </c>
      <c r="H53" s="82">
        <v>0</v>
      </c>
      <c r="I53" s="82">
        <v>0</v>
      </c>
      <c r="J53" s="82">
        <v>0</v>
      </c>
      <c r="K53" s="82">
        <v>0</v>
      </c>
      <c r="L53" s="82">
        <v>0</v>
      </c>
      <c r="M53" s="82">
        <v>0</v>
      </c>
      <c r="N53" s="82" t="e">
        <v>#REF!</v>
      </c>
      <c r="O53" s="82" t="e">
        <v>#REF!</v>
      </c>
      <c r="P53" s="86" t="e">
        <v>#REF!</v>
      </c>
      <c r="Q53" s="83">
        <v>0</v>
      </c>
      <c r="R53" s="84"/>
    </row>
    <row r="54" spans="1:18" ht="19.5" customHeight="1" x14ac:dyDescent="0.25">
      <c r="A54" s="10"/>
      <c r="B54" s="66">
        <v>14</v>
      </c>
      <c r="C54" s="85" t="str">
        <f ca="1">IFERROR(__xludf.DUMMYFUNCTION("""COMPUTED_VALUE"""),"Content dan PP")</f>
        <v>Content dan PP</v>
      </c>
      <c r="D54" s="82">
        <f t="shared" ca="1" si="10"/>
        <v>0</v>
      </c>
      <c r="E54" s="82">
        <v>0</v>
      </c>
      <c r="F54" s="82">
        <v>0</v>
      </c>
      <c r="G54" s="82">
        <v>0</v>
      </c>
      <c r="H54" s="82">
        <v>0</v>
      </c>
      <c r="I54" s="82">
        <v>0</v>
      </c>
      <c r="J54" s="82">
        <v>0</v>
      </c>
      <c r="K54" s="82">
        <v>0</v>
      </c>
      <c r="L54" s="82">
        <v>0</v>
      </c>
      <c r="M54" s="82">
        <v>0</v>
      </c>
      <c r="N54" s="82" t="e">
        <v>#REF!</v>
      </c>
      <c r="O54" s="82" t="e">
        <v>#REF!</v>
      </c>
      <c r="P54" s="86" t="e">
        <v>#REF!</v>
      </c>
      <c r="Q54" s="83">
        <v>0</v>
      </c>
      <c r="R54" s="84"/>
    </row>
    <row r="55" spans="1:18" ht="19.5" customHeight="1" x14ac:dyDescent="0.25">
      <c r="A55" s="10"/>
      <c r="B55" s="66">
        <v>15</v>
      </c>
      <c r="C55" s="85" t="str">
        <f ca="1">IFERROR(__xludf.DUMMYFUNCTION("""COMPUTED_VALUE"""),"Koperasi")</f>
        <v>Koperasi</v>
      </c>
      <c r="D55" s="82">
        <f t="shared" ca="1" si="10"/>
        <v>0</v>
      </c>
      <c r="E55" s="82">
        <v>0</v>
      </c>
      <c r="F55" s="82">
        <v>0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82">
        <v>0</v>
      </c>
      <c r="M55" s="82">
        <v>0</v>
      </c>
      <c r="N55" s="82" t="e">
        <v>#REF!</v>
      </c>
      <c r="O55" s="82" t="e">
        <v>#REF!</v>
      </c>
      <c r="P55" s="86" t="e">
        <v>#REF!</v>
      </c>
      <c r="Q55" s="83">
        <v>0</v>
      </c>
      <c r="R55" s="84"/>
    </row>
    <row r="56" spans="1:18" ht="19.5" customHeight="1" x14ac:dyDescent="0.25">
      <c r="A56" s="10"/>
      <c r="B56" s="66">
        <v>16</v>
      </c>
      <c r="C56" s="85" t="str">
        <f ca="1">IFERROR(__xludf.DUMMYFUNCTION("""COMPUTED_VALUE"""),"Gifts/charity")</f>
        <v>Gifts/charity</v>
      </c>
      <c r="D56" s="82">
        <f t="shared" ca="1" si="10"/>
        <v>0</v>
      </c>
      <c r="E56" s="82">
        <v>0</v>
      </c>
      <c r="F56" s="82">
        <v>0</v>
      </c>
      <c r="G56" s="82">
        <v>0</v>
      </c>
      <c r="H56" s="82">
        <v>0</v>
      </c>
      <c r="I56" s="82">
        <v>0</v>
      </c>
      <c r="J56" s="82">
        <v>0</v>
      </c>
      <c r="K56" s="82">
        <v>0</v>
      </c>
      <c r="L56" s="82">
        <v>0</v>
      </c>
      <c r="M56" s="82">
        <v>0</v>
      </c>
      <c r="N56" s="82" t="e">
        <v>#REF!</v>
      </c>
      <c r="O56" s="82" t="e">
        <v>#REF!</v>
      </c>
      <c r="P56" s="86" t="e">
        <v>#REF!</v>
      </c>
      <c r="Q56" s="83">
        <v>0</v>
      </c>
      <c r="R56" s="84"/>
    </row>
    <row r="57" spans="1:18" ht="19.5" customHeight="1" x14ac:dyDescent="0.25">
      <c r="A57" s="10"/>
      <c r="B57" s="66">
        <v>17</v>
      </c>
      <c r="C57" s="85" t="str">
        <f ca="1">IFERROR(__xludf.DUMMYFUNCTION("""COMPUTED_VALUE"""),"Lending")</f>
        <v>Lending</v>
      </c>
      <c r="D57" s="82">
        <f t="shared" ca="1" si="10"/>
        <v>0</v>
      </c>
      <c r="E57" s="87">
        <v>0</v>
      </c>
      <c r="F57" s="87">
        <v>0</v>
      </c>
      <c r="G57" s="87">
        <v>0</v>
      </c>
      <c r="H57" s="87">
        <v>0</v>
      </c>
      <c r="I57" s="87">
        <v>0</v>
      </c>
      <c r="J57" s="87">
        <v>0</v>
      </c>
      <c r="K57" s="87">
        <v>0</v>
      </c>
      <c r="L57" s="87">
        <v>0</v>
      </c>
      <c r="M57" s="87">
        <v>0</v>
      </c>
      <c r="N57" s="87" t="e">
        <v>#REF!</v>
      </c>
      <c r="O57" s="87" t="e">
        <v>#REF!</v>
      </c>
      <c r="P57" s="86" t="e">
        <v>#REF!</v>
      </c>
      <c r="Q57" s="83">
        <v>0</v>
      </c>
      <c r="R57" s="84"/>
    </row>
    <row r="58" spans="1:18" ht="19.5" customHeight="1" x14ac:dyDescent="0.25">
      <c r="A58" s="10"/>
      <c r="B58" s="66">
        <v>18</v>
      </c>
      <c r="C58" s="85" t="str">
        <f ca="1">IFERROR(__xludf.DUMMYFUNCTION("""COMPUTED_VALUE"""),"SPPD")</f>
        <v>SPPD</v>
      </c>
      <c r="D58" s="82">
        <f t="shared" ca="1" si="10"/>
        <v>0</v>
      </c>
      <c r="E58" s="87">
        <v>0</v>
      </c>
      <c r="F58" s="87">
        <v>0</v>
      </c>
      <c r="G58" s="87">
        <v>0</v>
      </c>
      <c r="H58" s="87">
        <v>0</v>
      </c>
      <c r="I58" s="87">
        <v>0</v>
      </c>
      <c r="J58" s="87">
        <v>0</v>
      </c>
      <c r="K58" s="87">
        <v>0</v>
      </c>
      <c r="L58" s="87">
        <v>0</v>
      </c>
      <c r="M58" s="87">
        <v>0</v>
      </c>
      <c r="N58" s="87" t="e">
        <v>#REF!</v>
      </c>
      <c r="O58" s="87" t="e">
        <v>#REF!</v>
      </c>
      <c r="P58" s="86" t="e">
        <v>#REF!</v>
      </c>
      <c r="Q58" s="83">
        <v>0</v>
      </c>
      <c r="R58" s="84"/>
    </row>
    <row r="59" spans="1:18" ht="19.5" customHeight="1" x14ac:dyDescent="0.25">
      <c r="A59" s="10"/>
      <c r="B59" s="66"/>
      <c r="C59" s="88"/>
      <c r="D59" s="89" t="str">
        <f t="shared" ref="D59:D80" ca="1" si="11">IF(NOT(ISBLANK(B59)), INDIRECT("Expenses!D"&amp;B59&amp;":Q"&amp;B59),"")</f>
        <v/>
      </c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90"/>
      <c r="Q59" s="90"/>
      <c r="R59" s="91"/>
    </row>
    <row r="60" spans="1:18" ht="19.5" customHeight="1" x14ac:dyDescent="0.25">
      <c r="A60" s="10"/>
      <c r="B60" s="11"/>
      <c r="C60" s="16"/>
      <c r="D60" s="71" t="str">
        <f t="shared" ca="1" si="11"/>
        <v/>
      </c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3"/>
      <c r="Q60" s="93"/>
      <c r="R60" s="94"/>
    </row>
    <row r="61" spans="1:18" ht="19.5" customHeight="1" x14ac:dyDescent="0.3">
      <c r="A61" s="10"/>
      <c r="B61" s="11"/>
      <c r="C61" s="14"/>
      <c r="D61" s="71" t="str">
        <f t="shared" ca="1" si="11"/>
        <v/>
      </c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3"/>
      <c r="Q61" s="93"/>
      <c r="R61" s="95"/>
    </row>
    <row r="62" spans="1:18" ht="19.5" customHeight="1" x14ac:dyDescent="0.3">
      <c r="A62" s="10"/>
      <c r="B62" s="11"/>
      <c r="C62" s="14"/>
      <c r="D62" s="71" t="str">
        <f t="shared" ca="1" si="11"/>
        <v/>
      </c>
      <c r="E62" s="96"/>
      <c r="F62" s="97"/>
      <c r="G62" s="97"/>
      <c r="H62" s="98"/>
      <c r="I62" s="97"/>
      <c r="J62" s="97"/>
      <c r="K62" s="97"/>
      <c r="L62" s="97"/>
      <c r="M62" s="97"/>
      <c r="N62" s="97"/>
      <c r="O62" s="97"/>
      <c r="P62" s="99"/>
      <c r="Q62" s="99"/>
      <c r="R62" s="95"/>
    </row>
    <row r="63" spans="1:18" ht="19.5" customHeight="1" x14ac:dyDescent="0.3">
      <c r="A63" s="10"/>
      <c r="B63" s="11"/>
      <c r="C63" s="14"/>
      <c r="D63" s="71" t="str">
        <f t="shared" ca="1" si="11"/>
        <v/>
      </c>
      <c r="E63" s="96"/>
      <c r="F63" s="97"/>
      <c r="G63" s="97"/>
      <c r="H63" s="98"/>
      <c r="I63" s="97"/>
      <c r="J63" s="97"/>
      <c r="K63" s="97"/>
      <c r="L63" s="97"/>
      <c r="M63" s="97"/>
      <c r="N63" s="97"/>
      <c r="O63" s="97"/>
      <c r="P63" s="99"/>
      <c r="Q63" s="99"/>
      <c r="R63" s="95"/>
    </row>
    <row r="64" spans="1:18" ht="19.5" customHeight="1" x14ac:dyDescent="0.3">
      <c r="A64" s="10"/>
      <c r="B64" s="11"/>
      <c r="C64" s="14"/>
      <c r="D64" s="71" t="str">
        <f t="shared" ca="1" si="11"/>
        <v/>
      </c>
      <c r="E64" s="96"/>
      <c r="F64" s="97"/>
      <c r="G64" s="97"/>
      <c r="H64" s="98"/>
      <c r="I64" s="97"/>
      <c r="J64" s="97"/>
      <c r="K64" s="97"/>
      <c r="L64" s="97"/>
      <c r="M64" s="97"/>
      <c r="N64" s="97"/>
      <c r="O64" s="97"/>
      <c r="P64" s="99"/>
      <c r="Q64" s="99"/>
      <c r="R64" s="95"/>
    </row>
    <row r="65" spans="1:18" ht="19.5" customHeight="1" x14ac:dyDescent="0.3">
      <c r="A65" s="10"/>
      <c r="B65" s="11"/>
      <c r="C65" s="14"/>
      <c r="D65" s="71" t="str">
        <f t="shared" ca="1" si="11"/>
        <v/>
      </c>
      <c r="E65" s="96"/>
      <c r="F65" s="97"/>
      <c r="G65" s="97"/>
      <c r="H65" s="98"/>
      <c r="I65" s="97"/>
      <c r="J65" s="97"/>
      <c r="K65" s="97"/>
      <c r="L65" s="97"/>
      <c r="M65" s="97"/>
      <c r="N65" s="97"/>
      <c r="O65" s="97"/>
      <c r="P65" s="99"/>
      <c r="Q65" s="99"/>
      <c r="R65" s="95"/>
    </row>
    <row r="66" spans="1:18" ht="19.5" customHeight="1" x14ac:dyDescent="0.25">
      <c r="A66" s="10"/>
      <c r="B66" s="11"/>
      <c r="C66" s="16"/>
      <c r="D66" s="71" t="str">
        <f t="shared" ca="1" si="11"/>
        <v/>
      </c>
      <c r="E66" s="97"/>
      <c r="F66" s="97"/>
      <c r="G66" s="97"/>
      <c r="H66" s="98"/>
      <c r="I66" s="97"/>
      <c r="J66" s="97"/>
      <c r="K66" s="97"/>
      <c r="L66" s="97"/>
      <c r="M66" s="97"/>
      <c r="N66" s="97"/>
      <c r="O66" s="97"/>
      <c r="P66" s="99"/>
      <c r="Q66" s="99"/>
      <c r="R66" s="95"/>
    </row>
    <row r="67" spans="1:18" ht="19.5" customHeight="1" x14ac:dyDescent="0.25">
      <c r="A67" s="10"/>
      <c r="B67" s="11"/>
      <c r="C67" s="16"/>
      <c r="D67" s="71" t="str">
        <f t="shared" ca="1" si="11"/>
        <v/>
      </c>
      <c r="E67" s="97"/>
      <c r="F67" s="97"/>
      <c r="G67" s="97"/>
      <c r="H67" s="98"/>
      <c r="I67" s="97"/>
      <c r="J67" s="97"/>
      <c r="K67" s="97"/>
      <c r="L67" s="97"/>
      <c r="M67" s="97"/>
      <c r="N67" s="97"/>
      <c r="O67" s="97"/>
      <c r="P67" s="99"/>
      <c r="Q67" s="99"/>
      <c r="R67" s="95"/>
    </row>
    <row r="68" spans="1:18" ht="19.5" customHeight="1" x14ac:dyDescent="0.25">
      <c r="A68" s="10"/>
      <c r="B68" s="11"/>
      <c r="C68" s="16"/>
      <c r="D68" s="71" t="str">
        <f t="shared" ca="1" si="11"/>
        <v/>
      </c>
      <c r="E68" s="97"/>
      <c r="F68" s="97"/>
      <c r="G68" s="97"/>
      <c r="H68" s="98"/>
      <c r="I68" s="97"/>
      <c r="J68" s="97"/>
      <c r="K68" s="97"/>
      <c r="L68" s="97"/>
      <c r="M68" s="97"/>
      <c r="N68" s="97"/>
      <c r="O68" s="97"/>
      <c r="P68" s="99"/>
      <c r="Q68" s="99"/>
      <c r="R68" s="95"/>
    </row>
    <row r="69" spans="1:18" ht="19.5" customHeight="1" x14ac:dyDescent="0.25">
      <c r="A69" s="10"/>
      <c r="B69" s="11"/>
      <c r="C69" s="16"/>
      <c r="D69" s="71" t="str">
        <f t="shared" ca="1" si="11"/>
        <v/>
      </c>
      <c r="E69" s="97"/>
      <c r="F69" s="97"/>
      <c r="G69" s="97"/>
      <c r="H69" s="98"/>
      <c r="I69" s="97"/>
      <c r="J69" s="97"/>
      <c r="K69" s="97"/>
      <c r="L69" s="97"/>
      <c r="M69" s="97"/>
      <c r="N69" s="97"/>
      <c r="O69" s="97"/>
      <c r="P69" s="99"/>
      <c r="Q69" s="99"/>
      <c r="R69" s="95"/>
    </row>
    <row r="70" spans="1:18" ht="19.5" customHeight="1" x14ac:dyDescent="0.25">
      <c r="A70" s="10"/>
      <c r="B70" s="11"/>
      <c r="C70" s="16"/>
      <c r="D70" s="71" t="str">
        <f t="shared" ca="1" si="11"/>
        <v/>
      </c>
      <c r="E70" s="97"/>
      <c r="F70" s="97"/>
      <c r="G70" s="97"/>
      <c r="H70" s="98"/>
      <c r="I70" s="97"/>
      <c r="J70" s="97"/>
      <c r="K70" s="97"/>
      <c r="L70" s="97"/>
      <c r="M70" s="97"/>
      <c r="N70" s="97"/>
      <c r="O70" s="97"/>
      <c r="P70" s="99"/>
      <c r="Q70" s="99"/>
      <c r="R70" s="95"/>
    </row>
    <row r="71" spans="1:18" ht="19.5" customHeight="1" x14ac:dyDescent="0.25">
      <c r="A71" s="10"/>
      <c r="B71" s="11"/>
      <c r="C71" s="16"/>
      <c r="D71" s="71" t="str">
        <f t="shared" ca="1" si="11"/>
        <v/>
      </c>
      <c r="E71" s="97"/>
      <c r="F71" s="97"/>
      <c r="G71" s="97"/>
      <c r="H71" s="98"/>
      <c r="I71" s="97"/>
      <c r="J71" s="97"/>
      <c r="K71" s="97"/>
      <c r="L71" s="97"/>
      <c r="M71" s="97"/>
      <c r="N71" s="97"/>
      <c r="O71" s="97"/>
      <c r="P71" s="99"/>
      <c r="Q71" s="99"/>
      <c r="R71" s="95"/>
    </row>
    <row r="72" spans="1:18" ht="19.5" customHeight="1" x14ac:dyDescent="0.25">
      <c r="A72" s="10"/>
      <c r="B72" s="11"/>
      <c r="C72" s="16"/>
      <c r="D72" s="71" t="str">
        <f t="shared" ca="1" si="11"/>
        <v/>
      </c>
      <c r="E72" s="97"/>
      <c r="F72" s="97"/>
      <c r="G72" s="97"/>
      <c r="H72" s="98"/>
      <c r="I72" s="97"/>
      <c r="J72" s="97"/>
      <c r="K72" s="97"/>
      <c r="L72" s="97"/>
      <c r="M72" s="97"/>
      <c r="N72" s="97"/>
      <c r="O72" s="97"/>
      <c r="P72" s="99"/>
      <c r="Q72" s="99"/>
      <c r="R72" s="95"/>
    </row>
    <row r="73" spans="1:18" ht="19.5" customHeight="1" x14ac:dyDescent="0.25">
      <c r="A73" s="10"/>
      <c r="B73" s="11"/>
      <c r="C73" s="16"/>
      <c r="D73" s="71" t="str">
        <f t="shared" ca="1" si="11"/>
        <v/>
      </c>
      <c r="E73" s="97"/>
      <c r="F73" s="97"/>
      <c r="G73" s="97"/>
      <c r="H73" s="98"/>
      <c r="I73" s="97"/>
      <c r="J73" s="97"/>
      <c r="K73" s="97"/>
      <c r="L73" s="97"/>
      <c r="M73" s="97"/>
      <c r="N73" s="97"/>
      <c r="O73" s="97"/>
      <c r="P73" s="99"/>
      <c r="Q73" s="99"/>
      <c r="R73" s="95"/>
    </row>
    <row r="74" spans="1:18" ht="19.5" customHeight="1" x14ac:dyDescent="0.25">
      <c r="A74" s="10"/>
      <c r="B74" s="11"/>
      <c r="C74" s="16"/>
      <c r="D74" s="71" t="str">
        <f t="shared" ca="1" si="11"/>
        <v/>
      </c>
      <c r="E74" s="97"/>
      <c r="F74" s="97"/>
      <c r="G74" s="97"/>
      <c r="H74" s="98"/>
      <c r="I74" s="97"/>
      <c r="J74" s="97"/>
      <c r="K74" s="97"/>
      <c r="L74" s="97"/>
      <c r="M74" s="97"/>
      <c r="N74" s="97"/>
      <c r="O74" s="97"/>
      <c r="P74" s="99"/>
      <c r="Q74" s="99"/>
      <c r="R74" s="95"/>
    </row>
    <row r="75" spans="1:18" ht="19.5" customHeight="1" x14ac:dyDescent="0.25">
      <c r="A75" s="10"/>
      <c r="B75" s="11"/>
      <c r="C75" s="16"/>
      <c r="D75" s="71" t="str">
        <f t="shared" ca="1" si="11"/>
        <v/>
      </c>
      <c r="E75" s="97"/>
      <c r="F75" s="97"/>
      <c r="G75" s="97"/>
      <c r="H75" s="98"/>
      <c r="I75" s="97"/>
      <c r="J75" s="97"/>
      <c r="K75" s="97"/>
      <c r="L75" s="97"/>
      <c r="M75" s="97"/>
      <c r="N75" s="97"/>
      <c r="O75" s="97"/>
      <c r="P75" s="99"/>
      <c r="Q75" s="99"/>
      <c r="R75" s="95"/>
    </row>
    <row r="76" spans="1:18" ht="19.5" customHeight="1" x14ac:dyDescent="0.25">
      <c r="A76" s="10"/>
      <c r="B76" s="11"/>
      <c r="C76" s="16"/>
      <c r="D76" s="71" t="str">
        <f t="shared" ca="1" si="11"/>
        <v/>
      </c>
      <c r="E76" s="97"/>
      <c r="F76" s="97"/>
      <c r="G76" s="97"/>
      <c r="H76" s="98"/>
      <c r="I76" s="97"/>
      <c r="J76" s="97"/>
      <c r="K76" s="97"/>
      <c r="L76" s="97"/>
      <c r="M76" s="97"/>
      <c r="N76" s="97"/>
      <c r="O76" s="97"/>
      <c r="P76" s="99"/>
      <c r="Q76" s="99"/>
      <c r="R76" s="95"/>
    </row>
    <row r="77" spans="1:18" ht="19.5" customHeight="1" x14ac:dyDescent="0.25">
      <c r="A77" s="10"/>
      <c r="B77" s="11"/>
      <c r="C77" s="16"/>
      <c r="D77" s="71" t="str">
        <f t="shared" ca="1" si="11"/>
        <v/>
      </c>
      <c r="E77" s="97"/>
      <c r="F77" s="97"/>
      <c r="G77" s="97"/>
      <c r="H77" s="98"/>
      <c r="I77" s="97"/>
      <c r="J77" s="97"/>
      <c r="K77" s="97"/>
      <c r="L77" s="97"/>
      <c r="M77" s="97"/>
      <c r="N77" s="97"/>
      <c r="O77" s="97"/>
      <c r="P77" s="99"/>
      <c r="Q77" s="99"/>
      <c r="R77" s="95"/>
    </row>
    <row r="78" spans="1:18" ht="19.5" customHeight="1" x14ac:dyDescent="0.25">
      <c r="A78" s="10"/>
      <c r="B78" s="11"/>
      <c r="C78" s="16"/>
      <c r="D78" s="71" t="str">
        <f t="shared" ca="1" si="11"/>
        <v/>
      </c>
      <c r="E78" s="97"/>
      <c r="F78" s="97"/>
      <c r="G78" s="97"/>
      <c r="H78" s="98"/>
      <c r="I78" s="97"/>
      <c r="J78" s="97"/>
      <c r="K78" s="97"/>
      <c r="L78" s="97"/>
      <c r="M78" s="97"/>
      <c r="N78" s="97"/>
      <c r="O78" s="97"/>
      <c r="P78" s="99"/>
      <c r="Q78" s="99"/>
      <c r="R78" s="95"/>
    </row>
    <row r="79" spans="1:18" ht="19.5" customHeight="1" x14ac:dyDescent="0.25">
      <c r="A79" s="10"/>
      <c r="B79" s="11"/>
      <c r="C79" s="16"/>
      <c r="D79" s="71" t="str">
        <f t="shared" ca="1" si="11"/>
        <v/>
      </c>
      <c r="E79" s="97"/>
      <c r="F79" s="97"/>
      <c r="G79" s="97"/>
      <c r="H79" s="98"/>
      <c r="I79" s="97"/>
      <c r="J79" s="97"/>
      <c r="K79" s="97"/>
      <c r="L79" s="97"/>
      <c r="M79" s="97"/>
      <c r="N79" s="97"/>
      <c r="O79" s="97"/>
      <c r="P79" s="99"/>
      <c r="Q79" s="99"/>
      <c r="R79" s="95"/>
    </row>
    <row r="80" spans="1:18" ht="19.5" customHeight="1" x14ac:dyDescent="0.25">
      <c r="A80" s="10"/>
      <c r="B80" s="11"/>
      <c r="C80" s="16"/>
      <c r="D80" s="71" t="str">
        <f t="shared" ca="1" si="11"/>
        <v/>
      </c>
      <c r="E80" s="97"/>
      <c r="F80" s="97"/>
      <c r="G80" s="97"/>
      <c r="H80" s="98"/>
      <c r="I80" s="97"/>
      <c r="J80" s="97"/>
      <c r="K80" s="97"/>
      <c r="L80" s="97"/>
      <c r="M80" s="97"/>
      <c r="N80" s="97"/>
      <c r="O80" s="97"/>
      <c r="P80" s="99"/>
      <c r="Q80" s="99"/>
      <c r="R80" s="95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K4:M4"/>
  </mergeCells>
  <conditionalFormatting sqref="D25:O26">
    <cfRule type="cellIs" dxfId="50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R1000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" customHeight="1" outlineLevelRow="1" outlineLevelCol="1" x14ac:dyDescent="0.25"/>
  <cols>
    <col min="1" max="1" width="14.33203125" customWidth="1"/>
    <col min="2" max="2" width="2" customWidth="1"/>
    <col min="3" max="3" width="16.109375" customWidth="1"/>
    <col min="4" max="15" width="13" customWidth="1" outlineLevel="1"/>
    <col min="16" max="16" width="11.109375" customWidth="1"/>
    <col min="17" max="17" width="8.109375" customWidth="1"/>
    <col min="18" max="18" width="8.88671875" customWidth="1"/>
  </cols>
  <sheetData>
    <row r="1" spans="1:18" ht="6" customHeight="1" x14ac:dyDescent="0.25">
      <c r="A1" s="100"/>
      <c r="B1" s="100"/>
      <c r="C1" s="101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104"/>
      <c r="R1" s="104"/>
    </row>
    <row r="2" spans="1:18" ht="38.25" customHeight="1" x14ac:dyDescent="0.45">
      <c r="A2" s="105"/>
      <c r="B2" s="105"/>
      <c r="C2" s="106" t="s">
        <v>10</v>
      </c>
      <c r="D2" s="107">
        <v>42370</v>
      </c>
      <c r="E2" s="107">
        <v>42401</v>
      </c>
      <c r="F2" s="107">
        <v>42430</v>
      </c>
      <c r="G2" s="107">
        <v>42461</v>
      </c>
      <c r="H2" s="107">
        <v>42491</v>
      </c>
      <c r="I2" s="107">
        <v>42522</v>
      </c>
      <c r="J2" s="107">
        <v>42552</v>
      </c>
      <c r="K2" s="107">
        <v>42583</v>
      </c>
      <c r="L2" s="107">
        <v>42614</v>
      </c>
      <c r="M2" s="107">
        <v>42644</v>
      </c>
      <c r="N2" s="107">
        <v>42675</v>
      </c>
      <c r="O2" s="107">
        <v>42705</v>
      </c>
      <c r="P2" s="108" t="s">
        <v>7</v>
      </c>
      <c r="Q2" s="109" t="s">
        <v>8</v>
      </c>
      <c r="R2" s="109"/>
    </row>
    <row r="3" spans="1:18" ht="24" customHeight="1" x14ac:dyDescent="0.25">
      <c r="A3" s="110"/>
      <c r="B3" s="111"/>
      <c r="C3" s="112" t="s">
        <v>14</v>
      </c>
      <c r="D3" s="113">
        <f t="shared" ref="D3:O3" si="0">SUM(D4:D18)</f>
        <v>0</v>
      </c>
      <c r="E3" s="113">
        <f t="shared" si="0"/>
        <v>0</v>
      </c>
      <c r="F3" s="113">
        <f t="shared" si="0"/>
        <v>0</v>
      </c>
      <c r="G3" s="113">
        <f t="shared" si="0"/>
        <v>0</v>
      </c>
      <c r="H3" s="113">
        <f t="shared" si="0"/>
        <v>0</v>
      </c>
      <c r="I3" s="113">
        <f t="shared" si="0"/>
        <v>0</v>
      </c>
      <c r="J3" s="113">
        <f t="shared" si="0"/>
        <v>0</v>
      </c>
      <c r="K3" s="113">
        <f t="shared" si="0"/>
        <v>0</v>
      </c>
      <c r="L3" s="113">
        <f t="shared" si="0"/>
        <v>0</v>
      </c>
      <c r="M3" s="113">
        <f t="shared" si="0"/>
        <v>0</v>
      </c>
      <c r="N3" s="113">
        <f t="shared" si="0"/>
        <v>0</v>
      </c>
      <c r="O3" s="113">
        <f t="shared" si="0"/>
        <v>0</v>
      </c>
      <c r="P3" s="114">
        <f t="shared" ref="P3:P18" si="1">SUM(D3:O3)</f>
        <v>0</v>
      </c>
      <c r="Q3" s="114" t="s">
        <v>66</v>
      </c>
      <c r="R3" s="115"/>
    </row>
    <row r="4" spans="1:18" ht="19.5" customHeight="1" outlineLevel="1" x14ac:dyDescent="0.25">
      <c r="A4" s="116" t="str">
        <f>January!B28</f>
        <v>Food</v>
      </c>
      <c r="B4" s="117"/>
      <c r="C4" s="118"/>
      <c r="D4" s="119">
        <f>January!E28</f>
        <v>0</v>
      </c>
      <c r="E4" s="119">
        <f>February!E28</f>
        <v>0</v>
      </c>
      <c r="F4" s="119">
        <f>March!E28</f>
        <v>0</v>
      </c>
      <c r="G4" s="119">
        <f>April!E28</f>
        <v>0</v>
      </c>
      <c r="H4" s="119">
        <f>Mei!E28</f>
        <v>0</v>
      </c>
      <c r="I4" s="119">
        <f>Juni!E28</f>
        <v>0</v>
      </c>
      <c r="J4" s="119">
        <f>Juli!E28</f>
        <v>0</v>
      </c>
      <c r="K4" s="119">
        <f>Agustus!E28</f>
        <v>0</v>
      </c>
      <c r="L4" s="119">
        <f>September!E28</f>
        <v>0</v>
      </c>
      <c r="M4" s="119">
        <f>Oktober!E28</f>
        <v>0</v>
      </c>
      <c r="N4" s="119" t="s">
        <v>67</v>
      </c>
      <c r="O4" s="119" t="s">
        <v>67</v>
      </c>
      <c r="P4" s="120">
        <f t="shared" si="1"/>
        <v>0</v>
      </c>
      <c r="Q4" s="120">
        <f t="shared" ref="Q4:Q18" si="2">IFERROR(AVERAGE(D4:O4),0)</f>
        <v>0</v>
      </c>
      <c r="R4" s="121"/>
    </row>
    <row r="5" spans="1:18" ht="19.5" customHeight="1" outlineLevel="1" x14ac:dyDescent="0.25">
      <c r="A5" s="116" t="str">
        <f>January!B29</f>
        <v>Groceries</v>
      </c>
      <c r="B5" s="122"/>
      <c r="C5" s="118"/>
      <c r="D5" s="119">
        <f>January!E29</f>
        <v>0</v>
      </c>
      <c r="E5" s="119">
        <f>February!E29</f>
        <v>0</v>
      </c>
      <c r="F5" s="119">
        <f>March!E29</f>
        <v>0</v>
      </c>
      <c r="G5" s="119">
        <f>April!E29</f>
        <v>0</v>
      </c>
      <c r="H5" s="119">
        <f>Mei!E29</f>
        <v>0</v>
      </c>
      <c r="I5" s="119">
        <f>Juni!E29</f>
        <v>0</v>
      </c>
      <c r="J5" s="119">
        <f>Juli!E29</f>
        <v>0</v>
      </c>
      <c r="K5" s="119">
        <f>Agustus!E29</f>
        <v>0</v>
      </c>
      <c r="L5" s="119">
        <f>September!E29</f>
        <v>0</v>
      </c>
      <c r="M5" s="119">
        <f>Oktober!E29</f>
        <v>0</v>
      </c>
      <c r="N5" s="119" t="s">
        <v>67</v>
      </c>
      <c r="O5" s="119" t="s">
        <v>67</v>
      </c>
      <c r="P5" s="120">
        <f t="shared" si="1"/>
        <v>0</v>
      </c>
      <c r="Q5" s="120">
        <f t="shared" si="2"/>
        <v>0</v>
      </c>
      <c r="R5" s="121"/>
    </row>
    <row r="6" spans="1:18" ht="19.5" customHeight="1" outlineLevel="1" x14ac:dyDescent="0.25">
      <c r="A6" s="116" t="str">
        <f>January!B30</f>
        <v>Internet</v>
      </c>
      <c r="B6" s="122"/>
      <c r="C6" s="118"/>
      <c r="D6" s="119">
        <f>January!E30</f>
        <v>0</v>
      </c>
      <c r="E6" s="119">
        <f>February!E30</f>
        <v>0</v>
      </c>
      <c r="F6" s="119">
        <f>March!E30</f>
        <v>0</v>
      </c>
      <c r="G6" s="119">
        <f>April!E30</f>
        <v>0</v>
      </c>
      <c r="H6" s="119">
        <f>Mei!E30</f>
        <v>0</v>
      </c>
      <c r="I6" s="119">
        <f>Juni!E30</f>
        <v>0</v>
      </c>
      <c r="J6" s="119">
        <f>Juli!E30</f>
        <v>0</v>
      </c>
      <c r="K6" s="119">
        <f>Agustus!E30</f>
        <v>0</v>
      </c>
      <c r="L6" s="119">
        <f>September!E30</f>
        <v>0</v>
      </c>
      <c r="M6" s="119">
        <f>Oktober!E30</f>
        <v>0</v>
      </c>
      <c r="N6" s="119" t="s">
        <v>67</v>
      </c>
      <c r="O6" s="119" t="s">
        <v>67</v>
      </c>
      <c r="P6" s="120">
        <f t="shared" si="1"/>
        <v>0</v>
      </c>
      <c r="Q6" s="120">
        <f t="shared" si="2"/>
        <v>0</v>
      </c>
      <c r="R6" s="121"/>
    </row>
    <row r="7" spans="1:18" ht="19.5" customHeight="1" outlineLevel="1" x14ac:dyDescent="0.25">
      <c r="A7" s="116" t="str">
        <f>January!B31</f>
        <v>Kids</v>
      </c>
      <c r="B7" s="122"/>
      <c r="C7" s="118"/>
      <c r="D7" s="119">
        <f>January!E31</f>
        <v>0</v>
      </c>
      <c r="E7" s="119">
        <f>February!E31</f>
        <v>0</v>
      </c>
      <c r="F7" s="119">
        <f>March!E31</f>
        <v>0</v>
      </c>
      <c r="G7" s="119">
        <f>April!E31</f>
        <v>0</v>
      </c>
      <c r="H7" s="119">
        <f>Mei!E31</f>
        <v>0</v>
      </c>
      <c r="I7" s="119">
        <f>Juni!E31</f>
        <v>0</v>
      </c>
      <c r="J7" s="119">
        <f>Juli!E31</f>
        <v>0</v>
      </c>
      <c r="K7" s="119">
        <f>Agustus!E31</f>
        <v>0</v>
      </c>
      <c r="L7" s="119">
        <f>September!E31</f>
        <v>0</v>
      </c>
      <c r="M7" s="119">
        <f>Oktober!E31</f>
        <v>0</v>
      </c>
      <c r="N7" s="119" t="s">
        <v>67</v>
      </c>
      <c r="O7" s="119" t="s">
        <v>67</v>
      </c>
      <c r="P7" s="120">
        <f t="shared" si="1"/>
        <v>0</v>
      </c>
      <c r="Q7" s="120">
        <f t="shared" si="2"/>
        <v>0</v>
      </c>
      <c r="R7" s="121"/>
    </row>
    <row r="8" spans="1:18" ht="19.5" customHeight="1" outlineLevel="1" x14ac:dyDescent="0.25">
      <c r="A8" s="116" t="str">
        <f>January!B32</f>
        <v>Transportation</v>
      </c>
      <c r="B8" s="122"/>
      <c r="C8" s="118"/>
      <c r="D8" s="119">
        <f>January!E32</f>
        <v>0</v>
      </c>
      <c r="E8" s="119">
        <f>February!E32</f>
        <v>0</v>
      </c>
      <c r="F8" s="119">
        <f>March!E32</f>
        <v>0</v>
      </c>
      <c r="G8" s="119">
        <f>April!E32</f>
        <v>0</v>
      </c>
      <c r="H8" s="119">
        <f>Mei!E32</f>
        <v>0</v>
      </c>
      <c r="I8" s="119">
        <f>Juni!E32</f>
        <v>0</v>
      </c>
      <c r="J8" s="119">
        <f>Juli!E32</f>
        <v>0</v>
      </c>
      <c r="K8" s="119">
        <f>Agustus!E32</f>
        <v>0</v>
      </c>
      <c r="L8" s="119">
        <f>September!E32</f>
        <v>0</v>
      </c>
      <c r="M8" s="119">
        <f>Oktober!E32</f>
        <v>0</v>
      </c>
      <c r="N8" s="119" t="s">
        <v>67</v>
      </c>
      <c r="O8" s="119" t="s">
        <v>67</v>
      </c>
      <c r="P8" s="120">
        <f t="shared" si="1"/>
        <v>0</v>
      </c>
      <c r="Q8" s="120">
        <f t="shared" si="2"/>
        <v>0</v>
      </c>
      <c r="R8" s="121"/>
    </row>
    <row r="9" spans="1:18" ht="19.5" customHeight="1" outlineLevel="1" x14ac:dyDescent="0.25">
      <c r="A9" s="116" t="str">
        <f>January!B33</f>
        <v>Shopping</v>
      </c>
      <c r="B9" s="122"/>
      <c r="C9" s="118"/>
      <c r="D9" s="119">
        <f>January!E33</f>
        <v>0</v>
      </c>
      <c r="E9" s="119">
        <f>February!E33</f>
        <v>0</v>
      </c>
      <c r="F9" s="119">
        <f>March!E33</f>
        <v>0</v>
      </c>
      <c r="G9" s="119">
        <f>April!E33</f>
        <v>0</v>
      </c>
      <c r="H9" s="119">
        <f>Mei!E33</f>
        <v>0</v>
      </c>
      <c r="I9" s="119">
        <f>Juni!E33</f>
        <v>0</v>
      </c>
      <c r="J9" s="119">
        <f>Juli!E33</f>
        <v>0</v>
      </c>
      <c r="K9" s="119">
        <f>Agustus!E33</f>
        <v>0</v>
      </c>
      <c r="L9" s="119">
        <f>September!E33</f>
        <v>0</v>
      </c>
      <c r="M9" s="119">
        <f>Oktober!E33</f>
        <v>0</v>
      </c>
      <c r="N9" s="119" t="s">
        <v>67</v>
      </c>
      <c r="O9" s="119" t="s">
        <v>67</v>
      </c>
      <c r="P9" s="120">
        <f t="shared" si="1"/>
        <v>0</v>
      </c>
      <c r="Q9" s="120">
        <f t="shared" si="2"/>
        <v>0</v>
      </c>
      <c r="R9" s="121"/>
    </row>
    <row r="10" spans="1:18" ht="19.5" customHeight="1" outlineLevel="1" x14ac:dyDescent="0.25">
      <c r="A10" s="116" t="str">
        <f>January!B34</f>
        <v>Entertain</v>
      </c>
      <c r="B10" s="122"/>
      <c r="C10" s="118"/>
      <c r="D10" s="119">
        <f>January!E34</f>
        <v>0</v>
      </c>
      <c r="E10" s="119">
        <f>February!E34</f>
        <v>0</v>
      </c>
      <c r="F10" s="119">
        <f>March!E34</f>
        <v>0</v>
      </c>
      <c r="G10" s="119">
        <f>April!E34</f>
        <v>0</v>
      </c>
      <c r="H10" s="119">
        <f>Mei!E34</f>
        <v>0</v>
      </c>
      <c r="I10" s="119">
        <f>Juni!E34</f>
        <v>0</v>
      </c>
      <c r="J10" s="119">
        <f>Juli!E34</f>
        <v>0</v>
      </c>
      <c r="K10" s="119">
        <f>Agustus!E34</f>
        <v>0</v>
      </c>
      <c r="L10" s="119">
        <f>September!E34</f>
        <v>0</v>
      </c>
      <c r="M10" s="119">
        <f>Oktober!E34</f>
        <v>0</v>
      </c>
      <c r="N10" s="119" t="s">
        <v>67</v>
      </c>
      <c r="O10" s="119" t="s">
        <v>67</v>
      </c>
      <c r="P10" s="120">
        <f t="shared" si="1"/>
        <v>0</v>
      </c>
      <c r="Q10" s="120">
        <f t="shared" si="2"/>
        <v>0</v>
      </c>
      <c r="R10" s="121"/>
    </row>
    <row r="11" spans="1:18" ht="19.5" customHeight="1" outlineLevel="1" x14ac:dyDescent="0.25">
      <c r="A11" s="116" t="str">
        <f>January!B35</f>
        <v>Home and Laundry</v>
      </c>
      <c r="B11" s="122"/>
      <c r="C11" s="118"/>
      <c r="D11" s="119">
        <f>January!E35</f>
        <v>0</v>
      </c>
      <c r="E11" s="119">
        <f>February!E35</f>
        <v>0</v>
      </c>
      <c r="F11" s="119">
        <f>March!E35</f>
        <v>0</v>
      </c>
      <c r="G11" s="119">
        <f>April!E35</f>
        <v>0</v>
      </c>
      <c r="H11" s="119">
        <f>Mei!E35</f>
        <v>0</v>
      </c>
      <c r="I11" s="119">
        <f>Juni!E35</f>
        <v>0</v>
      </c>
      <c r="J11" s="119">
        <f>Juli!E35</f>
        <v>0</v>
      </c>
      <c r="K11" s="119">
        <f>Agustus!E35</f>
        <v>0</v>
      </c>
      <c r="L11" s="119">
        <f>September!E35</f>
        <v>0</v>
      </c>
      <c r="M11" s="119">
        <f>Oktober!E35</f>
        <v>0</v>
      </c>
      <c r="N11" s="119" t="s">
        <v>67</v>
      </c>
      <c r="O11" s="119" t="s">
        <v>67</v>
      </c>
      <c r="P11" s="120">
        <f t="shared" si="1"/>
        <v>0</v>
      </c>
      <c r="Q11" s="120">
        <f t="shared" si="2"/>
        <v>0</v>
      </c>
      <c r="R11" s="121"/>
    </row>
    <row r="12" spans="1:18" ht="19.5" customHeight="1" x14ac:dyDescent="0.25">
      <c r="A12" s="116" t="str">
        <f>January!B36</f>
        <v>Listrik</v>
      </c>
      <c r="B12" s="122"/>
      <c r="C12" s="118"/>
      <c r="D12" s="119">
        <f>January!E36</f>
        <v>0</v>
      </c>
      <c r="E12" s="119">
        <f>February!E36</f>
        <v>0</v>
      </c>
      <c r="F12" s="119">
        <f>March!E36</f>
        <v>0</v>
      </c>
      <c r="G12" s="119">
        <f>April!E36</f>
        <v>0</v>
      </c>
      <c r="H12" s="119">
        <f>Mei!E36</f>
        <v>0</v>
      </c>
      <c r="I12" s="119">
        <f>Juni!E36</f>
        <v>0</v>
      </c>
      <c r="J12" s="119">
        <f>Juli!E36</f>
        <v>0</v>
      </c>
      <c r="K12" s="119">
        <f>Agustus!E36</f>
        <v>0</v>
      </c>
      <c r="L12" s="119">
        <f>September!E36</f>
        <v>0</v>
      </c>
      <c r="M12" s="119">
        <f>Oktober!E36</f>
        <v>0</v>
      </c>
      <c r="N12" s="119" t="s">
        <v>67</v>
      </c>
      <c r="O12" s="119" t="s">
        <v>67</v>
      </c>
      <c r="P12" s="120">
        <f t="shared" si="1"/>
        <v>0</v>
      </c>
      <c r="Q12" s="120">
        <f t="shared" si="2"/>
        <v>0</v>
      </c>
      <c r="R12" s="121"/>
    </row>
    <row r="13" spans="1:18" ht="19.5" customHeight="1" x14ac:dyDescent="0.25">
      <c r="A13" s="116" t="str">
        <f>January!B37</f>
        <v>Health/Bodycare</v>
      </c>
      <c r="B13" s="122"/>
      <c r="C13" s="118"/>
      <c r="D13" s="119">
        <f>January!E37</f>
        <v>0</v>
      </c>
      <c r="E13" s="119">
        <f>February!E37</f>
        <v>0</v>
      </c>
      <c r="F13" s="119">
        <f>March!E37</f>
        <v>0</v>
      </c>
      <c r="G13" s="119">
        <f>April!E37</f>
        <v>0</v>
      </c>
      <c r="H13" s="119">
        <f>Mei!E37</f>
        <v>0</v>
      </c>
      <c r="I13" s="119">
        <f>Juni!E37</f>
        <v>0</v>
      </c>
      <c r="J13" s="119">
        <f>Juli!E37</f>
        <v>0</v>
      </c>
      <c r="K13" s="119">
        <f>Agustus!E37</f>
        <v>0</v>
      </c>
      <c r="L13" s="119">
        <f>September!E37</f>
        <v>0</v>
      </c>
      <c r="M13" s="119">
        <f>Oktober!E37</f>
        <v>0</v>
      </c>
      <c r="N13" s="119" t="s">
        <v>67</v>
      </c>
      <c r="O13" s="119" t="s">
        <v>67</v>
      </c>
      <c r="P13" s="120">
        <f t="shared" si="1"/>
        <v>0</v>
      </c>
      <c r="Q13" s="120">
        <f t="shared" si="2"/>
        <v>0</v>
      </c>
      <c r="R13" s="121"/>
    </row>
    <row r="14" spans="1:18" ht="24" customHeight="1" x14ac:dyDescent="0.25">
      <c r="A14" s="116" t="str">
        <f>January!B38</f>
        <v>Content dan PP</v>
      </c>
      <c r="B14" s="111"/>
      <c r="C14" s="118"/>
      <c r="D14" s="119">
        <f>January!E38</f>
        <v>0</v>
      </c>
      <c r="E14" s="119">
        <f>February!E38</f>
        <v>0</v>
      </c>
      <c r="F14" s="119">
        <f>March!E38</f>
        <v>0</v>
      </c>
      <c r="G14" s="119">
        <f>April!E38</f>
        <v>0</v>
      </c>
      <c r="H14" s="119">
        <f>Mei!E38</f>
        <v>0</v>
      </c>
      <c r="I14" s="119">
        <f>Juni!E38</f>
        <v>0</v>
      </c>
      <c r="J14" s="119">
        <f>Juli!E38</f>
        <v>0</v>
      </c>
      <c r="K14" s="119">
        <f>Agustus!E38</f>
        <v>0</v>
      </c>
      <c r="L14" s="119">
        <f>September!E38</f>
        <v>0</v>
      </c>
      <c r="M14" s="119">
        <f>Oktober!E38</f>
        <v>0</v>
      </c>
      <c r="N14" s="119" t="s">
        <v>67</v>
      </c>
      <c r="O14" s="119" t="s">
        <v>67</v>
      </c>
      <c r="P14" s="120">
        <f t="shared" si="1"/>
        <v>0</v>
      </c>
      <c r="Q14" s="120">
        <f t="shared" si="2"/>
        <v>0</v>
      </c>
      <c r="R14" s="115"/>
    </row>
    <row r="15" spans="1:18" ht="19.5" customHeight="1" outlineLevel="1" x14ac:dyDescent="0.25">
      <c r="A15" s="116" t="str">
        <f>January!B39</f>
        <v>Koperasi</v>
      </c>
      <c r="B15" s="117"/>
      <c r="C15" s="118"/>
      <c r="D15" s="119">
        <f>January!E39</f>
        <v>0</v>
      </c>
      <c r="E15" s="119">
        <f>February!E39</f>
        <v>0</v>
      </c>
      <c r="F15" s="119">
        <f>March!E39</f>
        <v>0</v>
      </c>
      <c r="G15" s="119">
        <f>April!E39</f>
        <v>0</v>
      </c>
      <c r="H15" s="119">
        <f>Mei!E39</f>
        <v>0</v>
      </c>
      <c r="I15" s="119">
        <f>Juni!E39</f>
        <v>0</v>
      </c>
      <c r="J15" s="119">
        <f>Juli!E39</f>
        <v>0</v>
      </c>
      <c r="K15" s="119">
        <f>Agustus!E39</f>
        <v>0</v>
      </c>
      <c r="L15" s="119">
        <f>September!E39</f>
        <v>0</v>
      </c>
      <c r="M15" s="119">
        <f>Oktober!E39</f>
        <v>0</v>
      </c>
      <c r="N15" s="119" t="s">
        <v>67</v>
      </c>
      <c r="O15" s="119" t="s">
        <v>67</v>
      </c>
      <c r="P15" s="120">
        <f t="shared" si="1"/>
        <v>0</v>
      </c>
      <c r="Q15" s="120">
        <f t="shared" si="2"/>
        <v>0</v>
      </c>
      <c r="R15" s="121"/>
    </row>
    <row r="16" spans="1:18" ht="19.5" customHeight="1" outlineLevel="1" x14ac:dyDescent="0.25">
      <c r="A16" s="116" t="str">
        <f>January!B40</f>
        <v>Gifts/charity</v>
      </c>
      <c r="B16" s="117"/>
      <c r="C16" s="118"/>
      <c r="D16" s="119">
        <f>January!E40</f>
        <v>0</v>
      </c>
      <c r="E16" s="119">
        <f>February!E40</f>
        <v>0</v>
      </c>
      <c r="F16" s="119">
        <f>March!E40</f>
        <v>0</v>
      </c>
      <c r="G16" s="119">
        <f>April!E40</f>
        <v>0</v>
      </c>
      <c r="H16" s="119">
        <f>Mei!E40</f>
        <v>0</v>
      </c>
      <c r="I16" s="119">
        <f>Juni!E40</f>
        <v>0</v>
      </c>
      <c r="J16" s="119">
        <f>Juli!E40</f>
        <v>0</v>
      </c>
      <c r="K16" s="119">
        <f>Agustus!E40</f>
        <v>0</v>
      </c>
      <c r="L16" s="119">
        <f>September!E40</f>
        <v>0</v>
      </c>
      <c r="M16" s="119">
        <f>Oktober!E40</f>
        <v>0</v>
      </c>
      <c r="N16" s="119" t="s">
        <v>67</v>
      </c>
      <c r="O16" s="119" t="s">
        <v>67</v>
      </c>
      <c r="P16" s="120">
        <f t="shared" si="1"/>
        <v>0</v>
      </c>
      <c r="Q16" s="120">
        <f t="shared" si="2"/>
        <v>0</v>
      </c>
      <c r="R16" s="121"/>
    </row>
    <row r="17" spans="1:18" ht="19.5" customHeight="1" outlineLevel="1" x14ac:dyDescent="0.25">
      <c r="A17" s="116" t="str">
        <f>January!B41</f>
        <v>Lending</v>
      </c>
      <c r="B17" s="117"/>
      <c r="C17" s="118"/>
      <c r="D17" s="119">
        <f>January!E41</f>
        <v>0</v>
      </c>
      <c r="E17" s="119">
        <f>February!E41</f>
        <v>0</v>
      </c>
      <c r="F17" s="119">
        <f>March!E41</f>
        <v>0</v>
      </c>
      <c r="G17" s="119">
        <f>April!E41</f>
        <v>0</v>
      </c>
      <c r="H17" s="119">
        <f>Mei!E41</f>
        <v>0</v>
      </c>
      <c r="I17" s="119">
        <f>Juni!E41</f>
        <v>0</v>
      </c>
      <c r="J17" s="119">
        <f>Juli!E41</f>
        <v>0</v>
      </c>
      <c r="K17" s="119">
        <f>Agustus!E41</f>
        <v>0</v>
      </c>
      <c r="L17" s="119">
        <f>September!E41</f>
        <v>0</v>
      </c>
      <c r="M17" s="119">
        <f>Oktober!E41</f>
        <v>0</v>
      </c>
      <c r="N17" s="119" t="s">
        <v>67</v>
      </c>
      <c r="O17" s="119" t="s">
        <v>67</v>
      </c>
      <c r="P17" s="120">
        <f t="shared" si="1"/>
        <v>0</v>
      </c>
      <c r="Q17" s="120">
        <f t="shared" si="2"/>
        <v>0</v>
      </c>
      <c r="R17" s="121"/>
    </row>
    <row r="18" spans="1:18" ht="19.5" customHeight="1" outlineLevel="1" x14ac:dyDescent="0.25">
      <c r="A18" s="116" t="str">
        <f>January!B42</f>
        <v>SPPD</v>
      </c>
      <c r="B18" s="117"/>
      <c r="C18" s="118"/>
      <c r="D18" s="119">
        <f>January!E42</f>
        <v>0</v>
      </c>
      <c r="E18" s="119">
        <f>February!E42</f>
        <v>0</v>
      </c>
      <c r="F18" s="119">
        <f>March!E42</f>
        <v>0</v>
      </c>
      <c r="G18" s="119">
        <f>April!E42</f>
        <v>0</v>
      </c>
      <c r="H18" s="119">
        <f>Mei!E42</f>
        <v>0</v>
      </c>
      <c r="I18" s="119">
        <f>Juni!E42</f>
        <v>0</v>
      </c>
      <c r="J18" s="119">
        <f>Juli!E42</f>
        <v>0</v>
      </c>
      <c r="K18" s="119">
        <f>Agustus!E42</f>
        <v>0</v>
      </c>
      <c r="L18" s="119">
        <f>September!E42</f>
        <v>0</v>
      </c>
      <c r="M18" s="119">
        <f>Oktober!E42</f>
        <v>0</v>
      </c>
      <c r="N18" s="119" t="s">
        <v>67</v>
      </c>
      <c r="O18" s="119" t="s">
        <v>67</v>
      </c>
      <c r="P18" s="120">
        <f t="shared" si="1"/>
        <v>0</v>
      </c>
      <c r="Q18" s="120">
        <f t="shared" si="2"/>
        <v>0</v>
      </c>
      <c r="R18" s="121"/>
    </row>
    <row r="19" spans="1:18" ht="19.5" customHeight="1" outlineLevel="1" x14ac:dyDescent="0.25">
      <c r="A19" s="116">
        <f>January!B43</f>
        <v>0</v>
      </c>
      <c r="B19" s="117"/>
      <c r="C19" s="118"/>
      <c r="D19" s="119">
        <f>January!E43</f>
        <v>0</v>
      </c>
      <c r="E19" s="119">
        <f>February!E43</f>
        <v>0</v>
      </c>
      <c r="F19" s="119">
        <f>March!E43</f>
        <v>0</v>
      </c>
      <c r="G19" s="119">
        <f>April!E43</f>
        <v>0</v>
      </c>
      <c r="H19" s="119">
        <f>Mei!E43</f>
        <v>0</v>
      </c>
      <c r="I19" s="119"/>
      <c r="J19" s="119">
        <f>Juli!E43</f>
        <v>0</v>
      </c>
      <c r="K19" s="119"/>
      <c r="L19" s="119"/>
      <c r="M19" s="119"/>
      <c r="N19" s="119"/>
      <c r="O19" s="119"/>
      <c r="P19" s="120"/>
      <c r="Q19" s="120"/>
      <c r="R19" s="121"/>
    </row>
    <row r="20" spans="1:18" ht="19.5" customHeight="1" x14ac:dyDescent="0.25">
      <c r="A20" s="116">
        <f>January!B44</f>
        <v>0</v>
      </c>
      <c r="B20" s="117"/>
      <c r="C20" s="118"/>
      <c r="D20" s="119">
        <f>January!E43</f>
        <v>0</v>
      </c>
      <c r="E20" s="119" t="str">
        <f>February!E44</f>
        <v/>
      </c>
      <c r="F20" s="119" t="str">
        <f>March!E44</f>
        <v/>
      </c>
      <c r="G20" s="119" t="str">
        <f>April!E44</f>
        <v/>
      </c>
      <c r="H20" s="119"/>
      <c r="I20" s="119"/>
      <c r="J20" s="119"/>
      <c r="K20" s="119"/>
      <c r="L20" s="119"/>
      <c r="M20" s="119"/>
      <c r="N20" s="119"/>
      <c r="O20" s="119"/>
      <c r="P20" s="120"/>
      <c r="Q20" s="120"/>
      <c r="R20" s="121"/>
    </row>
    <row r="21" spans="1:18" ht="19.5" hidden="1" customHeight="1" x14ac:dyDescent="0.25">
      <c r="A21" s="123"/>
      <c r="B21" s="122"/>
      <c r="C21" s="118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24"/>
      <c r="Q21" s="124"/>
      <c r="R21" s="121"/>
    </row>
    <row r="22" spans="1:18" ht="24" customHeight="1" x14ac:dyDescent="0.25">
      <c r="A22" s="110"/>
      <c r="B22" s="111"/>
      <c r="C22" s="112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4"/>
      <c r="Q22" s="114"/>
      <c r="R22" s="115"/>
    </row>
    <row r="23" spans="1:18" ht="19.5" customHeight="1" outlineLevel="1" x14ac:dyDescent="0.25">
      <c r="A23" s="125"/>
      <c r="B23" s="117"/>
      <c r="C23" s="118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20"/>
      <c r="Q23" s="120"/>
      <c r="R23" s="121"/>
    </row>
    <row r="24" spans="1:18" ht="19.5" customHeight="1" outlineLevel="1" x14ac:dyDescent="0.25">
      <c r="A24" s="125"/>
      <c r="B24" s="117"/>
      <c r="C24" s="118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20"/>
      <c r="Q24" s="120"/>
      <c r="R24" s="121"/>
    </row>
    <row r="25" spans="1:18" ht="19.5" customHeight="1" outlineLevel="1" x14ac:dyDescent="0.25">
      <c r="A25" s="125"/>
      <c r="B25" s="117"/>
      <c r="C25" s="118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20"/>
      <c r="Q25" s="120"/>
      <c r="R25" s="121"/>
    </row>
    <row r="26" spans="1:18" ht="19.5" customHeight="1" outlineLevel="1" x14ac:dyDescent="0.25">
      <c r="A26" s="125"/>
      <c r="B26" s="117"/>
      <c r="C26" s="118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20"/>
      <c r="Q26" s="120"/>
      <c r="R26" s="121"/>
    </row>
    <row r="27" spans="1:18" ht="19.5" customHeight="1" x14ac:dyDescent="0.25">
      <c r="A27" s="125"/>
      <c r="B27" s="117"/>
      <c r="C27" s="118"/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20"/>
      <c r="Q27" s="120"/>
      <c r="R27" s="121"/>
    </row>
    <row r="28" spans="1:18" ht="19.5" hidden="1" customHeight="1" x14ac:dyDescent="0.25">
      <c r="A28" s="123"/>
      <c r="B28" s="122"/>
      <c r="C28" s="118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24"/>
      <c r="Q28" s="124"/>
      <c r="R28" s="121"/>
    </row>
    <row r="29" spans="1:18" ht="24" customHeight="1" x14ac:dyDescent="0.25">
      <c r="A29" s="110"/>
      <c r="B29" s="111"/>
      <c r="C29" s="112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4"/>
      <c r="Q29" s="114"/>
      <c r="R29" s="115"/>
    </row>
    <row r="30" spans="1:18" ht="19.5" customHeight="1" outlineLevel="1" x14ac:dyDescent="0.25">
      <c r="A30" s="125"/>
      <c r="B30" s="117"/>
      <c r="C30" s="118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20"/>
      <c r="Q30" s="120"/>
      <c r="R30" s="121"/>
    </row>
    <row r="31" spans="1:18" ht="19.5" customHeight="1" outlineLevel="1" x14ac:dyDescent="0.25">
      <c r="A31" s="125"/>
      <c r="B31" s="117"/>
      <c r="C31" s="118"/>
      <c r="D31" s="119"/>
      <c r="E31" s="119"/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20"/>
      <c r="Q31" s="120"/>
      <c r="R31" s="121"/>
    </row>
    <row r="32" spans="1:18" ht="19.5" customHeight="1" outlineLevel="1" x14ac:dyDescent="0.25">
      <c r="A32" s="125"/>
      <c r="B32" s="117"/>
      <c r="C32" s="118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20"/>
      <c r="Q32" s="120"/>
      <c r="R32" s="121"/>
    </row>
    <row r="33" spans="1:18" ht="19.5" customHeight="1" outlineLevel="1" x14ac:dyDescent="0.25">
      <c r="A33" s="125"/>
      <c r="B33" s="117"/>
      <c r="C33" s="118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20"/>
      <c r="Q33" s="120"/>
      <c r="R33" s="121"/>
    </row>
    <row r="34" spans="1:18" ht="19.5" customHeight="1" outlineLevel="1" x14ac:dyDescent="0.25">
      <c r="A34" s="125"/>
      <c r="B34" s="117"/>
      <c r="C34" s="118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20"/>
      <c r="Q34" s="120"/>
      <c r="R34" s="121"/>
    </row>
    <row r="35" spans="1:18" ht="19.5" customHeight="1" outlineLevel="1" x14ac:dyDescent="0.25">
      <c r="A35" s="125"/>
      <c r="B35" s="117"/>
      <c r="C35" s="118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20"/>
      <c r="Q35" s="120"/>
      <c r="R35" s="121"/>
    </row>
    <row r="36" spans="1:18" ht="19.5" customHeight="1" outlineLevel="1" x14ac:dyDescent="0.25">
      <c r="A36" s="125"/>
      <c r="B36" s="117"/>
      <c r="C36" s="118"/>
      <c r="D36" s="119"/>
      <c r="E36" s="119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20"/>
      <c r="Q36" s="120"/>
      <c r="R36" s="121"/>
    </row>
    <row r="37" spans="1:18" ht="19.5" customHeight="1" outlineLevel="1" x14ac:dyDescent="0.25">
      <c r="A37" s="125"/>
      <c r="B37" s="117"/>
      <c r="C37" s="118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20"/>
      <c r="Q37" s="120"/>
      <c r="R37" s="121"/>
    </row>
    <row r="38" spans="1:18" ht="19.5" customHeight="1" outlineLevel="1" x14ac:dyDescent="0.25">
      <c r="A38" s="125"/>
      <c r="B38" s="117"/>
      <c r="C38" s="118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20"/>
      <c r="Q38" s="120"/>
      <c r="R38" s="121"/>
    </row>
    <row r="39" spans="1:18" ht="19.5" customHeight="1" outlineLevel="1" x14ac:dyDescent="0.25">
      <c r="A39" s="125"/>
      <c r="B39" s="117"/>
      <c r="C39" s="118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20"/>
      <c r="Q39" s="120"/>
      <c r="R39" s="121"/>
    </row>
    <row r="40" spans="1:18" ht="19.5" customHeight="1" outlineLevel="1" x14ac:dyDescent="0.25">
      <c r="A40" s="125"/>
      <c r="B40" s="117"/>
      <c r="C40" s="118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20"/>
      <c r="Q40" s="120"/>
      <c r="R40" s="121"/>
    </row>
    <row r="41" spans="1:18" ht="19.5" customHeight="1" outlineLevel="1" x14ac:dyDescent="0.25">
      <c r="A41" s="125"/>
      <c r="B41" s="117"/>
      <c r="C41" s="118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20"/>
      <c r="Q41" s="120"/>
      <c r="R41" s="121"/>
    </row>
    <row r="42" spans="1:18" ht="19.5" customHeight="1" x14ac:dyDescent="0.25">
      <c r="A42" s="125"/>
      <c r="B42" s="117"/>
      <c r="C42" s="118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20"/>
      <c r="Q42" s="120"/>
      <c r="R42" s="121"/>
    </row>
    <row r="43" spans="1:18" ht="19.5" hidden="1" customHeight="1" x14ac:dyDescent="0.25">
      <c r="A43" s="123"/>
      <c r="B43" s="122"/>
      <c r="C43" s="126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24"/>
      <c r="Q43" s="124"/>
      <c r="R43" s="121"/>
    </row>
    <row r="44" spans="1:18" ht="24" customHeight="1" x14ac:dyDescent="0.25">
      <c r="A44" s="110"/>
      <c r="B44" s="111"/>
      <c r="C44" s="112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4"/>
      <c r="Q44" s="114"/>
      <c r="R44" s="115"/>
    </row>
    <row r="45" spans="1:18" ht="19.5" customHeight="1" outlineLevel="1" x14ac:dyDescent="0.25">
      <c r="A45" s="125"/>
      <c r="B45" s="117"/>
      <c r="C45" s="118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20"/>
      <c r="Q45" s="120"/>
      <c r="R45" s="121"/>
    </row>
    <row r="46" spans="1:18" ht="19.5" customHeight="1" outlineLevel="1" x14ac:dyDescent="0.25">
      <c r="A46" s="125"/>
      <c r="B46" s="117"/>
      <c r="C46" s="118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20"/>
      <c r="Q46" s="120"/>
      <c r="R46" s="121"/>
    </row>
    <row r="47" spans="1:18" ht="19.5" customHeight="1" outlineLevel="1" x14ac:dyDescent="0.25">
      <c r="A47" s="125"/>
      <c r="B47" s="117"/>
      <c r="C47" s="118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20"/>
      <c r="Q47" s="120"/>
      <c r="R47" s="121"/>
    </row>
    <row r="48" spans="1:18" ht="19.5" customHeight="1" outlineLevel="1" x14ac:dyDescent="0.25">
      <c r="A48" s="125"/>
      <c r="B48" s="117"/>
      <c r="C48" s="118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20"/>
      <c r="Q48" s="120"/>
      <c r="R48" s="121"/>
    </row>
    <row r="49" spans="1:18" ht="19.5" customHeight="1" outlineLevel="1" x14ac:dyDescent="0.25">
      <c r="A49" s="125"/>
      <c r="B49" s="117"/>
      <c r="C49" s="118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20"/>
      <c r="Q49" s="120"/>
      <c r="R49" s="121"/>
    </row>
    <row r="50" spans="1:18" ht="19.5" customHeight="1" outlineLevel="1" x14ac:dyDescent="0.25">
      <c r="A50" s="125"/>
      <c r="B50" s="117"/>
      <c r="C50" s="118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20"/>
      <c r="Q50" s="120"/>
      <c r="R50" s="121"/>
    </row>
    <row r="51" spans="1:18" ht="19.5" customHeight="1" outlineLevel="1" x14ac:dyDescent="0.25">
      <c r="A51" s="125"/>
      <c r="B51" s="117"/>
      <c r="C51" s="118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20"/>
      <c r="Q51" s="120"/>
      <c r="R51" s="121"/>
    </row>
    <row r="52" spans="1:18" ht="19.5" customHeight="1" outlineLevel="1" x14ac:dyDescent="0.25">
      <c r="A52" s="125"/>
      <c r="B52" s="117"/>
      <c r="C52" s="118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20"/>
      <c r="Q52" s="120"/>
      <c r="R52" s="121"/>
    </row>
    <row r="53" spans="1:18" ht="19.5" customHeight="1" x14ac:dyDescent="0.25">
      <c r="A53" s="125"/>
      <c r="B53" s="117"/>
      <c r="C53" s="118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20"/>
      <c r="Q53" s="120"/>
      <c r="R53" s="121"/>
    </row>
    <row r="54" spans="1:18" ht="19.5" hidden="1" customHeight="1" x14ac:dyDescent="0.25">
      <c r="A54" s="123"/>
      <c r="B54" s="122"/>
      <c r="C54" s="126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24"/>
      <c r="Q54" s="124"/>
      <c r="R54" s="121"/>
    </row>
    <row r="55" spans="1:18" ht="24" customHeight="1" x14ac:dyDescent="0.25">
      <c r="A55" s="110"/>
      <c r="B55" s="111"/>
      <c r="C55" s="112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4"/>
      <c r="Q55" s="114"/>
      <c r="R55" s="115"/>
    </row>
    <row r="56" spans="1:18" ht="19.5" customHeight="1" outlineLevel="1" x14ac:dyDescent="0.25">
      <c r="A56" s="125"/>
      <c r="B56" s="117"/>
      <c r="C56" s="118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20"/>
      <c r="Q56" s="120"/>
      <c r="R56" s="121"/>
    </row>
    <row r="57" spans="1:18" ht="19.5" customHeight="1" outlineLevel="1" x14ac:dyDescent="0.25">
      <c r="A57" s="125"/>
      <c r="B57" s="117"/>
      <c r="C57" s="118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20"/>
      <c r="Q57" s="120"/>
      <c r="R57" s="121"/>
    </row>
    <row r="58" spans="1:18" ht="19.5" customHeight="1" outlineLevel="1" x14ac:dyDescent="0.25">
      <c r="A58" s="125"/>
      <c r="B58" s="117"/>
      <c r="C58" s="118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20"/>
      <c r="Q58" s="120"/>
      <c r="R58" s="121"/>
    </row>
    <row r="59" spans="1:18" ht="19.5" customHeight="1" x14ac:dyDescent="0.25">
      <c r="A59" s="125"/>
      <c r="B59" s="117"/>
      <c r="C59" s="118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20"/>
      <c r="Q59" s="120"/>
      <c r="R59" s="121"/>
    </row>
    <row r="60" spans="1:18" ht="19.5" hidden="1" customHeight="1" x14ac:dyDescent="0.25">
      <c r="A60" s="123"/>
      <c r="B60" s="122"/>
      <c r="C60" s="126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24"/>
      <c r="Q60" s="124"/>
      <c r="R60" s="121"/>
    </row>
    <row r="61" spans="1:18" ht="24" customHeight="1" x14ac:dyDescent="0.25">
      <c r="A61" s="110"/>
      <c r="B61" s="111"/>
      <c r="C61" s="112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4"/>
      <c r="Q61" s="114"/>
      <c r="R61" s="115"/>
    </row>
    <row r="62" spans="1:18" ht="19.5" customHeight="1" outlineLevel="1" x14ac:dyDescent="0.25">
      <c r="A62" s="125"/>
      <c r="B62" s="117"/>
      <c r="C62" s="118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20"/>
      <c r="Q62" s="120"/>
      <c r="R62" s="121"/>
    </row>
    <row r="63" spans="1:18" ht="19.5" customHeight="1" outlineLevel="1" x14ac:dyDescent="0.25">
      <c r="A63" s="125"/>
      <c r="B63" s="117"/>
      <c r="C63" s="118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20"/>
      <c r="Q63" s="120"/>
      <c r="R63" s="121"/>
    </row>
    <row r="64" spans="1:18" ht="19.5" customHeight="1" outlineLevel="1" x14ac:dyDescent="0.25">
      <c r="A64" s="125"/>
      <c r="B64" s="117"/>
      <c r="C64" s="118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20"/>
      <c r="Q64" s="120"/>
      <c r="R64" s="121"/>
    </row>
    <row r="65" spans="1:18" ht="19.5" customHeight="1" outlineLevel="1" x14ac:dyDescent="0.25">
      <c r="A65" s="125"/>
      <c r="B65" s="117"/>
      <c r="C65" s="118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20"/>
      <c r="Q65" s="120"/>
      <c r="R65" s="121"/>
    </row>
    <row r="66" spans="1:18" ht="19.5" customHeight="1" outlineLevel="1" x14ac:dyDescent="0.25">
      <c r="A66" s="125"/>
      <c r="B66" s="117"/>
      <c r="C66" s="118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20"/>
      <c r="Q66" s="120"/>
      <c r="R66" s="121"/>
    </row>
    <row r="67" spans="1:18" ht="19.5" customHeight="1" x14ac:dyDescent="0.25">
      <c r="A67" s="125"/>
      <c r="B67" s="117"/>
      <c r="C67" s="118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20"/>
      <c r="Q67" s="120"/>
      <c r="R67" s="121"/>
    </row>
    <row r="68" spans="1:18" ht="19.5" hidden="1" customHeight="1" x14ac:dyDescent="0.25">
      <c r="A68" s="123"/>
      <c r="B68" s="122"/>
      <c r="C68" s="126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24"/>
      <c r="Q68" s="124"/>
      <c r="R68" s="121"/>
    </row>
    <row r="69" spans="1:18" ht="24" customHeight="1" x14ac:dyDescent="0.25">
      <c r="A69" s="110"/>
      <c r="B69" s="111"/>
      <c r="C69" s="112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4"/>
      <c r="Q69" s="114"/>
      <c r="R69" s="115"/>
    </row>
    <row r="70" spans="1:18" ht="19.5" customHeight="1" outlineLevel="1" x14ac:dyDescent="0.25">
      <c r="A70" s="125"/>
      <c r="B70" s="117"/>
      <c r="C70" s="118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20"/>
      <c r="Q70" s="120"/>
      <c r="R70" s="121"/>
    </row>
    <row r="71" spans="1:18" ht="19.5" customHeight="1" outlineLevel="1" x14ac:dyDescent="0.25">
      <c r="A71" s="125"/>
      <c r="B71" s="117"/>
      <c r="C71" s="118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20"/>
      <c r="Q71" s="120"/>
      <c r="R71" s="121"/>
    </row>
    <row r="72" spans="1:18" ht="19.5" customHeight="1" outlineLevel="1" x14ac:dyDescent="0.25">
      <c r="A72" s="125"/>
      <c r="B72" s="117"/>
      <c r="C72" s="118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20"/>
      <c r="Q72" s="120"/>
      <c r="R72" s="121"/>
    </row>
    <row r="73" spans="1:18" ht="19.5" customHeight="1" outlineLevel="1" x14ac:dyDescent="0.25">
      <c r="A73" s="125"/>
      <c r="B73" s="117"/>
      <c r="C73" s="118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20"/>
      <c r="Q73" s="120"/>
      <c r="R73" s="121"/>
    </row>
    <row r="74" spans="1:18" ht="19.5" customHeight="1" outlineLevel="1" x14ac:dyDescent="0.25">
      <c r="A74" s="125"/>
      <c r="B74" s="117"/>
      <c r="C74" s="118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20"/>
      <c r="Q74" s="120"/>
      <c r="R74" s="121"/>
    </row>
    <row r="75" spans="1:18" ht="19.5" customHeight="1" outlineLevel="1" x14ac:dyDescent="0.25">
      <c r="A75" s="125"/>
      <c r="B75" s="117"/>
      <c r="C75" s="118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20"/>
      <c r="Q75" s="120"/>
      <c r="R75" s="121"/>
    </row>
    <row r="76" spans="1:18" ht="19.5" customHeight="1" outlineLevel="1" x14ac:dyDescent="0.25">
      <c r="A76" s="125"/>
      <c r="B76" s="117"/>
      <c r="C76" s="118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20"/>
      <c r="Q76" s="120"/>
      <c r="R76" s="121"/>
    </row>
    <row r="77" spans="1:18" ht="19.5" customHeight="1" outlineLevel="1" x14ac:dyDescent="0.25">
      <c r="A77" s="125"/>
      <c r="B77" s="117"/>
      <c r="C77" s="118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20"/>
      <c r="Q77" s="120"/>
      <c r="R77" s="121"/>
    </row>
    <row r="78" spans="1:18" ht="19.5" customHeight="1" outlineLevel="1" x14ac:dyDescent="0.25">
      <c r="A78" s="125"/>
      <c r="B78" s="117"/>
      <c r="C78" s="118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20"/>
      <c r="Q78" s="120"/>
      <c r="R78" s="121"/>
    </row>
    <row r="79" spans="1:18" ht="19.5" customHeight="1" x14ac:dyDescent="0.25">
      <c r="A79" s="125"/>
      <c r="B79" s="117"/>
      <c r="C79" s="118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20"/>
      <c r="Q79" s="120"/>
      <c r="R79" s="121"/>
    </row>
    <row r="80" spans="1:18" ht="19.5" hidden="1" customHeight="1" x14ac:dyDescent="0.25">
      <c r="A80" s="123"/>
      <c r="B80" s="122"/>
      <c r="C80" s="126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24"/>
      <c r="Q80" s="124"/>
      <c r="R80" s="121"/>
    </row>
    <row r="81" spans="1:18" ht="24" customHeight="1" x14ac:dyDescent="0.25">
      <c r="A81" s="110"/>
      <c r="B81" s="111"/>
      <c r="C81" s="112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4"/>
      <c r="Q81" s="114"/>
      <c r="R81" s="115"/>
    </row>
    <row r="82" spans="1:18" ht="19.5" customHeight="1" outlineLevel="1" x14ac:dyDescent="0.25">
      <c r="A82" s="125"/>
      <c r="B82" s="117"/>
      <c r="C82" s="118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20"/>
      <c r="Q82" s="120"/>
      <c r="R82" s="121"/>
    </row>
    <row r="83" spans="1:18" ht="19.5" customHeight="1" outlineLevel="1" x14ac:dyDescent="0.25">
      <c r="A83" s="125"/>
      <c r="B83" s="117"/>
      <c r="C83" s="118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20"/>
      <c r="Q83" s="120"/>
      <c r="R83" s="121"/>
    </row>
    <row r="84" spans="1:18" ht="19.5" customHeight="1" outlineLevel="1" x14ac:dyDescent="0.25">
      <c r="A84" s="125"/>
      <c r="B84" s="117"/>
      <c r="C84" s="118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20"/>
      <c r="Q84" s="120"/>
      <c r="R84" s="121"/>
    </row>
    <row r="85" spans="1:18" ht="19.5" customHeight="1" outlineLevel="1" x14ac:dyDescent="0.25">
      <c r="A85" s="125"/>
      <c r="B85" s="117"/>
      <c r="C85" s="118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20"/>
      <c r="Q85" s="120"/>
      <c r="R85" s="121"/>
    </row>
    <row r="86" spans="1:18" ht="19.5" customHeight="1" outlineLevel="1" x14ac:dyDescent="0.25">
      <c r="A86" s="125"/>
      <c r="B86" s="117"/>
      <c r="C86" s="118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20"/>
      <c r="Q86" s="120"/>
      <c r="R86" s="121"/>
    </row>
    <row r="87" spans="1:18" ht="19.5" customHeight="1" x14ac:dyDescent="0.25">
      <c r="A87" s="125"/>
      <c r="B87" s="117"/>
      <c r="C87" s="118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20"/>
      <c r="Q87" s="120"/>
      <c r="R87" s="121"/>
    </row>
    <row r="88" spans="1:18" ht="19.5" hidden="1" customHeight="1" x14ac:dyDescent="0.25">
      <c r="A88" s="123"/>
      <c r="B88" s="122"/>
      <c r="C88" s="118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24"/>
      <c r="Q88" s="124"/>
      <c r="R88" s="121"/>
    </row>
    <row r="89" spans="1:18" ht="24" customHeight="1" x14ac:dyDescent="0.25">
      <c r="A89" s="110"/>
      <c r="B89" s="111"/>
      <c r="C89" s="112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4"/>
      <c r="Q89" s="114"/>
      <c r="R89" s="115"/>
    </row>
    <row r="90" spans="1:18" ht="19.5" customHeight="1" outlineLevel="1" x14ac:dyDescent="0.25">
      <c r="A90" s="125"/>
      <c r="B90" s="117"/>
      <c r="C90" s="118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20"/>
      <c r="Q90" s="120"/>
      <c r="R90" s="121"/>
    </row>
    <row r="91" spans="1:18" ht="19.5" customHeight="1" outlineLevel="1" x14ac:dyDescent="0.25">
      <c r="A91" s="125"/>
      <c r="B91" s="117"/>
      <c r="C91" s="118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20"/>
      <c r="Q91" s="120"/>
      <c r="R91" s="121"/>
    </row>
    <row r="92" spans="1:18" ht="19.5" customHeight="1" outlineLevel="1" x14ac:dyDescent="0.25">
      <c r="A92" s="125"/>
      <c r="B92" s="117"/>
      <c r="C92" s="118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20"/>
      <c r="Q92" s="120"/>
      <c r="R92" s="121"/>
    </row>
    <row r="93" spans="1:18" ht="19.5" customHeight="1" outlineLevel="1" x14ac:dyDescent="0.25">
      <c r="A93" s="125"/>
      <c r="B93" s="117"/>
      <c r="C93" s="118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20"/>
      <c r="Q93" s="120"/>
      <c r="R93" s="121"/>
    </row>
    <row r="94" spans="1:18" ht="19.5" customHeight="1" outlineLevel="1" x14ac:dyDescent="0.25">
      <c r="A94" s="125"/>
      <c r="B94" s="117"/>
      <c r="C94" s="118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20"/>
      <c r="Q94" s="120"/>
      <c r="R94" s="121"/>
    </row>
    <row r="95" spans="1:18" ht="19.5" customHeight="1" x14ac:dyDescent="0.25">
      <c r="A95" s="125"/>
      <c r="B95" s="117"/>
      <c r="C95" s="118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20"/>
      <c r="Q95" s="120"/>
      <c r="R95" s="121"/>
    </row>
    <row r="96" spans="1:18" ht="19.5" hidden="1" customHeight="1" x14ac:dyDescent="0.25">
      <c r="A96" s="123"/>
      <c r="B96" s="122"/>
      <c r="C96" s="118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24"/>
      <c r="Q96" s="124"/>
      <c r="R96" s="121"/>
    </row>
    <row r="97" spans="1:18" ht="24" customHeight="1" x14ac:dyDescent="0.25">
      <c r="A97" s="110"/>
      <c r="B97" s="111"/>
      <c r="C97" s="112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4"/>
      <c r="Q97" s="114"/>
      <c r="R97" s="115"/>
    </row>
    <row r="98" spans="1:18" ht="19.5" customHeight="1" outlineLevel="1" x14ac:dyDescent="0.25">
      <c r="A98" s="125"/>
      <c r="B98" s="117"/>
      <c r="C98" s="118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20"/>
      <c r="Q98" s="120"/>
      <c r="R98" s="121"/>
    </row>
    <row r="99" spans="1:18" ht="19.5" customHeight="1" outlineLevel="1" x14ac:dyDescent="0.25">
      <c r="A99" s="125"/>
      <c r="B99" s="117"/>
      <c r="C99" s="118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20"/>
      <c r="Q99" s="120"/>
      <c r="R99" s="121"/>
    </row>
    <row r="100" spans="1:18" ht="19.5" customHeight="1" outlineLevel="1" x14ac:dyDescent="0.25">
      <c r="A100" s="125"/>
      <c r="B100" s="117"/>
      <c r="C100" s="118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20"/>
      <c r="Q100" s="120"/>
      <c r="R100" s="121"/>
    </row>
    <row r="101" spans="1:18" ht="19.5" customHeight="1" outlineLevel="1" x14ac:dyDescent="0.25">
      <c r="A101" s="125"/>
      <c r="B101" s="117"/>
      <c r="C101" s="118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20"/>
      <c r="Q101" s="120"/>
      <c r="R101" s="121"/>
    </row>
    <row r="102" spans="1:18" ht="19.5" customHeight="1" outlineLevel="1" x14ac:dyDescent="0.25">
      <c r="A102" s="125"/>
      <c r="B102" s="117"/>
      <c r="C102" s="118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20"/>
      <c r="Q102" s="120"/>
      <c r="R102" s="121"/>
    </row>
    <row r="103" spans="1:18" ht="19.5" customHeight="1" x14ac:dyDescent="0.25">
      <c r="A103" s="125"/>
      <c r="B103" s="117"/>
      <c r="C103" s="118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20"/>
      <c r="Q103" s="120"/>
      <c r="R103" s="121"/>
    </row>
    <row r="104" spans="1:18" ht="19.5" hidden="1" customHeight="1" x14ac:dyDescent="0.25">
      <c r="A104" s="123"/>
      <c r="B104" s="122"/>
      <c r="C104" s="118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24"/>
      <c r="Q104" s="124"/>
      <c r="R104" s="121"/>
    </row>
    <row r="105" spans="1:18" ht="24" customHeight="1" x14ac:dyDescent="0.25">
      <c r="A105" s="110"/>
      <c r="B105" s="111"/>
      <c r="C105" s="112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4"/>
      <c r="Q105" s="114"/>
      <c r="R105" s="115"/>
    </row>
    <row r="106" spans="1:18" ht="19.5" customHeight="1" outlineLevel="1" x14ac:dyDescent="0.25">
      <c r="A106" s="125"/>
      <c r="B106" s="117"/>
      <c r="C106" s="118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20"/>
      <c r="Q106" s="120"/>
      <c r="R106" s="121"/>
    </row>
    <row r="107" spans="1:18" ht="19.5" customHeight="1" outlineLevel="1" x14ac:dyDescent="0.25">
      <c r="A107" s="125"/>
      <c r="B107" s="117"/>
      <c r="C107" s="118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20"/>
      <c r="Q107" s="120"/>
      <c r="R107" s="121"/>
    </row>
    <row r="108" spans="1:18" ht="19.5" customHeight="1" outlineLevel="1" x14ac:dyDescent="0.25">
      <c r="A108" s="125"/>
      <c r="B108" s="117"/>
      <c r="C108" s="118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20"/>
      <c r="Q108" s="120"/>
      <c r="R108" s="121"/>
    </row>
    <row r="109" spans="1:18" ht="19.5" customHeight="1" outlineLevel="1" x14ac:dyDescent="0.25">
      <c r="A109" s="125"/>
      <c r="B109" s="117"/>
      <c r="C109" s="118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20"/>
      <c r="Q109" s="120"/>
      <c r="R109" s="121"/>
    </row>
    <row r="110" spans="1:18" ht="19.5" customHeight="1" outlineLevel="1" x14ac:dyDescent="0.25">
      <c r="A110" s="125"/>
      <c r="B110" s="117"/>
      <c r="C110" s="118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20"/>
      <c r="Q110" s="120"/>
      <c r="R110" s="121"/>
    </row>
    <row r="111" spans="1:18" ht="19.5" customHeight="1" outlineLevel="1" x14ac:dyDescent="0.25">
      <c r="A111" s="125"/>
      <c r="B111" s="117"/>
      <c r="C111" s="118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20"/>
      <c r="Q111" s="120"/>
      <c r="R111" s="121"/>
    </row>
    <row r="112" spans="1:18" ht="19.5" customHeight="1" outlineLevel="1" x14ac:dyDescent="0.25">
      <c r="A112" s="125"/>
      <c r="B112" s="117"/>
      <c r="C112" s="118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20"/>
      <c r="Q112" s="120"/>
      <c r="R112" s="121"/>
    </row>
    <row r="113" spans="1:18" ht="19.5" customHeight="1" x14ac:dyDescent="0.25">
      <c r="A113" s="125"/>
      <c r="B113" s="117"/>
      <c r="C113" s="118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20"/>
      <c r="Q113" s="120"/>
      <c r="R113" s="121"/>
    </row>
    <row r="114" spans="1:18" ht="19.5" hidden="1" customHeight="1" x14ac:dyDescent="0.25">
      <c r="A114" s="123"/>
      <c r="B114" s="122"/>
      <c r="C114" s="118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24"/>
      <c r="Q114" s="124"/>
      <c r="R114" s="121"/>
    </row>
    <row r="115" spans="1:18" ht="24" customHeight="1" x14ac:dyDescent="0.25">
      <c r="A115" s="110"/>
      <c r="B115" s="111"/>
      <c r="C115" s="112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4"/>
      <c r="Q115" s="114"/>
      <c r="R115" s="115"/>
    </row>
    <row r="116" spans="1:18" ht="19.5" customHeight="1" outlineLevel="1" x14ac:dyDescent="0.25">
      <c r="A116" s="125"/>
      <c r="B116" s="117"/>
      <c r="C116" s="118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20"/>
      <c r="Q116" s="120"/>
      <c r="R116" s="121"/>
    </row>
    <row r="117" spans="1:18" ht="19.5" customHeight="1" outlineLevel="1" x14ac:dyDescent="0.25">
      <c r="A117" s="125"/>
      <c r="B117" s="117"/>
      <c r="C117" s="118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20"/>
      <c r="Q117" s="120"/>
      <c r="R117" s="121"/>
    </row>
    <row r="118" spans="1:18" ht="19.5" customHeight="1" outlineLevel="1" x14ac:dyDescent="0.25">
      <c r="A118" s="125"/>
      <c r="B118" s="117"/>
      <c r="C118" s="118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20"/>
      <c r="Q118" s="120"/>
      <c r="R118" s="121"/>
    </row>
    <row r="119" spans="1:18" ht="19.5" customHeight="1" outlineLevel="1" x14ac:dyDescent="0.25">
      <c r="A119" s="125"/>
      <c r="B119" s="117"/>
      <c r="C119" s="118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20"/>
      <c r="Q119" s="120"/>
      <c r="R119" s="121"/>
    </row>
    <row r="120" spans="1:18" ht="19.5" customHeight="1" outlineLevel="1" x14ac:dyDescent="0.25">
      <c r="A120" s="125"/>
      <c r="B120" s="117"/>
      <c r="C120" s="118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20"/>
      <c r="Q120" s="120"/>
      <c r="R120" s="121"/>
    </row>
    <row r="121" spans="1:18" ht="19.5" customHeight="1" outlineLevel="1" x14ac:dyDescent="0.25">
      <c r="A121" s="125"/>
      <c r="B121" s="117"/>
      <c r="C121" s="118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20"/>
      <c r="Q121" s="120"/>
      <c r="R121" s="121"/>
    </row>
    <row r="122" spans="1:18" ht="19.5" customHeight="1" x14ac:dyDescent="0.25">
      <c r="A122" s="125"/>
      <c r="B122" s="117"/>
      <c r="C122" s="118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20"/>
      <c r="Q122" s="120"/>
      <c r="R122" s="121"/>
    </row>
    <row r="123" spans="1:18" ht="19.5" hidden="1" customHeight="1" x14ac:dyDescent="0.25">
      <c r="A123" s="123"/>
      <c r="B123" s="122"/>
      <c r="C123" s="118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24"/>
      <c r="Q123" s="124"/>
      <c r="R123" s="121"/>
    </row>
    <row r="124" spans="1:18" ht="24" customHeight="1" x14ac:dyDescent="0.25">
      <c r="A124" s="110"/>
      <c r="B124" s="111"/>
      <c r="C124" s="112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4"/>
      <c r="Q124" s="114"/>
      <c r="R124" s="115"/>
    </row>
    <row r="125" spans="1:18" ht="19.5" customHeight="1" outlineLevel="1" x14ac:dyDescent="0.25">
      <c r="A125" s="125"/>
      <c r="B125" s="117"/>
      <c r="C125" s="118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20"/>
      <c r="Q125" s="120"/>
      <c r="R125" s="121"/>
    </row>
    <row r="126" spans="1:18" ht="19.5" customHeight="1" outlineLevel="1" x14ac:dyDescent="0.25">
      <c r="A126" s="125"/>
      <c r="B126" s="117"/>
      <c r="C126" s="118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20"/>
      <c r="Q126" s="120"/>
      <c r="R126" s="121"/>
    </row>
    <row r="127" spans="1:18" ht="19.5" customHeight="1" outlineLevel="1" x14ac:dyDescent="0.25">
      <c r="A127" s="125"/>
      <c r="B127" s="117"/>
      <c r="C127" s="118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20"/>
      <c r="Q127" s="120"/>
      <c r="R127" s="121"/>
    </row>
    <row r="128" spans="1:18" ht="19.5" customHeight="1" outlineLevel="1" x14ac:dyDescent="0.25">
      <c r="A128" s="125"/>
      <c r="B128" s="117"/>
      <c r="C128" s="118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20"/>
      <c r="Q128" s="120"/>
      <c r="R128" s="121"/>
    </row>
    <row r="129" spans="1:18" ht="19.5" customHeight="1" outlineLevel="1" x14ac:dyDescent="0.25">
      <c r="A129" s="125"/>
      <c r="B129" s="117"/>
      <c r="C129" s="118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20"/>
      <c r="Q129" s="120"/>
      <c r="R129" s="121"/>
    </row>
    <row r="130" spans="1:18" ht="19.5" customHeight="1" outlineLevel="1" x14ac:dyDescent="0.25">
      <c r="A130" s="125"/>
      <c r="B130" s="117"/>
      <c r="C130" s="118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20"/>
      <c r="Q130" s="120"/>
      <c r="R130" s="121"/>
    </row>
    <row r="131" spans="1:18" ht="19.5" customHeight="1" outlineLevel="1" x14ac:dyDescent="0.25">
      <c r="A131" s="125"/>
      <c r="B131" s="117"/>
      <c r="C131" s="118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20"/>
      <c r="Q131" s="120"/>
      <c r="R131" s="121"/>
    </row>
    <row r="132" spans="1:18" ht="19.5" customHeight="1" outlineLevel="1" x14ac:dyDescent="0.25">
      <c r="A132" s="125"/>
      <c r="B132" s="117"/>
      <c r="C132" s="118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20"/>
      <c r="Q132" s="120"/>
      <c r="R132" s="121"/>
    </row>
    <row r="133" spans="1:18" ht="19.5" hidden="1" customHeight="1" x14ac:dyDescent="0.25">
      <c r="A133" s="123"/>
      <c r="B133" s="122"/>
      <c r="C133" s="118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24"/>
      <c r="Q133" s="124"/>
      <c r="R133" s="121"/>
    </row>
    <row r="134" spans="1:18" ht="24" customHeight="1" x14ac:dyDescent="0.25">
      <c r="A134" s="110"/>
      <c r="B134" s="111"/>
      <c r="C134" s="112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4"/>
      <c r="Q134" s="114"/>
      <c r="R134" s="115"/>
    </row>
    <row r="135" spans="1:18" ht="19.5" customHeight="1" x14ac:dyDescent="0.25">
      <c r="A135" s="125"/>
      <c r="B135" s="117"/>
      <c r="C135" s="118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20"/>
      <c r="Q135" s="120"/>
      <c r="R135" s="121"/>
    </row>
    <row r="136" spans="1:18" ht="19.5" customHeight="1" outlineLevel="1" x14ac:dyDescent="0.25">
      <c r="A136" s="125"/>
      <c r="B136" s="117"/>
      <c r="C136" s="118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20"/>
      <c r="Q136" s="120"/>
      <c r="R136" s="121"/>
    </row>
    <row r="137" spans="1:18" ht="19.5" customHeight="1" outlineLevel="1" x14ac:dyDescent="0.25">
      <c r="A137" s="125"/>
      <c r="B137" s="117"/>
      <c r="C137" s="118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20"/>
      <c r="Q137" s="120"/>
      <c r="R137" s="121"/>
    </row>
    <row r="138" spans="1:18" ht="19.5" hidden="1" customHeight="1" x14ac:dyDescent="0.25">
      <c r="A138" s="127"/>
      <c r="B138" s="128"/>
      <c r="C138" s="129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1"/>
      <c r="Q138" s="131"/>
      <c r="R138" s="132"/>
    </row>
    <row r="139" spans="1:18" ht="15.75" customHeight="1" x14ac:dyDescent="0.25"/>
    <row r="140" spans="1:18" ht="15.75" customHeight="1" x14ac:dyDescent="0.25"/>
    <row r="141" spans="1:18" ht="15.75" customHeight="1" x14ac:dyDescent="0.25"/>
    <row r="142" spans="1:18" ht="15.75" customHeight="1" x14ac:dyDescent="0.25"/>
    <row r="143" spans="1:18" ht="15.75" customHeight="1" x14ac:dyDescent="0.25"/>
    <row r="144" spans="1:18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R1000"/>
  <sheetViews>
    <sheetView workbookViewId="0">
      <pane ySplit="2" topLeftCell="A3" activePane="bottomLeft" state="frozen"/>
      <selection pane="bottomLeft" activeCell="C22" sqref="C22"/>
    </sheetView>
  </sheetViews>
  <sheetFormatPr defaultColWidth="12.6640625" defaultRowHeight="15" customHeight="1" outlineLevelRow="1" outlineLevelCol="1" x14ac:dyDescent="0.25"/>
  <cols>
    <col min="1" max="1" width="14.33203125" customWidth="1"/>
    <col min="2" max="2" width="2" customWidth="1"/>
    <col min="3" max="3" width="16.33203125" customWidth="1"/>
    <col min="4" max="4" width="7.33203125" customWidth="1" outlineLevel="1"/>
    <col min="5" max="15" width="7.6640625" customWidth="1" outlineLevel="1"/>
    <col min="16" max="16" width="11.109375" customWidth="1"/>
    <col min="17" max="17" width="8.109375" customWidth="1"/>
    <col min="18" max="18" width="8.88671875" customWidth="1"/>
  </cols>
  <sheetData>
    <row r="1" spans="1:18" ht="6" customHeight="1" x14ac:dyDescent="0.25">
      <c r="A1" s="100"/>
      <c r="B1" s="100"/>
      <c r="C1" s="101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3"/>
      <c r="Q1" s="104"/>
      <c r="R1" s="104"/>
    </row>
    <row r="2" spans="1:18" ht="38.25" customHeight="1" x14ac:dyDescent="0.45">
      <c r="A2" s="105"/>
      <c r="B2" s="105"/>
      <c r="C2" s="106" t="s">
        <v>9</v>
      </c>
      <c r="D2" s="107">
        <v>42370</v>
      </c>
      <c r="E2" s="107">
        <v>42401</v>
      </c>
      <c r="F2" s="107">
        <v>42430</v>
      </c>
      <c r="G2" s="107">
        <v>42461</v>
      </c>
      <c r="H2" s="107">
        <v>42491</v>
      </c>
      <c r="I2" s="107">
        <v>42522</v>
      </c>
      <c r="J2" s="107">
        <v>42552</v>
      </c>
      <c r="K2" s="107">
        <v>42583</v>
      </c>
      <c r="L2" s="107">
        <v>42614</v>
      </c>
      <c r="M2" s="107">
        <v>42644</v>
      </c>
      <c r="N2" s="107">
        <v>42675</v>
      </c>
      <c r="O2" s="107">
        <v>42705</v>
      </c>
      <c r="P2" s="108" t="s">
        <v>7</v>
      </c>
      <c r="Q2" s="109" t="s">
        <v>8</v>
      </c>
      <c r="R2" s="109"/>
    </row>
    <row r="3" spans="1:18" ht="24" customHeight="1" x14ac:dyDescent="0.25">
      <c r="A3" s="110"/>
      <c r="B3" s="111"/>
      <c r="C3" s="112" t="s">
        <v>14</v>
      </c>
      <c r="D3" s="113">
        <f t="shared" ref="D3:O3" si="0">SUM(D4:D10)</f>
        <v>0</v>
      </c>
      <c r="E3" s="113">
        <f t="shared" si="0"/>
        <v>0</v>
      </c>
      <c r="F3" s="113">
        <f t="shared" si="0"/>
        <v>0</v>
      </c>
      <c r="G3" s="113">
        <f t="shared" si="0"/>
        <v>0</v>
      </c>
      <c r="H3" s="113">
        <f t="shared" si="0"/>
        <v>0</v>
      </c>
      <c r="I3" s="113">
        <f t="shared" si="0"/>
        <v>0</v>
      </c>
      <c r="J3" s="113">
        <f t="shared" si="0"/>
        <v>0</v>
      </c>
      <c r="K3" s="113">
        <f t="shared" si="0"/>
        <v>0</v>
      </c>
      <c r="L3" s="113">
        <f t="shared" si="0"/>
        <v>0</v>
      </c>
      <c r="M3" s="113">
        <f t="shared" si="0"/>
        <v>0</v>
      </c>
      <c r="N3" s="113">
        <f t="shared" si="0"/>
        <v>0</v>
      </c>
      <c r="O3" s="113">
        <f t="shared" si="0"/>
        <v>0</v>
      </c>
      <c r="P3" s="114">
        <f t="shared" ref="P3:P10" si="1">SUM(D3:O3)</f>
        <v>0</v>
      </c>
      <c r="Q3" s="114" t="s">
        <v>66</v>
      </c>
      <c r="R3" s="115"/>
    </row>
    <row r="4" spans="1:18" ht="19.5" customHeight="1" outlineLevel="1" x14ac:dyDescent="0.25">
      <c r="A4" s="133" t="str">
        <f>January!H28</f>
        <v>Savings</v>
      </c>
      <c r="B4" s="122"/>
      <c r="C4" s="118"/>
      <c r="D4" s="119">
        <f>January!K28</f>
        <v>0</v>
      </c>
      <c r="E4" s="119">
        <f>February!K28</f>
        <v>0</v>
      </c>
      <c r="F4" s="119">
        <f>March!K28</f>
        <v>0</v>
      </c>
      <c r="G4" s="119">
        <f>April!K28</f>
        <v>0</v>
      </c>
      <c r="H4" s="119">
        <f>Mei!K28</f>
        <v>0</v>
      </c>
      <c r="I4" s="119">
        <f>Juni!K28</f>
        <v>0</v>
      </c>
      <c r="J4" s="119">
        <f>Juli!K28</f>
        <v>0</v>
      </c>
      <c r="K4" s="119">
        <f>Agustus!K28</f>
        <v>0</v>
      </c>
      <c r="L4" s="119">
        <f>September!K28</f>
        <v>0</v>
      </c>
      <c r="M4" s="119">
        <f>Oktober!K28</f>
        <v>0</v>
      </c>
      <c r="N4" s="119" t="s">
        <v>67</v>
      </c>
      <c r="O4" s="119" t="s">
        <v>67</v>
      </c>
      <c r="P4" s="120">
        <f t="shared" si="1"/>
        <v>0</v>
      </c>
      <c r="Q4" s="120">
        <f t="shared" ref="Q4:Q10" si="2">IFERROR(AVERAGE(D4:O4),0)</f>
        <v>0</v>
      </c>
      <c r="R4" s="121"/>
    </row>
    <row r="5" spans="1:18" ht="19.5" customHeight="1" outlineLevel="1" x14ac:dyDescent="0.25">
      <c r="A5" s="133" t="str">
        <f>January!H29</f>
        <v>Paycheck</v>
      </c>
      <c r="B5" s="122"/>
      <c r="C5" s="118"/>
      <c r="D5" s="119">
        <f>January!K29</f>
        <v>0</v>
      </c>
      <c r="E5" s="119">
        <f>February!K29</f>
        <v>0</v>
      </c>
      <c r="F5" s="119">
        <f>March!K29</f>
        <v>0</v>
      </c>
      <c r="G5" s="119">
        <f>April!K29</f>
        <v>0</v>
      </c>
      <c r="H5" s="119">
        <f>Mei!K29</f>
        <v>0</v>
      </c>
      <c r="I5" s="119">
        <f>Juni!K29</f>
        <v>0</v>
      </c>
      <c r="J5" s="119">
        <f>Juli!K29</f>
        <v>0</v>
      </c>
      <c r="K5" s="119">
        <f>Agustus!K29</f>
        <v>0</v>
      </c>
      <c r="L5" s="119">
        <f>September!K29</f>
        <v>0</v>
      </c>
      <c r="M5" s="119">
        <f>Oktober!K29</f>
        <v>0</v>
      </c>
      <c r="N5" s="119" t="s">
        <v>67</v>
      </c>
      <c r="O5" s="119" t="s">
        <v>67</v>
      </c>
      <c r="P5" s="120">
        <f t="shared" si="1"/>
        <v>0</v>
      </c>
      <c r="Q5" s="120">
        <f t="shared" si="2"/>
        <v>0</v>
      </c>
      <c r="R5" s="121"/>
    </row>
    <row r="6" spans="1:18" ht="19.5" customHeight="1" outlineLevel="1" x14ac:dyDescent="0.25">
      <c r="A6" s="133" t="str">
        <f>January!H30</f>
        <v>Bonus</v>
      </c>
      <c r="B6" s="122"/>
      <c r="C6" s="118"/>
      <c r="D6" s="119">
        <f>January!K30</f>
        <v>0</v>
      </c>
      <c r="E6" s="119">
        <f>February!K30</f>
        <v>0</v>
      </c>
      <c r="F6" s="119">
        <f>March!K30</f>
        <v>0</v>
      </c>
      <c r="G6" s="119">
        <f>April!K30</f>
        <v>0</v>
      </c>
      <c r="H6" s="119">
        <f>Mei!K30</f>
        <v>0</v>
      </c>
      <c r="I6" s="119">
        <f>Juni!K30</f>
        <v>0</v>
      </c>
      <c r="J6" s="119">
        <f>Juli!K30</f>
        <v>0</v>
      </c>
      <c r="K6" s="119">
        <f>Agustus!K30</f>
        <v>0</v>
      </c>
      <c r="L6" s="119">
        <f>September!K30</f>
        <v>0</v>
      </c>
      <c r="M6" s="119">
        <f>Oktober!K30</f>
        <v>0</v>
      </c>
      <c r="N6" s="119" t="s">
        <v>67</v>
      </c>
      <c r="O6" s="119" t="s">
        <v>67</v>
      </c>
      <c r="P6" s="120">
        <f t="shared" si="1"/>
        <v>0</v>
      </c>
      <c r="Q6" s="120">
        <f t="shared" si="2"/>
        <v>0</v>
      </c>
      <c r="R6" s="121"/>
    </row>
    <row r="7" spans="1:18" ht="19.5" customHeight="1" outlineLevel="1" x14ac:dyDescent="0.25">
      <c r="A7" s="133" t="str">
        <f>January!H31</f>
        <v>Interest</v>
      </c>
      <c r="B7" s="122"/>
      <c r="C7" s="118"/>
      <c r="D7" s="119">
        <f>January!K31</f>
        <v>0</v>
      </c>
      <c r="E7" s="119">
        <f>February!K31</f>
        <v>0</v>
      </c>
      <c r="F7" s="119">
        <f>March!K31</f>
        <v>0</v>
      </c>
      <c r="G7" s="119">
        <f>April!K31</f>
        <v>0</v>
      </c>
      <c r="H7" s="119">
        <f>Mei!K31</f>
        <v>0</v>
      </c>
      <c r="I7" s="119">
        <f>Juni!K31</f>
        <v>0</v>
      </c>
      <c r="J7" s="119">
        <f>Juli!K31</f>
        <v>0</v>
      </c>
      <c r="K7" s="119">
        <f>Agustus!K31</f>
        <v>0</v>
      </c>
      <c r="L7" s="119">
        <f>September!K31</f>
        <v>0</v>
      </c>
      <c r="M7" s="119">
        <f>Oktober!K31</f>
        <v>0</v>
      </c>
      <c r="N7" s="119" t="s">
        <v>67</v>
      </c>
      <c r="O7" s="119" t="s">
        <v>67</v>
      </c>
      <c r="P7" s="120">
        <f t="shared" si="1"/>
        <v>0</v>
      </c>
      <c r="Q7" s="120">
        <f t="shared" si="2"/>
        <v>0</v>
      </c>
      <c r="R7" s="121"/>
    </row>
    <row r="8" spans="1:18" ht="19.5" customHeight="1" outlineLevel="1" x14ac:dyDescent="0.25">
      <c r="A8" s="133" t="str">
        <f>January!H32</f>
        <v>Affiliate</v>
      </c>
      <c r="B8" s="122"/>
      <c r="C8" s="118"/>
      <c r="D8" s="119">
        <f>January!K32</f>
        <v>0</v>
      </c>
      <c r="E8" s="119">
        <f>February!K32</f>
        <v>0</v>
      </c>
      <c r="F8" s="119">
        <f>March!K32</f>
        <v>0</v>
      </c>
      <c r="G8" s="119">
        <f>April!K32</f>
        <v>0</v>
      </c>
      <c r="H8" s="119">
        <f>Mei!K32</f>
        <v>0</v>
      </c>
      <c r="I8" s="119">
        <f>Juni!K32</f>
        <v>0</v>
      </c>
      <c r="J8" s="119">
        <f>Juli!K32</f>
        <v>0</v>
      </c>
      <c r="K8" s="119">
        <f>Agustus!K32</f>
        <v>0</v>
      </c>
      <c r="L8" s="119">
        <f>September!K32</f>
        <v>0</v>
      </c>
      <c r="M8" s="119">
        <f>Oktober!K32</f>
        <v>0</v>
      </c>
      <c r="N8" s="119" t="s">
        <v>67</v>
      </c>
      <c r="O8" s="119" t="s">
        <v>67</v>
      </c>
      <c r="P8" s="120">
        <f t="shared" si="1"/>
        <v>0</v>
      </c>
      <c r="Q8" s="120">
        <f t="shared" si="2"/>
        <v>0</v>
      </c>
      <c r="R8" s="121"/>
    </row>
    <row r="9" spans="1:18" ht="15.75" customHeight="1" x14ac:dyDescent="0.25">
      <c r="A9" s="133" t="str">
        <f>January!H33</f>
        <v>IKS</v>
      </c>
      <c r="B9" s="122"/>
      <c r="C9" s="118"/>
      <c r="D9" s="119">
        <f>January!K33</f>
        <v>0</v>
      </c>
      <c r="E9" s="119">
        <f>February!K33</f>
        <v>0</v>
      </c>
      <c r="F9" s="119">
        <f>March!K33</f>
        <v>0</v>
      </c>
      <c r="G9" s="119">
        <f>April!K33</f>
        <v>0</v>
      </c>
      <c r="H9" s="119">
        <f>Mei!K33</f>
        <v>0</v>
      </c>
      <c r="I9" s="119">
        <f>Juni!K33</f>
        <v>0</v>
      </c>
      <c r="J9" s="119">
        <f>Juli!K33</f>
        <v>0</v>
      </c>
      <c r="K9" s="119">
        <f>Agustus!K33</f>
        <v>0</v>
      </c>
      <c r="L9" s="119">
        <f>September!K33</f>
        <v>0</v>
      </c>
      <c r="M9" s="119">
        <f>Oktober!K33</f>
        <v>0</v>
      </c>
      <c r="N9" s="119" t="s">
        <v>67</v>
      </c>
      <c r="O9" s="119" t="s">
        <v>67</v>
      </c>
      <c r="P9" s="120">
        <f t="shared" si="1"/>
        <v>0</v>
      </c>
      <c r="Q9" s="120">
        <f t="shared" si="2"/>
        <v>0</v>
      </c>
      <c r="R9" s="121"/>
    </row>
    <row r="10" spans="1:18" ht="19.5" customHeight="1" x14ac:dyDescent="0.25">
      <c r="A10" s="133" t="str">
        <f>January!H34</f>
        <v>Endorsement</v>
      </c>
      <c r="B10" s="122"/>
      <c r="C10" s="118"/>
      <c r="D10" s="119">
        <f>January!K34</f>
        <v>0</v>
      </c>
      <c r="E10" s="119">
        <f>February!K34</f>
        <v>0</v>
      </c>
      <c r="F10" s="119">
        <f>March!K34</f>
        <v>0</v>
      </c>
      <c r="G10" s="119">
        <f>April!K34</f>
        <v>0</v>
      </c>
      <c r="H10" s="119">
        <f>Mei!K34</f>
        <v>0</v>
      </c>
      <c r="I10" s="119">
        <f>Juni!K34</f>
        <v>0</v>
      </c>
      <c r="J10" s="119">
        <f>Juli!K34</f>
        <v>0</v>
      </c>
      <c r="K10" s="119">
        <f>Agustus!K34</f>
        <v>0</v>
      </c>
      <c r="L10" s="119">
        <f>September!K34</f>
        <v>0</v>
      </c>
      <c r="M10" s="119">
        <f>Oktober!K34</f>
        <v>0</v>
      </c>
      <c r="N10" s="119" t="s">
        <v>67</v>
      </c>
      <c r="O10" s="119" t="s">
        <v>67</v>
      </c>
      <c r="P10" s="120">
        <f t="shared" si="1"/>
        <v>0</v>
      </c>
      <c r="Q10" s="120">
        <f t="shared" si="2"/>
        <v>0</v>
      </c>
      <c r="R10" s="121"/>
    </row>
    <row r="11" spans="1:18" ht="24" customHeight="1" x14ac:dyDescent="0.25">
      <c r="A11" s="133">
        <f>January!H35</f>
        <v>0</v>
      </c>
      <c r="B11" s="111"/>
      <c r="C11" s="118"/>
      <c r="D11" s="119"/>
      <c r="E11" s="119" t="str">
        <f>February!K35</f>
        <v/>
      </c>
      <c r="F11" s="119" t="str">
        <f>March!K35</f>
        <v/>
      </c>
      <c r="G11" s="119" t="str">
        <f>April!K35</f>
        <v/>
      </c>
      <c r="H11" s="119" t="str">
        <f>Mei!K35</f>
        <v/>
      </c>
      <c r="I11" s="119" t="str">
        <f>Juni!K35</f>
        <v/>
      </c>
      <c r="J11" s="119" t="str">
        <f>Juli!K35</f>
        <v/>
      </c>
      <c r="K11" s="119" t="str">
        <f>Agustus!K35</f>
        <v/>
      </c>
      <c r="L11" s="119" t="str">
        <f>September!K35</f>
        <v/>
      </c>
      <c r="M11" s="119" t="str">
        <f>Oktober!K35</f>
        <v/>
      </c>
      <c r="N11" s="119" t="s">
        <v>67</v>
      </c>
      <c r="O11" s="119"/>
      <c r="P11" s="120"/>
      <c r="Q11" s="120"/>
      <c r="R11" s="115"/>
    </row>
    <row r="12" spans="1:18" ht="19.5" customHeight="1" outlineLevel="1" x14ac:dyDescent="0.25">
      <c r="A12" s="123"/>
      <c r="B12" s="122"/>
      <c r="C12" s="118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20"/>
      <c r="Q12" s="120"/>
      <c r="R12" s="121"/>
    </row>
    <row r="13" spans="1:18" ht="19.5" customHeight="1" outlineLevel="1" x14ac:dyDescent="0.25">
      <c r="A13" s="123"/>
      <c r="B13" s="122"/>
      <c r="C13" s="118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20"/>
      <c r="Q13" s="120"/>
      <c r="R13" s="121"/>
    </row>
    <row r="14" spans="1:18" ht="19.5" customHeight="1" outlineLevel="1" x14ac:dyDescent="0.25">
      <c r="A14" s="123"/>
      <c r="B14" s="122"/>
      <c r="C14" s="118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20"/>
      <c r="Q14" s="120"/>
      <c r="R14" s="121"/>
    </row>
    <row r="15" spans="1:18" ht="19.5" customHeight="1" outlineLevel="1" x14ac:dyDescent="0.25">
      <c r="A15" s="123"/>
      <c r="B15" s="122"/>
      <c r="C15" s="118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20"/>
      <c r="Q15" s="120"/>
      <c r="R15" s="121"/>
    </row>
    <row r="16" spans="1:18" ht="19.5" customHeight="1" outlineLevel="1" x14ac:dyDescent="0.25">
      <c r="A16" s="123"/>
      <c r="B16" s="122"/>
      <c r="C16" s="118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20"/>
      <c r="Q16" s="120"/>
      <c r="R16" s="121"/>
    </row>
    <row r="17" spans="1:18" ht="19.5" customHeight="1" outlineLevel="1" x14ac:dyDescent="0.25">
      <c r="A17" s="123"/>
      <c r="B17" s="122"/>
      <c r="C17" s="118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20"/>
      <c r="Q17" s="120"/>
      <c r="R17" s="121"/>
    </row>
    <row r="18" spans="1:18" ht="19.5" customHeight="1" x14ac:dyDescent="0.25">
      <c r="A18" s="123"/>
      <c r="B18" s="122"/>
      <c r="C18" s="118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20"/>
      <c r="Q18" s="120"/>
      <c r="R18" s="121"/>
    </row>
    <row r="19" spans="1:18" ht="19.5" hidden="1" customHeight="1" x14ac:dyDescent="0.25">
      <c r="A19" s="134"/>
      <c r="B19" s="135"/>
      <c r="C19" s="136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8"/>
      <c r="Q19" s="138"/>
      <c r="R19" s="132"/>
    </row>
    <row r="20" spans="1:18" ht="15.75" customHeight="1" x14ac:dyDescent="0.25"/>
    <row r="21" spans="1:18" ht="15.75" customHeight="1" x14ac:dyDescent="0.25"/>
    <row r="22" spans="1:18" ht="15.75" customHeight="1" x14ac:dyDescent="0.25"/>
    <row r="23" spans="1:18" ht="15.75" customHeight="1" x14ac:dyDescent="0.25"/>
    <row r="24" spans="1:18" ht="15.75" customHeight="1" x14ac:dyDescent="0.25"/>
    <row r="25" spans="1:18" ht="15.75" customHeight="1" x14ac:dyDescent="0.25"/>
    <row r="26" spans="1:18" ht="15.75" customHeight="1" x14ac:dyDescent="0.25"/>
    <row r="27" spans="1:18" ht="15.75" customHeight="1" x14ac:dyDescent="0.25"/>
    <row r="28" spans="1:18" ht="15.75" customHeight="1" x14ac:dyDescent="0.25"/>
    <row r="29" spans="1:18" ht="15.75" customHeight="1" x14ac:dyDescent="0.25"/>
    <row r="30" spans="1:18" ht="15.75" customHeight="1" x14ac:dyDescent="0.25"/>
    <row r="31" spans="1:18" ht="15.75" customHeight="1" x14ac:dyDescent="0.25"/>
    <row r="32" spans="1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0"/>
  <sheetViews>
    <sheetView workbookViewId="0"/>
  </sheetViews>
  <sheetFormatPr defaultColWidth="12.6640625" defaultRowHeight="15" customHeight="1" x14ac:dyDescent="0.25"/>
  <cols>
    <col min="1" max="6" width="12.6640625" customWidth="1"/>
  </cols>
  <sheetData>
    <row r="1" spans="1:9" ht="15.75" customHeight="1" x14ac:dyDescent="0.25">
      <c r="A1" s="139" t="s">
        <v>15</v>
      </c>
      <c r="B1" s="139" t="s">
        <v>16</v>
      </c>
      <c r="C1" s="140">
        <f>50000*31</f>
        <v>1550000</v>
      </c>
      <c r="D1" s="139">
        <f>C4/20</f>
        <v>32075</v>
      </c>
      <c r="G1" s="140">
        <v>6044094</v>
      </c>
      <c r="H1" s="139" t="s">
        <v>17</v>
      </c>
      <c r="I1" s="141">
        <f t="shared" ref="I1:I2" si="0">G1/11*12</f>
        <v>6593557.0909090918</v>
      </c>
    </row>
    <row r="2" spans="1:9" ht="15.75" customHeight="1" x14ac:dyDescent="0.25">
      <c r="B2" s="139" t="s">
        <v>18</v>
      </c>
      <c r="C2" s="140">
        <f>180000*31</f>
        <v>5580000</v>
      </c>
      <c r="G2" s="140">
        <v>705600</v>
      </c>
      <c r="H2" s="139" t="s">
        <v>19</v>
      </c>
      <c r="I2" s="141">
        <f t="shared" si="0"/>
        <v>769745.45454545459</v>
      </c>
    </row>
    <row r="3" spans="1:9" ht="15.75" customHeight="1" x14ac:dyDescent="0.25">
      <c r="A3" s="140">
        <f>SUM(C1:C2)</f>
        <v>7130000</v>
      </c>
      <c r="C3" s="140"/>
      <c r="G3" s="140"/>
      <c r="I3" s="141">
        <f>SUM(I1:I2)</f>
        <v>7363302.5454545468</v>
      </c>
    </row>
    <row r="4" spans="1:9" ht="15.75" customHeight="1" x14ac:dyDescent="0.25">
      <c r="B4" s="139" t="s">
        <v>20</v>
      </c>
      <c r="C4" s="140">
        <f>241500+400000</f>
        <v>641500</v>
      </c>
      <c r="G4" s="140">
        <v>519092</v>
      </c>
      <c r="H4" s="139" t="s">
        <v>21</v>
      </c>
      <c r="I4" s="141">
        <f>G4/11*12</f>
        <v>566282.18181818177</v>
      </c>
    </row>
    <row r="5" spans="1:9" ht="15.75" customHeight="1" x14ac:dyDescent="0.25">
      <c r="B5" s="139" t="s">
        <v>22</v>
      </c>
      <c r="C5" s="140">
        <f>B6-C4</f>
        <v>108500</v>
      </c>
      <c r="G5" s="140"/>
    </row>
    <row r="6" spans="1:9" ht="15.75" customHeight="1" x14ac:dyDescent="0.25">
      <c r="A6" s="139" t="s">
        <v>23</v>
      </c>
      <c r="B6" s="139">
        <f>750000</f>
        <v>750000</v>
      </c>
      <c r="C6" s="140"/>
      <c r="G6" s="140"/>
    </row>
    <row r="7" spans="1:9" ht="15.75" customHeight="1" x14ac:dyDescent="0.25">
      <c r="C7" s="140"/>
      <c r="G7" s="140"/>
    </row>
    <row r="8" spans="1:9" ht="15.75" customHeight="1" x14ac:dyDescent="0.25">
      <c r="C8" s="140"/>
      <c r="G8" s="140"/>
    </row>
    <row r="9" spans="1:9" ht="15.75" customHeight="1" x14ac:dyDescent="0.25">
      <c r="C9" s="140"/>
      <c r="G9" s="140"/>
    </row>
    <row r="10" spans="1:9" ht="15.75" customHeight="1" x14ac:dyDescent="0.25">
      <c r="C10" s="140"/>
      <c r="G10" s="140"/>
    </row>
    <row r="11" spans="1:9" ht="15.75" customHeight="1" x14ac:dyDescent="0.25">
      <c r="A11" s="139" t="s">
        <v>24</v>
      </c>
      <c r="C11" s="140"/>
      <c r="G11" s="140"/>
    </row>
    <row r="12" spans="1:9" ht="15.75" customHeight="1" x14ac:dyDescent="0.25">
      <c r="A12" s="139" t="s">
        <v>25</v>
      </c>
      <c r="C12" s="140">
        <f>350000*4</f>
        <v>1400000</v>
      </c>
      <c r="G12" s="140"/>
    </row>
    <row r="13" spans="1:9" ht="15.75" customHeight="1" x14ac:dyDescent="0.25">
      <c r="C13" s="140"/>
      <c r="G13" s="140"/>
    </row>
    <row r="14" spans="1:9" ht="15.75" customHeight="1" x14ac:dyDescent="0.25">
      <c r="C14" s="140"/>
      <c r="G14" s="140"/>
    </row>
    <row r="15" spans="1:9" ht="15.75" customHeight="1" x14ac:dyDescent="0.25">
      <c r="A15" s="139" t="s">
        <v>26</v>
      </c>
      <c r="B15" s="139">
        <f>40000*4</f>
        <v>160000</v>
      </c>
      <c r="C15" s="140"/>
      <c r="G15" s="140"/>
    </row>
    <row r="16" spans="1:9" ht="15.75" customHeight="1" x14ac:dyDescent="0.25">
      <c r="A16" s="139" t="s">
        <v>27</v>
      </c>
      <c r="B16" s="139">
        <f>350000*4</f>
        <v>1400000</v>
      </c>
      <c r="C16" s="140"/>
      <c r="G16" s="140"/>
    </row>
    <row r="17" spans="3:7" ht="15.75" customHeight="1" x14ac:dyDescent="0.25">
      <c r="C17" s="140"/>
      <c r="G17" s="140"/>
    </row>
    <row r="18" spans="3:7" ht="15.75" customHeight="1" x14ac:dyDescent="0.25">
      <c r="C18" s="140"/>
      <c r="G18" s="140"/>
    </row>
    <row r="19" spans="3:7" ht="15.75" customHeight="1" x14ac:dyDescent="0.25">
      <c r="C19" s="140"/>
      <c r="G19" s="140"/>
    </row>
    <row r="20" spans="3:7" ht="15.75" customHeight="1" x14ac:dyDescent="0.25">
      <c r="C20" s="140"/>
      <c r="G20" s="140"/>
    </row>
    <row r="21" spans="3:7" ht="15.75" customHeight="1" x14ac:dyDescent="0.25">
      <c r="C21" s="140"/>
      <c r="G21" s="140"/>
    </row>
    <row r="22" spans="3:7" ht="15.75" customHeight="1" x14ac:dyDescent="0.25">
      <c r="C22" s="140"/>
      <c r="G22" s="140"/>
    </row>
    <row r="23" spans="3:7" ht="15.75" customHeight="1" x14ac:dyDescent="0.25">
      <c r="G23" s="140"/>
    </row>
    <row r="24" spans="3:7" ht="15.75" customHeight="1" x14ac:dyDescent="0.25">
      <c r="G24" s="140"/>
    </row>
    <row r="25" spans="3:7" ht="15.75" customHeight="1" x14ac:dyDescent="0.25">
      <c r="G25" s="140"/>
    </row>
    <row r="26" spans="3:7" ht="15.75" customHeight="1" x14ac:dyDescent="0.25">
      <c r="G26" s="140"/>
    </row>
    <row r="27" spans="3:7" ht="15.75" customHeight="1" x14ac:dyDescent="0.25"/>
    <row r="28" spans="3:7" ht="15.75" customHeight="1" x14ac:dyDescent="0.25"/>
    <row r="29" spans="3:7" ht="15.75" customHeight="1" x14ac:dyDescent="0.25"/>
    <row r="30" spans="3:7" ht="15.75" customHeight="1" x14ac:dyDescent="0.25"/>
    <row r="31" spans="3:7" ht="15.75" customHeight="1" x14ac:dyDescent="0.25"/>
    <row r="32" spans="3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00"/>
  <sheetViews>
    <sheetView showGridLines="0" tabSelected="1" topLeftCell="A19" workbookViewId="0">
      <selection activeCell="I3" sqref="I3:L3"/>
    </sheetView>
  </sheetViews>
  <sheetFormatPr defaultColWidth="12.6640625" defaultRowHeight="15" customHeight="1" x14ac:dyDescent="0.25"/>
  <cols>
    <col min="1" max="1" width="6.109375" customWidth="1"/>
    <col min="2" max="3" width="10.88671875" customWidth="1"/>
    <col min="4" max="6" width="20.109375" customWidth="1"/>
    <col min="7" max="7" width="16.21875" customWidth="1"/>
    <col min="8" max="9" width="10.88671875" customWidth="1"/>
    <col min="10" max="12" width="20.109375" customWidth="1"/>
    <col min="13" max="13" width="6.109375" customWidth="1"/>
  </cols>
  <sheetData>
    <row r="1" spans="1:13" ht="16.2" customHeight="1" x14ac:dyDescent="0.3">
      <c r="A1" s="142"/>
      <c r="B1" s="142"/>
      <c r="C1" s="142"/>
      <c r="D1" s="142"/>
      <c r="E1" s="142"/>
      <c r="F1" s="142"/>
      <c r="G1" s="143"/>
      <c r="H1" s="142"/>
      <c r="I1" s="142"/>
      <c r="J1" s="142"/>
      <c r="K1" s="142"/>
      <c r="L1" s="142"/>
      <c r="M1" s="142"/>
    </row>
    <row r="2" spans="1:13" ht="16.2" customHeight="1" x14ac:dyDescent="0.25">
      <c r="A2" s="144"/>
      <c r="B2" s="269" t="s">
        <v>28</v>
      </c>
      <c r="C2" s="266"/>
      <c r="D2" s="266"/>
      <c r="E2" s="266"/>
      <c r="F2" s="266"/>
      <c r="G2" s="266"/>
      <c r="H2" s="266"/>
      <c r="I2" s="270" t="s">
        <v>1</v>
      </c>
      <c r="J2" s="266"/>
      <c r="K2" s="266"/>
      <c r="L2" s="266"/>
      <c r="M2" s="144"/>
    </row>
    <row r="3" spans="1:13" ht="16.2" customHeight="1" x14ac:dyDescent="0.25">
      <c r="A3" s="145"/>
      <c r="B3" s="271" t="s">
        <v>29</v>
      </c>
      <c r="C3" s="266"/>
      <c r="D3" s="266"/>
      <c r="E3" s="266"/>
      <c r="F3" s="266"/>
      <c r="G3" s="266"/>
      <c r="H3" s="146"/>
      <c r="I3" s="272" t="s">
        <v>30</v>
      </c>
      <c r="J3" s="266"/>
      <c r="K3" s="266"/>
      <c r="L3" s="266"/>
      <c r="M3" s="147"/>
    </row>
    <row r="4" spans="1:13" ht="16.2" customHeight="1" x14ac:dyDescent="0.25">
      <c r="A4" s="145"/>
      <c r="B4" s="266"/>
      <c r="C4" s="266"/>
      <c r="D4" s="266"/>
      <c r="E4" s="266"/>
      <c r="F4" s="266"/>
      <c r="G4" s="266"/>
      <c r="H4" s="146"/>
      <c r="I4" s="273" t="s">
        <v>31</v>
      </c>
      <c r="J4" s="266"/>
      <c r="K4" s="266"/>
      <c r="L4" s="266"/>
      <c r="M4" s="266"/>
    </row>
    <row r="5" spans="1:13" ht="16.2" customHeight="1" x14ac:dyDescent="0.25">
      <c r="A5" s="145"/>
      <c r="B5" s="271" t="s">
        <v>32</v>
      </c>
      <c r="C5" s="266"/>
      <c r="D5" s="266"/>
      <c r="E5" s="266"/>
      <c r="F5" s="266"/>
      <c r="G5" s="266"/>
      <c r="H5" s="146"/>
      <c r="I5" s="266"/>
      <c r="J5" s="266"/>
      <c r="K5" s="266"/>
      <c r="L5" s="266"/>
      <c r="M5" s="266"/>
    </row>
    <row r="6" spans="1:13" ht="16.2" customHeight="1" x14ac:dyDescent="0.3">
      <c r="A6" s="148"/>
      <c r="B6" s="266"/>
      <c r="C6" s="266"/>
      <c r="D6" s="266"/>
      <c r="E6" s="266"/>
      <c r="F6" s="266"/>
      <c r="G6" s="266"/>
      <c r="H6" s="149"/>
      <c r="I6" s="142"/>
      <c r="J6" s="142"/>
      <c r="K6" s="142"/>
      <c r="L6" s="142"/>
      <c r="M6" s="142"/>
    </row>
    <row r="7" spans="1:13" ht="30" customHeight="1" x14ac:dyDescent="0.3">
      <c r="A7" s="150"/>
      <c r="B7" s="151"/>
      <c r="C7" s="151"/>
      <c r="D7" s="151"/>
      <c r="E7" s="152"/>
      <c r="F7" s="153"/>
      <c r="G7" s="154"/>
      <c r="H7" s="155"/>
      <c r="I7" s="155"/>
      <c r="J7" s="153"/>
      <c r="K7" s="153"/>
      <c r="L7" s="153"/>
      <c r="M7" s="153"/>
    </row>
    <row r="8" spans="1:13" ht="18" customHeight="1" x14ac:dyDescent="0.3">
      <c r="A8" s="156"/>
      <c r="B8" s="304" t="s">
        <v>33</v>
      </c>
      <c r="C8" s="304"/>
      <c r="D8" s="304"/>
      <c r="E8" s="304"/>
      <c r="F8" s="304"/>
      <c r="G8" s="157"/>
      <c r="H8" s="153"/>
      <c r="I8" s="158"/>
      <c r="J8" s="274" t="s">
        <v>34</v>
      </c>
      <c r="K8" s="266"/>
      <c r="L8" s="159">
        <v>3000000</v>
      </c>
      <c r="M8" s="153"/>
    </row>
    <row r="9" spans="1:13" ht="18" customHeight="1" x14ac:dyDescent="0.25">
      <c r="A9" s="156"/>
      <c r="B9" s="304"/>
      <c r="C9" s="304"/>
      <c r="D9" s="304"/>
      <c r="E9" s="304"/>
      <c r="F9" s="304"/>
      <c r="G9" s="157"/>
      <c r="H9" s="153"/>
      <c r="I9" s="160"/>
      <c r="J9" s="153"/>
      <c r="K9" s="153"/>
      <c r="L9" s="157"/>
      <c r="M9" s="153"/>
    </row>
    <row r="10" spans="1:13" ht="18" customHeight="1" x14ac:dyDescent="0.25">
      <c r="A10" s="153"/>
      <c r="B10" s="161"/>
      <c r="C10" s="161"/>
      <c r="D10" s="161"/>
      <c r="E10" s="161"/>
      <c r="F10" s="153"/>
      <c r="G10" s="157"/>
      <c r="H10" s="153"/>
      <c r="I10" s="160"/>
      <c r="J10" s="153"/>
      <c r="K10" s="153"/>
      <c r="L10" s="157"/>
      <c r="M10" s="153"/>
    </row>
    <row r="11" spans="1:13" ht="11.4" customHeight="1" x14ac:dyDescent="0.3">
      <c r="A11" s="150"/>
      <c r="B11" s="162"/>
      <c r="C11" s="162"/>
      <c r="D11" s="163"/>
      <c r="E11" s="150"/>
      <c r="F11" s="150"/>
      <c r="G11" s="158"/>
      <c r="H11" s="164"/>
      <c r="I11" s="165"/>
      <c r="J11" s="165"/>
      <c r="K11" s="165"/>
      <c r="L11" s="166"/>
      <c r="M11" s="150"/>
    </row>
    <row r="12" spans="1:13" ht="17.399999999999999" customHeight="1" x14ac:dyDescent="0.3">
      <c r="A12" s="158"/>
      <c r="B12" s="150"/>
      <c r="C12" s="158"/>
      <c r="D12" s="276" t="str">
        <f ca="1">IFERROR(__xludf.DUMMYFUNCTION("SPARKLINE(D17,{""charttype"",""column"";""ymin"", 0; ""ymax"",MAX(D17:E17);""firstcolor"",""#334960""})"),"")</f>
        <v/>
      </c>
      <c r="E12" s="278" t="str">
        <f ca="1">IFERROR(__xludf.DUMMYFUNCTION("SPARKLINE(E17,{""charttype"",""column"";""ymin"", 0; ""ymax"",max(D17:E17);""firstcolor"",""#f46524""})"),"")</f>
        <v/>
      </c>
      <c r="F12" s="150"/>
      <c r="G12" s="150"/>
      <c r="H12" s="167"/>
      <c r="I12" s="168"/>
      <c r="J12" s="168"/>
      <c r="K12" s="168"/>
      <c r="L12" s="169"/>
      <c r="M12" s="158"/>
    </row>
    <row r="13" spans="1:13" ht="40.200000000000003" customHeight="1" x14ac:dyDescent="0.9">
      <c r="A13" s="158"/>
      <c r="B13" s="150"/>
      <c r="C13" s="150"/>
      <c r="D13" s="277"/>
      <c r="E13" s="266"/>
      <c r="F13" s="150"/>
      <c r="G13" s="150"/>
      <c r="H13" s="299">
        <f>IFERROR(E17/D17-1, "")</f>
        <v>0</v>
      </c>
      <c r="I13" s="279"/>
      <c r="J13" s="279"/>
      <c r="K13" s="279"/>
      <c r="L13" s="300"/>
      <c r="M13" s="170"/>
    </row>
    <row r="14" spans="1:13" ht="18.600000000000001" customHeight="1" x14ac:dyDescent="0.9">
      <c r="A14" s="150"/>
      <c r="B14" s="150"/>
      <c r="C14" s="150"/>
      <c r="D14" s="277"/>
      <c r="E14" s="266"/>
      <c r="F14" s="150"/>
      <c r="G14" s="150"/>
      <c r="H14" s="301" t="str">
        <f>IF(H13 &lt; 0, "Decrease in total savings", "Increase in total savings")</f>
        <v>Increase in total savings</v>
      </c>
      <c r="I14" s="302"/>
      <c r="J14" s="302"/>
      <c r="K14" s="302"/>
      <c r="L14" s="303"/>
      <c r="M14" s="170"/>
    </row>
    <row r="15" spans="1:13" ht="40.200000000000003" customHeight="1" x14ac:dyDescent="0.9">
      <c r="A15" s="150"/>
      <c r="B15" s="150"/>
      <c r="C15" s="150"/>
      <c r="D15" s="277"/>
      <c r="E15" s="266"/>
      <c r="F15" s="150"/>
      <c r="G15" s="150"/>
      <c r="H15" s="299">
        <f>IFERROR(E17-D17, 0)</f>
        <v>0</v>
      </c>
      <c r="I15" s="279"/>
      <c r="J15" s="279"/>
      <c r="K15" s="279"/>
      <c r="L15" s="300"/>
      <c r="M15" s="170"/>
    </row>
    <row r="16" spans="1:13" ht="18.600000000000001" customHeight="1" x14ac:dyDescent="0.55000000000000004">
      <c r="A16" s="150"/>
      <c r="B16" s="162"/>
      <c r="C16" s="171"/>
      <c r="D16" s="172" t="s">
        <v>35</v>
      </c>
      <c r="E16" s="173" t="s">
        <v>36</v>
      </c>
      <c r="F16" s="171"/>
      <c r="G16" s="162"/>
      <c r="H16" s="301" t="str">
        <f>IF(J15&lt;0, "Spent this month", "Saved this month")</f>
        <v>Saved this month</v>
      </c>
      <c r="I16" s="282"/>
      <c r="J16" s="282"/>
      <c r="K16" s="282"/>
      <c r="L16" s="303"/>
      <c r="M16" s="174"/>
    </row>
    <row r="17" spans="1:13" ht="17.399999999999999" customHeight="1" x14ac:dyDescent="0.3">
      <c r="A17" s="158"/>
      <c r="B17" s="150"/>
      <c r="C17" s="158"/>
      <c r="D17" s="175">
        <f>IF(ISBLANK(L8),0,L8)</f>
        <v>3000000</v>
      </c>
      <c r="E17" s="176">
        <f>D17+(I22-C22)</f>
        <v>3000000</v>
      </c>
      <c r="F17" s="158"/>
      <c r="G17" s="150"/>
      <c r="H17" s="167"/>
      <c r="I17" s="283"/>
      <c r="J17" s="266"/>
      <c r="K17" s="266"/>
      <c r="L17" s="169"/>
      <c r="M17" s="158"/>
    </row>
    <row r="18" spans="1:13" ht="11.4" customHeight="1" x14ac:dyDescent="0.3">
      <c r="A18" s="158"/>
      <c r="B18" s="177"/>
      <c r="C18" s="177"/>
      <c r="D18" s="177"/>
      <c r="E18" s="177"/>
      <c r="F18" s="177"/>
      <c r="G18" s="158"/>
      <c r="H18" s="178"/>
      <c r="I18" s="179"/>
      <c r="J18" s="180"/>
      <c r="K18" s="179"/>
      <c r="L18" s="181"/>
      <c r="M18" s="158"/>
    </row>
    <row r="19" spans="1:13" ht="24" customHeight="1" x14ac:dyDescent="0.3">
      <c r="A19" s="158"/>
      <c r="B19" s="177"/>
      <c r="C19" s="177"/>
      <c r="D19" s="177"/>
      <c r="E19" s="177"/>
      <c r="F19" s="177"/>
      <c r="G19" s="158"/>
      <c r="H19" s="158"/>
      <c r="I19" s="158"/>
      <c r="J19" s="151"/>
      <c r="K19" s="158"/>
      <c r="L19" s="158"/>
      <c r="M19" s="158"/>
    </row>
    <row r="20" spans="1:13" ht="24" customHeight="1" x14ac:dyDescent="0.25">
      <c r="A20" s="182"/>
      <c r="B20" s="284" t="s">
        <v>10</v>
      </c>
      <c r="C20" s="266"/>
      <c r="D20" s="266"/>
      <c r="E20" s="266"/>
      <c r="F20" s="266"/>
      <c r="G20" s="182"/>
      <c r="H20" s="183" t="s">
        <v>9</v>
      </c>
      <c r="I20" s="183"/>
      <c r="J20" s="184"/>
      <c r="K20" s="182"/>
      <c r="L20" s="182"/>
      <c r="M20" s="182"/>
    </row>
    <row r="21" spans="1:13" ht="19.5" customHeight="1" x14ac:dyDescent="0.25">
      <c r="A21" s="185"/>
      <c r="B21" s="186" t="s">
        <v>37</v>
      </c>
      <c r="C21" s="187">
        <f>D26</f>
        <v>2030000</v>
      </c>
      <c r="D21" s="285" t="str">
        <f ca="1">IFERROR(__xludf.DUMMYFUNCTION("SPARKLINE(C21,{""charttype"",""bar"";""max"",max(C21:C22);""color1"",""#AEB7C0""})"),"")</f>
        <v/>
      </c>
      <c r="E21" s="266"/>
      <c r="F21" s="266"/>
      <c r="G21" s="185"/>
      <c r="H21" s="186" t="s">
        <v>37</v>
      </c>
      <c r="I21" s="187">
        <f>J26</f>
        <v>300000</v>
      </c>
      <c r="J21" s="285" t="str">
        <f ca="1">IFERROR(__xludf.DUMMYFUNCTION("SPARKLINE(I21,{""charttype"",""bar"";""max"",max(I21:I22);""color1"",""#AEB7C0""})"),"")</f>
        <v/>
      </c>
      <c r="K21" s="266"/>
      <c r="L21" s="266"/>
      <c r="M21" s="185"/>
    </row>
    <row r="22" spans="1:13" ht="19.5" customHeight="1" x14ac:dyDescent="0.25">
      <c r="A22" s="188"/>
      <c r="B22" s="189" t="s">
        <v>38</v>
      </c>
      <c r="C22" s="190">
        <f>E26</f>
        <v>0</v>
      </c>
      <c r="D22" s="286" t="str">
        <f ca="1">IFERROR(__xludf.DUMMYFUNCTION("SPARKLINE(C22,{""charttype"",""bar"";""max"",max(C21:C22);""color1"",""#334960""})"),"")</f>
        <v/>
      </c>
      <c r="E22" s="266"/>
      <c r="F22" s="266"/>
      <c r="G22" s="177"/>
      <c r="H22" s="189" t="s">
        <v>38</v>
      </c>
      <c r="I22" s="190">
        <f>K26</f>
        <v>0</v>
      </c>
      <c r="J22" s="286" t="str">
        <f ca="1">IFERROR(__xludf.DUMMYFUNCTION("SPARKLINE(I22,{""charttype"",""bar"";""max"",max(I21:I22);""color1"",""#334960""})"),"")</f>
        <v/>
      </c>
      <c r="K22" s="266"/>
      <c r="L22" s="266"/>
      <c r="M22" s="188"/>
    </row>
    <row r="23" spans="1:13" ht="30" customHeight="1" x14ac:dyDescent="0.3">
      <c r="A23" s="150"/>
      <c r="B23" s="191"/>
      <c r="C23" s="192"/>
      <c r="D23" s="287"/>
      <c r="E23" s="266"/>
      <c r="F23" s="266"/>
      <c r="G23" s="150"/>
      <c r="H23" s="191"/>
      <c r="I23" s="192"/>
      <c r="J23" s="287"/>
      <c r="K23" s="266"/>
      <c r="L23" s="266"/>
      <c r="M23" s="188"/>
    </row>
    <row r="24" spans="1:13" ht="29.25" customHeight="1" x14ac:dyDescent="0.25">
      <c r="A24" s="193"/>
      <c r="B24" s="288" t="s">
        <v>10</v>
      </c>
      <c r="C24" s="266"/>
      <c r="D24" s="194"/>
      <c r="E24" s="194"/>
      <c r="F24" s="194"/>
      <c r="G24" s="195"/>
      <c r="H24" s="196" t="s">
        <v>9</v>
      </c>
      <c r="I24" s="197"/>
      <c r="J24" s="194"/>
      <c r="K24" s="194"/>
      <c r="L24" s="194"/>
      <c r="M24" s="193"/>
    </row>
    <row r="25" spans="1:13" ht="19.5" customHeight="1" x14ac:dyDescent="0.65">
      <c r="A25" s="198"/>
      <c r="B25" s="298"/>
      <c r="C25" s="298"/>
      <c r="D25" s="199" t="s">
        <v>37</v>
      </c>
      <c r="E25" s="199" t="s">
        <v>38</v>
      </c>
      <c r="F25" s="199" t="s">
        <v>39</v>
      </c>
      <c r="G25" s="201"/>
      <c r="H25" s="202"/>
      <c r="I25" s="203"/>
      <c r="J25" s="199" t="s">
        <v>37</v>
      </c>
      <c r="K25" s="199" t="s">
        <v>38</v>
      </c>
      <c r="L25" s="199" t="s">
        <v>39</v>
      </c>
      <c r="M25" s="198"/>
    </row>
    <row r="26" spans="1:13" ht="17.25" customHeight="1" x14ac:dyDescent="0.25">
      <c r="A26" s="204"/>
      <c r="B26" s="297" t="s">
        <v>40</v>
      </c>
      <c r="C26" s="297"/>
      <c r="D26" s="206">
        <f>SUM(D27:D1044)</f>
        <v>2030000</v>
      </c>
      <c r="E26" s="206">
        <f>SUM(E27:E1044)</f>
        <v>0</v>
      </c>
      <c r="F26" s="206">
        <f>SUM(F27:F1044)</f>
        <v>2030000</v>
      </c>
      <c r="G26" s="207"/>
      <c r="H26" s="208" t="s">
        <v>40</v>
      </c>
      <c r="I26" s="206"/>
      <c r="J26" s="206">
        <f t="shared" ref="J26:L26" si="0">SUM(J27:J44)</f>
        <v>300000</v>
      </c>
      <c r="K26" s="206">
        <f t="shared" si="0"/>
        <v>0</v>
      </c>
      <c r="L26" s="206">
        <f t="shared" si="0"/>
        <v>-300000</v>
      </c>
      <c r="M26" s="204"/>
    </row>
    <row r="27" spans="1:13" ht="18" hidden="1" customHeight="1" x14ac:dyDescent="0.25">
      <c r="A27" s="209"/>
      <c r="B27" s="295"/>
      <c r="C27" s="296"/>
      <c r="D27" s="210"/>
      <c r="E27" s="211" t="str">
        <f>IF(ISBLANK($B27), "", SUMIF('Trans Jan'!$E:$E,$B27,'Trans Jan'!$C:$C))</f>
        <v/>
      </c>
      <c r="F27" s="211" t="str">
        <f t="shared" ref="F27:F43" si="1">IF(ISBLANK($B27), "", D27-E27)</f>
        <v/>
      </c>
      <c r="G27" s="190"/>
      <c r="H27" s="291"/>
      <c r="I27" s="292"/>
      <c r="J27" s="212"/>
      <c r="K27" s="211" t="str">
        <f>IF(ISBLANK($H27), "", SUMIF('Trans Jan'!$J:$J,$H27,'Trans Jan'!$H:$H))</f>
        <v/>
      </c>
      <c r="L27" s="211" t="str">
        <f t="shared" ref="L27:L44" si="2">IF(ISBLANK($H27), "", K27-J27)</f>
        <v/>
      </c>
      <c r="M27" s="209"/>
    </row>
    <row r="28" spans="1:13" ht="18" customHeight="1" x14ac:dyDescent="0.25">
      <c r="A28" s="209"/>
      <c r="B28" s="267" t="s">
        <v>15</v>
      </c>
      <c r="C28" s="268"/>
      <c r="D28" s="213">
        <v>1000000</v>
      </c>
      <c r="E28" s="214">
        <f>IF(ISBLANK($B28), "", SUMIF('Trans Jan'!$E:$E,$B28,'Trans Jan'!$C:$C))</f>
        <v>0</v>
      </c>
      <c r="F28" s="214">
        <f t="shared" si="1"/>
        <v>1000000</v>
      </c>
      <c r="G28" s="215"/>
      <c r="H28" s="267" t="s">
        <v>41</v>
      </c>
      <c r="I28" s="268"/>
      <c r="J28" s="213">
        <v>300000</v>
      </c>
      <c r="K28" s="211">
        <f>IF(ISBLANK($H28), "", SUMIF('Trans Jan'!$J:$J,$H28,'Trans Jan'!$H:$H))</f>
        <v>0</v>
      </c>
      <c r="L28" s="214">
        <f t="shared" si="2"/>
        <v>-300000</v>
      </c>
      <c r="M28" s="209"/>
    </row>
    <row r="29" spans="1:13" ht="18" customHeight="1" x14ac:dyDescent="0.25">
      <c r="A29" s="209"/>
      <c r="B29" s="267" t="s">
        <v>23</v>
      </c>
      <c r="C29" s="268"/>
      <c r="D29" s="213">
        <v>0</v>
      </c>
      <c r="E29" s="214">
        <f>IF(ISBLANK($B29), "", SUMIF('Trans Jan'!$E:$E,$B29,'Trans Jan'!$C:$C))</f>
        <v>0</v>
      </c>
      <c r="F29" s="214">
        <f t="shared" si="1"/>
        <v>0</v>
      </c>
      <c r="G29" s="190"/>
      <c r="H29" s="267" t="s">
        <v>42</v>
      </c>
      <c r="I29" s="268"/>
      <c r="J29" s="213">
        <v>0</v>
      </c>
      <c r="K29" s="211">
        <f>IF(ISBLANK($H29), "", SUMIF('Trans Jan'!$J:$J,$H29,'Trans Jan'!$H:$H))</f>
        <v>0</v>
      </c>
      <c r="L29" s="214">
        <f t="shared" si="2"/>
        <v>0</v>
      </c>
      <c r="M29" s="209"/>
    </row>
    <row r="30" spans="1:13" ht="18" customHeight="1" x14ac:dyDescent="0.25">
      <c r="A30" s="188"/>
      <c r="B30" s="267" t="s">
        <v>24</v>
      </c>
      <c r="C30" s="268"/>
      <c r="D30" s="213">
        <v>30000</v>
      </c>
      <c r="E30" s="214">
        <f>IF(ISBLANK($B30), "", SUMIF('Trans Jan'!$E:$E,$B30,'Trans Jan'!$C:$C))</f>
        <v>0</v>
      </c>
      <c r="F30" s="214">
        <f t="shared" si="1"/>
        <v>30000</v>
      </c>
      <c r="G30" s="216"/>
      <c r="H30" s="267" t="s">
        <v>43</v>
      </c>
      <c r="I30" s="268"/>
      <c r="J30" s="213">
        <v>0</v>
      </c>
      <c r="K30" s="211">
        <f>IF(ISBLANK($H30), "", SUMIF('Trans Jan'!$J:$J,$H30,'Trans Jan'!$H:$H))</f>
        <v>0</v>
      </c>
      <c r="L30" s="214">
        <f t="shared" si="2"/>
        <v>0</v>
      </c>
      <c r="M30" s="188"/>
    </row>
    <row r="31" spans="1:13" ht="18" customHeight="1" x14ac:dyDescent="0.25">
      <c r="A31" s="188"/>
      <c r="B31" s="267" t="s">
        <v>44</v>
      </c>
      <c r="C31" s="268"/>
      <c r="D31" s="213">
        <v>0</v>
      </c>
      <c r="E31" s="214">
        <f>IF(ISBLANK($B31), "", SUMIF('Trans Jan'!$E:$E,$B31,'Trans Jan'!$C:$C))</f>
        <v>0</v>
      </c>
      <c r="F31" s="214">
        <f t="shared" si="1"/>
        <v>0</v>
      </c>
      <c r="G31" s="216"/>
      <c r="H31" s="267" t="s">
        <v>45</v>
      </c>
      <c r="I31" s="268"/>
      <c r="J31" s="213">
        <v>0</v>
      </c>
      <c r="K31" s="211">
        <f>IF(ISBLANK($H31), "", SUMIF('Trans Jan'!$J:$J,$H31,'Trans Jan'!$H:$H))</f>
        <v>0</v>
      </c>
      <c r="L31" s="214">
        <f t="shared" si="2"/>
        <v>0</v>
      </c>
      <c r="M31" s="188"/>
    </row>
    <row r="32" spans="1:13" ht="18" customHeight="1" x14ac:dyDescent="0.25">
      <c r="A32" s="188"/>
      <c r="B32" s="267" t="s">
        <v>46</v>
      </c>
      <c r="C32" s="268"/>
      <c r="D32" s="213">
        <v>200000</v>
      </c>
      <c r="E32" s="214">
        <f>IF(ISBLANK($B32), "", SUMIF('Trans Jan'!$E:$E,$B32,'Trans Jan'!$C:$C))</f>
        <v>0</v>
      </c>
      <c r="F32" s="214">
        <f t="shared" si="1"/>
        <v>200000</v>
      </c>
      <c r="G32" s="216"/>
      <c r="H32" s="267" t="s">
        <v>47</v>
      </c>
      <c r="I32" s="268"/>
      <c r="J32" s="213">
        <v>0</v>
      </c>
      <c r="K32" s="211">
        <f>IF(ISBLANK($H32), "", SUMIF('Trans Jan'!$J:$J,$H32,'Trans Jan'!$H:$H))</f>
        <v>0</v>
      </c>
      <c r="L32" s="214">
        <f t="shared" si="2"/>
        <v>0</v>
      </c>
      <c r="M32" s="188"/>
    </row>
    <row r="33" spans="1:13" ht="18" customHeight="1" x14ac:dyDescent="0.25">
      <c r="A33" s="188"/>
      <c r="B33" s="267" t="s">
        <v>48</v>
      </c>
      <c r="C33" s="268"/>
      <c r="D33" s="213">
        <v>0</v>
      </c>
      <c r="E33" s="214">
        <f>IF(ISBLANK($B33), "", SUMIF('Trans Jan'!$E:$E,$B33,'Trans Jan'!$C:$C))</f>
        <v>0</v>
      </c>
      <c r="F33" s="214">
        <f t="shared" si="1"/>
        <v>0</v>
      </c>
      <c r="G33" s="217"/>
      <c r="H33" s="267" t="s">
        <v>49</v>
      </c>
      <c r="I33" s="268"/>
      <c r="J33" s="218">
        <v>0</v>
      </c>
      <c r="K33" s="211">
        <f>IF(ISBLANK($H33), "", SUMIF('Trans Jan'!$J:$J,$H33,'Trans Jan'!$H:$H))</f>
        <v>0</v>
      </c>
      <c r="L33" s="214">
        <f t="shared" si="2"/>
        <v>0</v>
      </c>
      <c r="M33" s="188"/>
    </row>
    <row r="34" spans="1:13" ht="18" customHeight="1" x14ac:dyDescent="0.25">
      <c r="A34" s="188"/>
      <c r="B34" s="267" t="s">
        <v>50</v>
      </c>
      <c r="C34" s="268"/>
      <c r="D34" s="213">
        <v>0</v>
      </c>
      <c r="E34" s="214">
        <f>IF(ISBLANK($B34), "", SUMIF('Trans Jan'!$E:$E,$B34,'Trans Jan'!$C:$C))</f>
        <v>0</v>
      </c>
      <c r="F34" s="214">
        <f t="shared" si="1"/>
        <v>0</v>
      </c>
      <c r="G34" s="216"/>
      <c r="H34" s="267" t="s">
        <v>51</v>
      </c>
      <c r="I34" s="268"/>
      <c r="J34" s="218">
        <v>0</v>
      </c>
      <c r="K34" s="211">
        <f>IF(ISBLANK($H34), "", SUMIF('Trans Jan'!$J:$J,$H34,'Trans Jan'!$H:$H))</f>
        <v>0</v>
      </c>
      <c r="L34" s="214">
        <f t="shared" si="2"/>
        <v>0</v>
      </c>
      <c r="M34" s="188"/>
    </row>
    <row r="35" spans="1:13" ht="18" customHeight="1" x14ac:dyDescent="0.3">
      <c r="A35" s="188"/>
      <c r="B35" s="267" t="s">
        <v>52</v>
      </c>
      <c r="C35" s="268"/>
      <c r="D35" s="213">
        <v>800000</v>
      </c>
      <c r="E35" s="214">
        <f>IF(ISBLANK($B35), "", SUMIF('Trans Jan'!$E:$E,$B35,'Trans Jan'!$C:$C))</f>
        <v>0</v>
      </c>
      <c r="F35" s="214">
        <f t="shared" si="1"/>
        <v>800000</v>
      </c>
      <c r="G35" s="217"/>
      <c r="H35" s="293"/>
      <c r="I35" s="268"/>
      <c r="J35" s="219"/>
      <c r="K35" s="211" t="str">
        <f>IF(ISBLANK($H35), "", SUMIF('Trans Jan'!$J:$J,$H35,'Trans Jan'!$H:$H))</f>
        <v/>
      </c>
      <c r="L35" s="214" t="str">
        <f t="shared" si="2"/>
        <v/>
      </c>
      <c r="M35" s="188"/>
    </row>
    <row r="36" spans="1:13" ht="18" customHeight="1" x14ac:dyDescent="0.3">
      <c r="A36" s="188"/>
      <c r="B36" s="267" t="s">
        <v>53</v>
      </c>
      <c r="C36" s="268"/>
      <c r="D36" s="213">
        <v>0</v>
      </c>
      <c r="E36" s="214">
        <f>IF(ISBLANK($B36), "", SUMIF('Trans Jan'!$E:$E,$B36,'Trans Jan'!$C:$C))</f>
        <v>0</v>
      </c>
      <c r="F36" s="214">
        <f t="shared" si="1"/>
        <v>0</v>
      </c>
      <c r="G36" s="216"/>
      <c r="H36" s="293"/>
      <c r="I36" s="268"/>
      <c r="J36" s="219"/>
      <c r="K36" s="211" t="str">
        <f>IF(ISBLANK($H36), "", SUMIF('Trans Jan'!$J:$J,$H36,'Trans Jan'!$H:$H))</f>
        <v/>
      </c>
      <c r="L36" s="214" t="str">
        <f t="shared" si="2"/>
        <v/>
      </c>
      <c r="M36" s="188"/>
    </row>
    <row r="37" spans="1:13" ht="18" customHeight="1" x14ac:dyDescent="0.3">
      <c r="A37" s="188"/>
      <c r="B37" s="267" t="s">
        <v>54</v>
      </c>
      <c r="C37" s="268"/>
      <c r="D37" s="213">
        <v>0</v>
      </c>
      <c r="E37" s="214">
        <f>IF(ISBLANK($B37), "", SUMIF('Trans Jan'!$E:$E,$B37,'Trans Jan'!$C:$C))</f>
        <v>0</v>
      </c>
      <c r="F37" s="214">
        <f t="shared" si="1"/>
        <v>0</v>
      </c>
      <c r="G37" s="216"/>
      <c r="H37" s="293"/>
      <c r="I37" s="268"/>
      <c r="J37" s="219"/>
      <c r="K37" s="211" t="str">
        <f>IF(ISBLANK($H37), "", SUMIF('Trans Jan'!$J:$J,$H37,'Trans Jan'!$H:$H))</f>
        <v/>
      </c>
      <c r="L37" s="214" t="str">
        <f t="shared" si="2"/>
        <v/>
      </c>
      <c r="M37" s="188"/>
    </row>
    <row r="38" spans="1:13" ht="18" customHeight="1" x14ac:dyDescent="0.3">
      <c r="A38" s="188"/>
      <c r="B38" s="267" t="s">
        <v>55</v>
      </c>
      <c r="C38" s="268"/>
      <c r="D38" s="213">
        <v>0</v>
      </c>
      <c r="E38" s="214">
        <f>IF(ISBLANK($B38), "", SUMIF('Trans Jan'!$E:$E,$B38,'Trans Jan'!$C:$C))</f>
        <v>0</v>
      </c>
      <c r="F38" s="214">
        <f t="shared" si="1"/>
        <v>0</v>
      </c>
      <c r="G38" s="216"/>
      <c r="H38" s="293"/>
      <c r="I38" s="268"/>
      <c r="J38" s="219"/>
      <c r="K38" s="211" t="str">
        <f>IF(ISBLANK($H38), "", SUMIF('Trans Jan'!$J:$J,$H38,'Trans Jan'!$H:$H))</f>
        <v/>
      </c>
      <c r="L38" s="214" t="str">
        <f t="shared" si="2"/>
        <v/>
      </c>
      <c r="M38" s="188"/>
    </row>
    <row r="39" spans="1:13" ht="18" customHeight="1" x14ac:dyDescent="0.3">
      <c r="A39" s="188"/>
      <c r="B39" s="267" t="s">
        <v>56</v>
      </c>
      <c r="C39" s="268"/>
      <c r="D39" s="213">
        <v>0</v>
      </c>
      <c r="E39" s="214">
        <f>IF(ISBLANK($B39), "", SUMIF('Trans Jan'!$E:$E,$B39,'Trans Jan'!$C:$C))</f>
        <v>0</v>
      </c>
      <c r="F39" s="214">
        <f t="shared" si="1"/>
        <v>0</v>
      </c>
      <c r="G39" s="216"/>
      <c r="H39" s="293"/>
      <c r="I39" s="268"/>
      <c r="J39" s="219"/>
      <c r="K39" s="211" t="str">
        <f>IF(ISBLANK($H39), "", SUMIF('Trans Jan'!$J:$J,$H39,'Trans Jan'!$H:$H))</f>
        <v/>
      </c>
      <c r="L39" s="214" t="str">
        <f t="shared" si="2"/>
        <v/>
      </c>
      <c r="M39" s="188"/>
    </row>
    <row r="40" spans="1:13" ht="18" customHeight="1" x14ac:dyDescent="0.3">
      <c r="A40" s="188"/>
      <c r="B40" s="267" t="s">
        <v>57</v>
      </c>
      <c r="C40" s="268"/>
      <c r="D40" s="213">
        <v>0</v>
      </c>
      <c r="E40" s="214">
        <f>IF(ISBLANK($B40), "", SUMIF('Trans Jan'!$E:$E,$B40,'Trans Jan'!$C:$C))</f>
        <v>0</v>
      </c>
      <c r="F40" s="214">
        <f t="shared" si="1"/>
        <v>0</v>
      </c>
      <c r="G40" s="217"/>
      <c r="H40" s="293"/>
      <c r="I40" s="268"/>
      <c r="J40" s="219"/>
      <c r="K40" s="211" t="str">
        <f>IF(ISBLANK($H40), "", SUMIF('Trans Jan'!$J:$J,$H40,'Trans Jan'!$H:$H))</f>
        <v/>
      </c>
      <c r="L40" s="214" t="str">
        <f t="shared" si="2"/>
        <v/>
      </c>
      <c r="M40" s="188"/>
    </row>
    <row r="41" spans="1:13" ht="18" customHeight="1" x14ac:dyDescent="0.3">
      <c r="A41" s="188"/>
      <c r="B41" s="267" t="s">
        <v>58</v>
      </c>
      <c r="C41" s="268"/>
      <c r="D41" s="220">
        <v>0</v>
      </c>
      <c r="E41" s="214">
        <f>IF(ISBLANK($B41), "", SUMIF('Trans Jan'!$E:$E,$B41,'Trans Jan'!$C:$C))</f>
        <v>0</v>
      </c>
      <c r="F41" s="214">
        <f t="shared" si="1"/>
        <v>0</v>
      </c>
      <c r="G41" s="216"/>
      <c r="H41" s="293"/>
      <c r="I41" s="268"/>
      <c r="J41" s="219"/>
      <c r="K41" s="211" t="str">
        <f>IF(ISBLANK($H41), "", SUMIF('Trans Jan'!$J:$J,$H41,'Trans Jan'!$H:$H))</f>
        <v/>
      </c>
      <c r="L41" s="214" t="str">
        <f t="shared" si="2"/>
        <v/>
      </c>
      <c r="M41" s="188"/>
    </row>
    <row r="42" spans="1:13" ht="19.5" customHeight="1" x14ac:dyDescent="0.3">
      <c r="A42" s="188"/>
      <c r="B42" s="267" t="s">
        <v>59</v>
      </c>
      <c r="C42" s="268"/>
      <c r="D42" s="213">
        <v>0</v>
      </c>
      <c r="E42" s="214">
        <f>IF(ISBLANK($B42), "", SUMIF('Trans Jan'!$E:$E,$B42,'Trans Jan'!$C:$C))</f>
        <v>0</v>
      </c>
      <c r="F42" s="214">
        <f t="shared" si="1"/>
        <v>0</v>
      </c>
      <c r="G42" s="216"/>
      <c r="H42" s="293"/>
      <c r="I42" s="268"/>
      <c r="J42" s="219"/>
      <c r="K42" s="211" t="str">
        <f>IF(ISBLANK($H42), "", SUMIF('Trans Jan'!$J:$J,$H42,'Trans Jan'!$H:$H))</f>
        <v/>
      </c>
      <c r="L42" s="214" t="str">
        <f t="shared" si="2"/>
        <v/>
      </c>
      <c r="M42" s="188"/>
    </row>
    <row r="43" spans="1:13" ht="18" customHeight="1" x14ac:dyDescent="0.3">
      <c r="A43" s="188"/>
      <c r="B43" s="267"/>
      <c r="C43" s="268"/>
      <c r="D43" s="220"/>
      <c r="E43" s="211"/>
      <c r="F43" s="214" t="str">
        <f t="shared" si="1"/>
        <v/>
      </c>
      <c r="G43" s="216"/>
      <c r="H43" s="267"/>
      <c r="I43" s="268"/>
      <c r="J43" s="218"/>
      <c r="K43" s="211" t="str">
        <f>IF(ISBLANK($H43), "", SUMIF('Trans Jan'!$J:$J,$H43,'Trans Jan'!$H:$H))</f>
        <v/>
      </c>
      <c r="L43" s="214" t="str">
        <f t="shared" si="2"/>
        <v/>
      </c>
      <c r="M43" s="188"/>
    </row>
    <row r="44" spans="1:13" ht="18" customHeight="1" x14ac:dyDescent="0.25">
      <c r="A44" s="188"/>
      <c r="B44" s="267"/>
      <c r="C44" s="268"/>
      <c r="D44" s="218"/>
      <c r="E44" s="211" t="str">
        <f>IF(ISBLANK($B44), "", SUMIF('Trans Jan'!$E:$E,$B44,'Trans Jan'!$C:$C))</f>
        <v/>
      </c>
      <c r="F44" s="214"/>
      <c r="G44" s="216"/>
      <c r="H44" s="267"/>
      <c r="I44" s="268"/>
      <c r="J44" s="218"/>
      <c r="K44" s="211" t="str">
        <f>IF(ISBLANK($H44), "", SUMIF('Trans Jan'!$J:$J,$H44,'Trans Jan'!$H:$H))</f>
        <v/>
      </c>
      <c r="L44" s="214" t="str">
        <f t="shared" si="2"/>
        <v/>
      </c>
      <c r="M44" s="188"/>
    </row>
    <row r="45" spans="1:13" ht="18" customHeight="1" x14ac:dyDescent="0.25">
      <c r="A45" s="188"/>
      <c r="B45" s="221"/>
      <c r="C45" s="221"/>
      <c r="D45" s="222"/>
      <c r="E45" s="211"/>
      <c r="F45" s="214"/>
      <c r="G45" s="216"/>
      <c r="H45" s="221"/>
      <c r="I45" s="221"/>
      <c r="J45" s="222"/>
      <c r="K45" s="211"/>
      <c r="L45" s="214"/>
      <c r="M45" s="188"/>
    </row>
    <row r="46" spans="1:13" ht="18" customHeight="1" x14ac:dyDescent="0.25">
      <c r="A46" s="188"/>
      <c r="B46" s="221"/>
      <c r="C46" s="221"/>
      <c r="D46" s="222"/>
      <c r="E46" s="211"/>
      <c r="F46" s="214"/>
      <c r="G46" s="216"/>
      <c r="H46" s="221"/>
      <c r="I46" s="221"/>
      <c r="J46" s="222"/>
      <c r="K46" s="211"/>
      <c r="L46" s="214"/>
      <c r="M46" s="188"/>
    </row>
    <row r="47" spans="1:13" ht="18" customHeight="1" x14ac:dyDescent="0.25">
      <c r="A47" s="188"/>
      <c r="B47" s="221"/>
      <c r="C47" s="221"/>
      <c r="D47" s="222"/>
      <c r="E47" s="211"/>
      <c r="F47" s="214"/>
      <c r="G47" s="216"/>
      <c r="H47" s="221"/>
      <c r="I47" s="221"/>
      <c r="J47" s="222"/>
      <c r="K47" s="211"/>
      <c r="L47" s="214"/>
      <c r="M47" s="188"/>
    </row>
    <row r="48" spans="1:13" ht="18" customHeight="1" x14ac:dyDescent="0.25">
      <c r="A48" s="188"/>
      <c r="B48" s="221"/>
      <c r="C48" s="221"/>
      <c r="D48" s="222"/>
      <c r="E48" s="211"/>
      <c r="F48" s="214"/>
      <c r="G48" s="216"/>
      <c r="H48" s="221"/>
      <c r="I48" s="221"/>
      <c r="J48" s="222"/>
      <c r="K48" s="211"/>
      <c r="L48" s="214"/>
      <c r="M48" s="188"/>
    </row>
    <row r="49" spans="1:13" ht="18" customHeight="1" x14ac:dyDescent="0.25">
      <c r="A49" s="188"/>
      <c r="B49" s="221"/>
      <c r="C49" s="221"/>
      <c r="D49" s="222"/>
      <c r="E49" s="211"/>
      <c r="F49" s="214"/>
      <c r="G49" s="216"/>
      <c r="H49" s="221"/>
      <c r="I49" s="221"/>
      <c r="J49" s="222"/>
      <c r="K49" s="211"/>
      <c r="L49" s="214"/>
      <c r="M49" s="188"/>
    </row>
    <row r="50" spans="1:13" ht="18" customHeight="1" x14ac:dyDescent="0.25">
      <c r="A50" s="188"/>
      <c r="B50" s="221"/>
      <c r="C50" s="221"/>
      <c r="D50" s="222"/>
      <c r="E50" s="211"/>
      <c r="F50" s="214"/>
      <c r="G50" s="216"/>
      <c r="H50" s="221"/>
      <c r="I50" s="221"/>
      <c r="J50" s="222"/>
      <c r="K50" s="211"/>
      <c r="L50" s="214"/>
      <c r="M50" s="188"/>
    </row>
    <row r="51" spans="1:13" ht="18" customHeight="1" x14ac:dyDescent="0.25">
      <c r="A51" s="188"/>
      <c r="B51" s="221"/>
      <c r="C51" s="221"/>
      <c r="D51" s="222"/>
      <c r="E51" s="211"/>
      <c r="F51" s="214"/>
      <c r="G51" s="216"/>
      <c r="H51" s="221"/>
      <c r="I51" s="221"/>
      <c r="J51" s="222"/>
      <c r="K51" s="211"/>
      <c r="L51" s="214"/>
      <c r="M51" s="188"/>
    </row>
    <row r="52" spans="1:13" ht="18" customHeight="1" x14ac:dyDescent="0.25">
      <c r="A52" s="188"/>
      <c r="B52" s="221"/>
      <c r="C52" s="221"/>
      <c r="D52" s="222"/>
      <c r="E52" s="211"/>
      <c r="F52" s="214"/>
      <c r="G52" s="216"/>
      <c r="H52" s="221"/>
      <c r="I52" s="221"/>
      <c r="J52" s="222"/>
      <c r="K52" s="211"/>
      <c r="L52" s="214"/>
      <c r="M52" s="188"/>
    </row>
    <row r="53" spans="1:13" ht="18" customHeight="1" x14ac:dyDescent="0.25">
      <c r="A53" s="188"/>
      <c r="B53" s="221"/>
      <c r="C53" s="221"/>
      <c r="D53" s="222"/>
      <c r="E53" s="211"/>
      <c r="F53" s="214"/>
      <c r="G53" s="216"/>
      <c r="H53" s="221"/>
      <c r="I53" s="221"/>
      <c r="J53" s="222"/>
      <c r="K53" s="211"/>
      <c r="L53" s="214"/>
      <c r="M53" s="188"/>
    </row>
    <row r="54" spans="1:13" ht="18" customHeight="1" x14ac:dyDescent="0.25">
      <c r="A54" s="188"/>
      <c r="B54" s="221"/>
      <c r="C54" s="221"/>
      <c r="D54" s="222"/>
      <c r="E54" s="211"/>
      <c r="F54" s="214"/>
      <c r="G54" s="216"/>
      <c r="H54" s="221"/>
      <c r="I54" s="221"/>
      <c r="J54" s="222"/>
      <c r="K54" s="211"/>
      <c r="L54" s="214"/>
      <c r="M54" s="188"/>
    </row>
    <row r="55" spans="1:13" ht="18" customHeight="1" x14ac:dyDescent="0.25">
      <c r="A55" s="188"/>
      <c r="B55" s="221"/>
      <c r="C55" s="221"/>
      <c r="D55" s="222"/>
      <c r="E55" s="211"/>
      <c r="F55" s="214"/>
      <c r="G55" s="216"/>
      <c r="H55" s="221"/>
      <c r="I55" s="221"/>
      <c r="J55" s="222"/>
      <c r="K55" s="211"/>
      <c r="L55" s="214"/>
      <c r="M55" s="188"/>
    </row>
    <row r="56" spans="1:13" ht="18" customHeight="1" x14ac:dyDescent="0.25">
      <c r="A56" s="188"/>
      <c r="B56" s="221"/>
      <c r="C56" s="221"/>
      <c r="D56" s="222"/>
      <c r="E56" s="211"/>
      <c r="F56" s="214"/>
      <c r="G56" s="216"/>
      <c r="H56" s="221"/>
      <c r="I56" s="221"/>
      <c r="J56" s="222"/>
      <c r="K56" s="211"/>
      <c r="L56" s="214"/>
      <c r="M56" s="188"/>
    </row>
    <row r="57" spans="1:13" ht="18" customHeight="1" x14ac:dyDescent="0.25">
      <c r="A57" s="188"/>
      <c r="B57" s="221"/>
      <c r="C57" s="221"/>
      <c r="D57" s="222"/>
      <c r="E57" s="211"/>
      <c r="F57" s="214"/>
      <c r="G57" s="216"/>
      <c r="H57" s="221"/>
      <c r="I57" s="221"/>
      <c r="J57" s="222"/>
      <c r="K57" s="211"/>
      <c r="L57" s="214"/>
      <c r="M57" s="188"/>
    </row>
    <row r="58" spans="1:13" ht="18" customHeight="1" x14ac:dyDescent="0.25">
      <c r="A58" s="188"/>
      <c r="B58" s="221"/>
      <c r="C58" s="221"/>
      <c r="D58" s="222"/>
      <c r="E58" s="211"/>
      <c r="F58" s="214"/>
      <c r="G58" s="216"/>
      <c r="H58" s="221"/>
      <c r="I58" s="221"/>
      <c r="J58" s="222"/>
      <c r="K58" s="211"/>
      <c r="L58" s="214"/>
      <c r="M58" s="188"/>
    </row>
    <row r="59" spans="1:13" ht="18" customHeight="1" x14ac:dyDescent="0.25">
      <c r="A59" s="188"/>
      <c r="B59" s="221"/>
      <c r="C59" s="221"/>
      <c r="D59" s="222"/>
      <c r="E59" s="211"/>
      <c r="F59" s="214"/>
      <c r="G59" s="216"/>
      <c r="H59" s="221"/>
      <c r="I59" s="221"/>
      <c r="J59" s="222"/>
      <c r="K59" s="211"/>
      <c r="L59" s="214"/>
      <c r="M59" s="188"/>
    </row>
    <row r="60" spans="1:13" ht="18" customHeight="1" x14ac:dyDescent="0.25">
      <c r="A60" s="188"/>
      <c r="B60" s="221"/>
      <c r="C60" s="221"/>
      <c r="D60" s="222"/>
      <c r="E60" s="211"/>
      <c r="F60" s="214"/>
      <c r="G60" s="216"/>
      <c r="H60" s="221"/>
      <c r="I60" s="221"/>
      <c r="J60" s="222"/>
      <c r="K60" s="211"/>
      <c r="L60" s="214"/>
      <c r="M60" s="188"/>
    </row>
    <row r="61" spans="1:13" ht="18" customHeight="1" x14ac:dyDescent="0.25">
      <c r="A61" s="188"/>
      <c r="B61" s="221"/>
      <c r="C61" s="221"/>
      <c r="D61" s="222"/>
      <c r="E61" s="211"/>
      <c r="F61" s="214"/>
      <c r="G61" s="216"/>
      <c r="H61" s="221"/>
      <c r="I61" s="221"/>
      <c r="J61" s="222"/>
      <c r="K61" s="211"/>
      <c r="L61" s="214"/>
      <c r="M61" s="188"/>
    </row>
    <row r="62" spans="1:13" ht="18" customHeight="1" x14ac:dyDescent="0.25">
      <c r="A62" s="188"/>
      <c r="B62" s="221"/>
      <c r="C62" s="221"/>
      <c r="D62" s="222"/>
      <c r="E62" s="211"/>
      <c r="F62" s="214"/>
      <c r="G62" s="216"/>
      <c r="H62" s="221"/>
      <c r="I62" s="221"/>
      <c r="J62" s="222"/>
      <c r="K62" s="211"/>
      <c r="L62" s="214"/>
      <c r="M62" s="188"/>
    </row>
    <row r="63" spans="1:13" ht="18" customHeight="1" x14ac:dyDescent="0.25">
      <c r="A63" s="188"/>
      <c r="B63" s="221"/>
      <c r="C63" s="221"/>
      <c r="D63" s="222"/>
      <c r="E63" s="211"/>
      <c r="F63" s="214"/>
      <c r="G63" s="216"/>
      <c r="H63" s="221"/>
      <c r="I63" s="221"/>
      <c r="J63" s="222"/>
      <c r="K63" s="211"/>
      <c r="L63" s="214"/>
      <c r="M63" s="188"/>
    </row>
    <row r="64" spans="1:13" ht="18" customHeight="1" x14ac:dyDescent="0.25">
      <c r="A64" s="188"/>
      <c r="B64" s="221"/>
      <c r="C64" s="221"/>
      <c r="D64" s="222"/>
      <c r="E64" s="211"/>
      <c r="F64" s="214"/>
      <c r="G64" s="216"/>
      <c r="H64" s="221"/>
      <c r="I64" s="221"/>
      <c r="J64" s="222"/>
      <c r="K64" s="211"/>
      <c r="L64" s="214"/>
      <c r="M64" s="188"/>
    </row>
    <row r="65" spans="1:13" ht="18" customHeight="1" x14ac:dyDescent="0.25">
      <c r="A65" s="188"/>
      <c r="B65" s="221"/>
      <c r="C65" s="221"/>
      <c r="D65" s="222"/>
      <c r="E65" s="211"/>
      <c r="F65" s="214"/>
      <c r="G65" s="216"/>
      <c r="H65" s="221"/>
      <c r="I65" s="221"/>
      <c r="J65" s="222"/>
      <c r="K65" s="211"/>
      <c r="L65" s="214"/>
      <c r="M65" s="188"/>
    </row>
    <row r="66" spans="1:13" ht="18" customHeight="1" x14ac:dyDescent="0.25">
      <c r="A66" s="188"/>
      <c r="B66" s="221"/>
      <c r="C66" s="221"/>
      <c r="D66" s="222"/>
      <c r="E66" s="211"/>
      <c r="F66" s="214"/>
      <c r="G66" s="216"/>
      <c r="H66" s="221"/>
      <c r="I66" s="221"/>
      <c r="J66" s="222"/>
      <c r="K66" s="211"/>
      <c r="L66" s="214"/>
      <c r="M66" s="188"/>
    </row>
    <row r="67" spans="1:13" ht="18" customHeight="1" x14ac:dyDescent="0.25">
      <c r="A67" s="188"/>
      <c r="B67" s="221"/>
      <c r="C67" s="221"/>
      <c r="D67" s="222"/>
      <c r="E67" s="211"/>
      <c r="F67" s="214"/>
      <c r="G67" s="216"/>
      <c r="H67" s="221"/>
      <c r="I67" s="221"/>
      <c r="J67" s="222"/>
      <c r="K67" s="211"/>
      <c r="L67" s="214"/>
      <c r="M67" s="188"/>
    </row>
    <row r="68" spans="1:13" ht="18" customHeight="1" x14ac:dyDescent="0.25">
      <c r="A68" s="188"/>
      <c r="B68" s="221"/>
      <c r="C68" s="221"/>
      <c r="D68" s="222"/>
      <c r="E68" s="211"/>
      <c r="F68" s="214"/>
      <c r="G68" s="216"/>
      <c r="H68" s="221"/>
      <c r="I68" s="221"/>
      <c r="J68" s="222"/>
      <c r="K68" s="211"/>
      <c r="L68" s="214"/>
      <c r="M68" s="188"/>
    </row>
    <row r="69" spans="1:13" ht="18" customHeight="1" x14ac:dyDescent="0.25">
      <c r="A69" s="188"/>
      <c r="B69" s="221"/>
      <c r="C69" s="221"/>
      <c r="D69" s="222"/>
      <c r="E69" s="211"/>
      <c r="F69" s="214"/>
      <c r="G69" s="216"/>
      <c r="H69" s="221"/>
      <c r="I69" s="221"/>
      <c r="J69" s="222"/>
      <c r="K69" s="211"/>
      <c r="L69" s="214"/>
      <c r="M69" s="188"/>
    </row>
    <row r="70" spans="1:13" ht="18" customHeight="1" x14ac:dyDescent="0.25">
      <c r="A70" s="188"/>
      <c r="B70" s="221"/>
      <c r="C70" s="221"/>
      <c r="D70" s="222"/>
      <c r="E70" s="211"/>
      <c r="F70" s="214"/>
      <c r="G70" s="216"/>
      <c r="H70" s="221"/>
      <c r="I70" s="221"/>
      <c r="J70" s="222"/>
      <c r="K70" s="211"/>
      <c r="L70" s="214"/>
      <c r="M70" s="188"/>
    </row>
    <row r="71" spans="1:13" ht="18" customHeight="1" x14ac:dyDescent="0.25">
      <c r="A71" s="188"/>
      <c r="B71" s="221"/>
      <c r="C71" s="221"/>
      <c r="D71" s="222"/>
      <c r="E71" s="211"/>
      <c r="F71" s="214"/>
      <c r="G71" s="216"/>
      <c r="H71" s="221"/>
      <c r="I71" s="221"/>
      <c r="J71" s="222"/>
      <c r="K71" s="211"/>
      <c r="L71" s="214"/>
      <c r="M71" s="188"/>
    </row>
    <row r="72" spans="1:13" ht="18" customHeight="1" x14ac:dyDescent="0.25">
      <c r="A72" s="188"/>
      <c r="B72" s="221"/>
      <c r="C72" s="221"/>
      <c r="D72" s="222"/>
      <c r="E72" s="211"/>
      <c r="F72" s="214"/>
      <c r="G72" s="216"/>
      <c r="H72" s="221"/>
      <c r="I72" s="221"/>
      <c r="J72" s="222"/>
      <c r="K72" s="211"/>
      <c r="L72" s="214"/>
      <c r="M72" s="188"/>
    </row>
    <row r="73" spans="1:13" ht="18" customHeight="1" x14ac:dyDescent="0.25">
      <c r="A73" s="188"/>
      <c r="B73" s="221"/>
      <c r="C73" s="221"/>
      <c r="D73" s="222"/>
      <c r="E73" s="211"/>
      <c r="F73" s="214"/>
      <c r="G73" s="216"/>
      <c r="H73" s="221"/>
      <c r="I73" s="221"/>
      <c r="J73" s="222"/>
      <c r="K73" s="211"/>
      <c r="L73" s="214"/>
      <c r="M73" s="188"/>
    </row>
    <row r="74" spans="1:13" ht="18" customHeight="1" x14ac:dyDescent="0.25">
      <c r="A74" s="188"/>
      <c r="B74" s="221"/>
      <c r="C74" s="221"/>
      <c r="D74" s="222"/>
      <c r="E74" s="211"/>
      <c r="F74" s="214"/>
      <c r="G74" s="216"/>
      <c r="H74" s="221"/>
      <c r="I74" s="221"/>
      <c r="J74" s="222"/>
      <c r="K74" s="211"/>
      <c r="L74" s="214"/>
      <c r="M74" s="188"/>
    </row>
    <row r="75" spans="1:13" ht="18" customHeight="1" x14ac:dyDescent="0.25">
      <c r="A75" s="188"/>
      <c r="B75" s="221"/>
      <c r="C75" s="221"/>
      <c r="D75" s="222"/>
      <c r="E75" s="211"/>
      <c r="F75" s="214"/>
      <c r="G75" s="216"/>
      <c r="H75" s="221"/>
      <c r="I75" s="221"/>
      <c r="J75" s="222"/>
      <c r="K75" s="211"/>
      <c r="L75" s="214"/>
      <c r="M75" s="188"/>
    </row>
    <row r="76" spans="1:13" ht="18" customHeight="1" x14ac:dyDescent="0.25">
      <c r="A76" s="188"/>
      <c r="B76" s="221"/>
      <c r="C76" s="221"/>
      <c r="D76" s="222"/>
      <c r="E76" s="211"/>
      <c r="F76" s="214"/>
      <c r="G76" s="216"/>
      <c r="H76" s="221"/>
      <c r="I76" s="221"/>
      <c r="J76" s="222"/>
      <c r="K76" s="211"/>
      <c r="L76" s="214"/>
      <c r="M76" s="188"/>
    </row>
    <row r="77" spans="1:13" ht="18" customHeight="1" x14ac:dyDescent="0.25">
      <c r="A77" s="188"/>
      <c r="B77" s="221"/>
      <c r="C77" s="221"/>
      <c r="D77" s="222"/>
      <c r="E77" s="211"/>
      <c r="F77" s="214"/>
      <c r="G77" s="216"/>
      <c r="H77" s="221"/>
      <c r="I77" s="221"/>
      <c r="J77" s="222"/>
      <c r="K77" s="211"/>
      <c r="L77" s="214"/>
      <c r="M77" s="188"/>
    </row>
    <row r="78" spans="1:13" ht="18" customHeight="1" x14ac:dyDescent="0.25">
      <c r="A78" s="188"/>
      <c r="B78" s="221"/>
      <c r="C78" s="221"/>
      <c r="D78" s="222"/>
      <c r="E78" s="211"/>
      <c r="F78" s="214"/>
      <c r="G78" s="216"/>
      <c r="H78" s="221"/>
      <c r="I78" s="221"/>
      <c r="J78" s="222"/>
      <c r="K78" s="211"/>
      <c r="L78" s="214"/>
      <c r="M78" s="188"/>
    </row>
    <row r="79" spans="1:13" ht="18" customHeight="1" x14ac:dyDescent="0.25">
      <c r="A79" s="188"/>
      <c r="B79" s="221"/>
      <c r="C79" s="221"/>
      <c r="D79" s="222"/>
      <c r="E79" s="211"/>
      <c r="F79" s="214"/>
      <c r="G79" s="216"/>
      <c r="H79" s="221"/>
      <c r="I79" s="221"/>
      <c r="J79" s="222"/>
      <c r="K79" s="211"/>
      <c r="L79" s="214"/>
      <c r="M79" s="188"/>
    </row>
    <row r="80" spans="1:13" ht="18" customHeight="1" x14ac:dyDescent="0.25">
      <c r="A80" s="188"/>
      <c r="B80" s="221"/>
      <c r="C80" s="221"/>
      <c r="D80" s="222"/>
      <c r="E80" s="211"/>
      <c r="F80" s="214"/>
      <c r="G80" s="216"/>
      <c r="H80" s="221"/>
      <c r="I80" s="221"/>
      <c r="J80" s="222"/>
      <c r="K80" s="211"/>
      <c r="L80" s="214"/>
      <c r="M80" s="188"/>
    </row>
    <row r="81" spans="1:13" ht="18" customHeight="1" x14ac:dyDescent="0.25">
      <c r="A81" s="188"/>
      <c r="B81" s="221"/>
      <c r="C81" s="221"/>
      <c r="D81" s="222"/>
      <c r="E81" s="211"/>
      <c r="F81" s="214"/>
      <c r="G81" s="216"/>
      <c r="H81" s="221"/>
      <c r="I81" s="221"/>
      <c r="J81" s="222"/>
      <c r="K81" s="211"/>
      <c r="L81" s="214"/>
      <c r="M81" s="188"/>
    </row>
    <row r="82" spans="1:13" ht="18" customHeight="1" x14ac:dyDescent="0.25">
      <c r="A82" s="188"/>
      <c r="B82" s="221"/>
      <c r="C82" s="221"/>
      <c r="D82" s="222"/>
      <c r="E82" s="211"/>
      <c r="F82" s="214"/>
      <c r="G82" s="216"/>
      <c r="H82" s="221"/>
      <c r="I82" s="221"/>
      <c r="J82" s="222"/>
      <c r="K82" s="211"/>
      <c r="L82" s="214"/>
      <c r="M82" s="188"/>
    </row>
    <row r="83" spans="1:13" ht="18" customHeight="1" x14ac:dyDescent="0.25">
      <c r="A83" s="188"/>
      <c r="B83" s="221"/>
      <c r="C83" s="221"/>
      <c r="D83" s="222"/>
      <c r="E83" s="211"/>
      <c r="F83" s="214"/>
      <c r="G83" s="216"/>
      <c r="H83" s="221"/>
      <c r="I83" s="221"/>
      <c r="J83" s="222"/>
      <c r="K83" s="211"/>
      <c r="L83" s="214"/>
      <c r="M83" s="188"/>
    </row>
    <row r="84" spans="1:13" ht="18" customHeight="1" x14ac:dyDescent="0.25">
      <c r="A84" s="188"/>
      <c r="B84" s="221"/>
      <c r="C84" s="221"/>
      <c r="D84" s="222"/>
      <c r="E84" s="211"/>
      <c r="F84" s="214"/>
      <c r="G84" s="216"/>
      <c r="H84" s="221"/>
      <c r="I84" s="221"/>
      <c r="J84" s="222"/>
      <c r="K84" s="211"/>
      <c r="L84" s="214"/>
      <c r="M84" s="188"/>
    </row>
    <row r="85" spans="1:13" ht="18" customHeight="1" x14ac:dyDescent="0.25">
      <c r="A85" s="188"/>
      <c r="B85" s="221"/>
      <c r="C85" s="221"/>
      <c r="D85" s="222"/>
      <c r="E85" s="211"/>
      <c r="F85" s="214"/>
      <c r="G85" s="216"/>
      <c r="H85" s="221"/>
      <c r="I85" s="221"/>
      <c r="J85" s="222"/>
      <c r="K85" s="211"/>
      <c r="L85" s="214"/>
      <c r="M85" s="188"/>
    </row>
    <row r="86" spans="1:13" ht="18" customHeight="1" x14ac:dyDescent="0.25">
      <c r="A86" s="188"/>
      <c r="B86" s="221"/>
      <c r="C86" s="221"/>
      <c r="D86" s="222"/>
      <c r="E86" s="211"/>
      <c r="F86" s="214"/>
      <c r="G86" s="216"/>
      <c r="H86" s="221"/>
      <c r="I86" s="221"/>
      <c r="J86" s="222"/>
      <c r="K86" s="211"/>
      <c r="L86" s="214"/>
      <c r="M86" s="188"/>
    </row>
    <row r="87" spans="1:13" ht="18" customHeight="1" x14ac:dyDescent="0.25">
      <c r="A87" s="188"/>
      <c r="B87" s="221"/>
      <c r="C87" s="221"/>
      <c r="D87" s="222"/>
      <c r="E87" s="211"/>
      <c r="F87" s="214"/>
      <c r="G87" s="216"/>
      <c r="H87" s="221"/>
      <c r="I87" s="221"/>
      <c r="J87" s="222"/>
      <c r="K87" s="211"/>
      <c r="L87" s="214"/>
      <c r="M87" s="188"/>
    </row>
    <row r="88" spans="1:13" ht="18" customHeight="1" x14ac:dyDescent="0.25">
      <c r="A88" s="188"/>
      <c r="B88" s="221"/>
      <c r="C88" s="221"/>
      <c r="D88" s="222"/>
      <c r="E88" s="211"/>
      <c r="F88" s="214"/>
      <c r="G88" s="216"/>
      <c r="H88" s="221"/>
      <c r="I88" s="221"/>
      <c r="J88" s="222"/>
      <c r="K88" s="211"/>
      <c r="L88" s="214"/>
      <c r="M88" s="188"/>
    </row>
    <row r="89" spans="1:13" ht="18" customHeight="1" x14ac:dyDescent="0.25">
      <c r="A89" s="188"/>
      <c r="B89" s="221"/>
      <c r="C89" s="221"/>
      <c r="D89" s="222"/>
      <c r="E89" s="211"/>
      <c r="F89" s="214"/>
      <c r="G89" s="216"/>
      <c r="H89" s="221"/>
      <c r="I89" s="221"/>
      <c r="J89" s="222"/>
      <c r="K89" s="211"/>
      <c r="L89" s="214"/>
      <c r="M89" s="188"/>
    </row>
    <row r="90" spans="1:13" ht="18" customHeight="1" x14ac:dyDescent="0.25">
      <c r="A90" s="188"/>
      <c r="B90" s="221"/>
      <c r="C90" s="221"/>
      <c r="D90" s="222"/>
      <c r="E90" s="211"/>
      <c r="F90" s="214"/>
      <c r="G90" s="216"/>
      <c r="H90" s="221"/>
      <c r="I90" s="221"/>
      <c r="J90" s="222"/>
      <c r="K90" s="211"/>
      <c r="L90" s="214"/>
      <c r="M90" s="188"/>
    </row>
    <row r="91" spans="1:13" ht="18" customHeight="1" x14ac:dyDescent="0.25">
      <c r="A91" s="188"/>
      <c r="B91" s="221"/>
      <c r="C91" s="221"/>
      <c r="D91" s="222"/>
      <c r="E91" s="211"/>
      <c r="F91" s="214"/>
      <c r="G91" s="216"/>
      <c r="H91" s="221"/>
      <c r="I91" s="221"/>
      <c r="J91" s="222"/>
      <c r="K91" s="211"/>
      <c r="L91" s="214"/>
      <c r="M91" s="188"/>
    </row>
    <row r="92" spans="1:13" ht="18" customHeight="1" x14ac:dyDescent="0.25">
      <c r="A92" s="188"/>
      <c r="B92" s="221"/>
      <c r="C92" s="221"/>
      <c r="D92" s="222"/>
      <c r="E92" s="211"/>
      <c r="F92" s="214"/>
      <c r="G92" s="216"/>
      <c r="H92" s="221"/>
      <c r="I92" s="221"/>
      <c r="J92" s="222"/>
      <c r="K92" s="211"/>
      <c r="L92" s="214"/>
      <c r="M92" s="188"/>
    </row>
    <row r="93" spans="1:13" ht="18" customHeight="1" x14ac:dyDescent="0.25">
      <c r="A93" s="188"/>
      <c r="B93" s="221"/>
      <c r="C93" s="221"/>
      <c r="D93" s="222"/>
      <c r="E93" s="211"/>
      <c r="F93" s="214"/>
      <c r="G93" s="216"/>
      <c r="H93" s="221"/>
      <c r="I93" s="221"/>
      <c r="J93" s="222"/>
      <c r="K93" s="211"/>
      <c r="L93" s="214"/>
      <c r="M93" s="188"/>
    </row>
    <row r="94" spans="1:13" ht="18" customHeight="1" x14ac:dyDescent="0.25">
      <c r="A94" s="188"/>
      <c r="B94" s="221"/>
      <c r="C94" s="221"/>
      <c r="D94" s="222"/>
      <c r="E94" s="211"/>
      <c r="F94" s="214"/>
      <c r="G94" s="216"/>
      <c r="H94" s="221"/>
      <c r="I94" s="221"/>
      <c r="J94" s="222"/>
      <c r="K94" s="211"/>
      <c r="L94" s="214"/>
      <c r="M94" s="188"/>
    </row>
    <row r="95" spans="1:13" ht="18" customHeight="1" x14ac:dyDescent="0.25">
      <c r="A95" s="188"/>
      <c r="B95" s="221"/>
      <c r="C95" s="221"/>
      <c r="D95" s="222"/>
      <c r="E95" s="211"/>
      <c r="F95" s="214"/>
      <c r="G95" s="216"/>
      <c r="H95" s="221"/>
      <c r="I95" s="221"/>
      <c r="J95" s="222"/>
      <c r="K95" s="211"/>
      <c r="L95" s="214"/>
      <c r="M95" s="188"/>
    </row>
    <row r="96" spans="1:13" ht="18" customHeight="1" x14ac:dyDescent="0.25">
      <c r="A96" s="188"/>
      <c r="B96" s="221"/>
      <c r="C96" s="221"/>
      <c r="D96" s="222"/>
      <c r="E96" s="211"/>
      <c r="F96" s="214"/>
      <c r="G96" s="216"/>
      <c r="H96" s="221"/>
      <c r="I96" s="221"/>
      <c r="J96" s="222"/>
      <c r="K96" s="211"/>
      <c r="L96" s="214"/>
      <c r="M96" s="188"/>
    </row>
    <row r="97" spans="1:13" ht="18" customHeight="1" x14ac:dyDescent="0.25">
      <c r="A97" s="188"/>
      <c r="B97" s="221"/>
      <c r="C97" s="221"/>
      <c r="D97" s="222"/>
      <c r="E97" s="211"/>
      <c r="F97" s="214"/>
      <c r="G97" s="216"/>
      <c r="H97" s="221"/>
      <c r="I97" s="221"/>
      <c r="J97" s="222"/>
      <c r="K97" s="211"/>
      <c r="L97" s="214"/>
      <c r="M97" s="188"/>
    </row>
    <row r="98" spans="1:13" ht="18" customHeight="1" x14ac:dyDescent="0.25">
      <c r="A98" s="188"/>
      <c r="B98" s="221"/>
      <c r="C98" s="221"/>
      <c r="D98" s="222"/>
      <c r="E98" s="211"/>
      <c r="F98" s="214"/>
      <c r="G98" s="216"/>
      <c r="H98" s="221"/>
      <c r="I98" s="221"/>
      <c r="J98" s="222"/>
      <c r="K98" s="211"/>
      <c r="L98" s="214"/>
      <c r="M98" s="188"/>
    </row>
    <row r="99" spans="1:13" ht="18" customHeight="1" x14ac:dyDescent="0.25">
      <c r="A99" s="188"/>
      <c r="B99" s="221"/>
      <c r="C99" s="221"/>
      <c r="D99" s="222"/>
      <c r="E99" s="211"/>
      <c r="F99" s="214"/>
      <c r="G99" s="216"/>
      <c r="H99" s="221"/>
      <c r="I99" s="221"/>
      <c r="J99" s="222"/>
      <c r="K99" s="211"/>
      <c r="L99" s="214"/>
      <c r="M99" s="188"/>
    </row>
    <row r="100" spans="1:13" ht="18" customHeight="1" x14ac:dyDescent="0.25">
      <c r="A100" s="188"/>
      <c r="B100" s="221"/>
      <c r="C100" s="221"/>
      <c r="D100" s="222"/>
      <c r="E100" s="211"/>
      <c r="F100" s="214"/>
      <c r="G100" s="216"/>
      <c r="H100" s="221"/>
      <c r="I100" s="221"/>
      <c r="J100" s="222"/>
      <c r="K100" s="211"/>
      <c r="L100" s="214"/>
      <c r="M100" s="188"/>
    </row>
    <row r="101" spans="1:13" ht="18" customHeight="1" x14ac:dyDescent="0.25">
      <c r="A101" s="188"/>
      <c r="B101" s="221"/>
      <c r="C101" s="221"/>
      <c r="D101" s="222"/>
      <c r="E101" s="211"/>
      <c r="F101" s="214"/>
      <c r="G101" s="216"/>
      <c r="H101" s="221"/>
      <c r="I101" s="221"/>
      <c r="J101" s="222"/>
      <c r="K101" s="211"/>
      <c r="L101" s="214"/>
      <c r="M101" s="188"/>
    </row>
    <row r="102" spans="1:13" ht="18" customHeight="1" x14ac:dyDescent="0.25">
      <c r="A102" s="188"/>
      <c r="B102" s="221"/>
      <c r="C102" s="221"/>
      <c r="D102" s="222"/>
      <c r="E102" s="211"/>
      <c r="F102" s="214"/>
      <c r="G102" s="216"/>
      <c r="H102" s="221"/>
      <c r="I102" s="221"/>
      <c r="J102" s="222"/>
      <c r="K102" s="211"/>
      <c r="L102" s="214"/>
      <c r="M102" s="188"/>
    </row>
    <row r="103" spans="1:13" ht="18" customHeight="1" x14ac:dyDescent="0.25">
      <c r="A103" s="188"/>
      <c r="B103" s="221"/>
      <c r="C103" s="221"/>
      <c r="D103" s="222"/>
      <c r="E103" s="211"/>
      <c r="F103" s="214"/>
      <c r="G103" s="216"/>
      <c r="H103" s="221"/>
      <c r="I103" s="221"/>
      <c r="J103" s="222"/>
      <c r="K103" s="211"/>
      <c r="L103" s="214"/>
      <c r="M103" s="188"/>
    </row>
    <row r="104" spans="1:13" ht="18" customHeight="1" x14ac:dyDescent="0.25">
      <c r="A104" s="188"/>
      <c r="B104" s="221"/>
      <c r="C104" s="221"/>
      <c r="D104" s="222"/>
      <c r="E104" s="211"/>
      <c r="F104" s="214"/>
      <c r="G104" s="216"/>
      <c r="H104" s="221"/>
      <c r="I104" s="221"/>
      <c r="J104" s="222"/>
      <c r="K104" s="211"/>
      <c r="L104" s="214"/>
      <c r="M104" s="188"/>
    </row>
    <row r="105" spans="1:13" ht="18" customHeight="1" x14ac:dyDescent="0.25">
      <c r="A105" s="188"/>
      <c r="B105" s="221"/>
      <c r="C105" s="221"/>
      <c r="D105" s="222"/>
      <c r="E105" s="211"/>
      <c r="F105" s="214"/>
      <c r="G105" s="216"/>
      <c r="H105" s="221"/>
      <c r="I105" s="221"/>
      <c r="J105" s="222"/>
      <c r="K105" s="211"/>
      <c r="L105" s="214"/>
      <c r="M105" s="188"/>
    </row>
    <row r="106" spans="1:13" ht="18" customHeight="1" x14ac:dyDescent="0.25">
      <c r="A106" s="188"/>
      <c r="B106" s="221"/>
      <c r="C106" s="221"/>
      <c r="D106" s="222"/>
      <c r="E106" s="211"/>
      <c r="F106" s="214"/>
      <c r="G106" s="216"/>
      <c r="H106" s="221"/>
      <c r="I106" s="221"/>
      <c r="J106" s="222"/>
      <c r="K106" s="211"/>
      <c r="L106" s="214"/>
      <c r="M106" s="188"/>
    </row>
    <row r="107" spans="1:13" ht="18" customHeight="1" x14ac:dyDescent="0.25">
      <c r="A107" s="188"/>
      <c r="B107" s="221"/>
      <c r="C107" s="221"/>
      <c r="D107" s="222"/>
      <c r="E107" s="211"/>
      <c r="F107" s="214"/>
      <c r="G107" s="216"/>
      <c r="H107" s="221"/>
      <c r="I107" s="221"/>
      <c r="J107" s="222"/>
      <c r="K107" s="211"/>
      <c r="L107" s="214"/>
      <c r="M107" s="188"/>
    </row>
    <row r="108" spans="1:13" ht="18" customHeight="1" x14ac:dyDescent="0.25">
      <c r="A108" s="188"/>
      <c r="B108" s="221"/>
      <c r="C108" s="221"/>
      <c r="D108" s="222"/>
      <c r="E108" s="211"/>
      <c r="F108" s="214"/>
      <c r="G108" s="216"/>
      <c r="H108" s="221"/>
      <c r="I108" s="221"/>
      <c r="J108" s="222"/>
      <c r="K108" s="211"/>
      <c r="L108" s="214"/>
      <c r="M108" s="188"/>
    </row>
    <row r="109" spans="1:13" ht="18" customHeight="1" x14ac:dyDescent="0.25">
      <c r="A109" s="188"/>
      <c r="B109" s="221"/>
      <c r="C109" s="221"/>
      <c r="D109" s="222"/>
      <c r="E109" s="211"/>
      <c r="F109" s="214"/>
      <c r="G109" s="216"/>
      <c r="H109" s="221"/>
      <c r="I109" s="221"/>
      <c r="J109" s="222"/>
      <c r="K109" s="211"/>
      <c r="L109" s="214"/>
      <c r="M109" s="188"/>
    </row>
    <row r="110" spans="1:13" ht="18" customHeight="1" x14ac:dyDescent="0.25">
      <c r="A110" s="188"/>
      <c r="B110" s="221"/>
      <c r="C110" s="221"/>
      <c r="D110" s="222"/>
      <c r="E110" s="211"/>
      <c r="F110" s="214"/>
      <c r="G110" s="216"/>
      <c r="H110" s="221"/>
      <c r="I110" s="221"/>
      <c r="J110" s="222"/>
      <c r="K110" s="211"/>
      <c r="L110" s="214"/>
      <c r="M110" s="188"/>
    </row>
    <row r="111" spans="1:13" ht="18" customHeight="1" x14ac:dyDescent="0.25">
      <c r="A111" s="188"/>
      <c r="B111" s="221"/>
      <c r="C111" s="221"/>
      <c r="D111" s="222"/>
      <c r="E111" s="211"/>
      <c r="F111" s="214"/>
      <c r="G111" s="216"/>
      <c r="H111" s="221"/>
      <c r="I111" s="221"/>
      <c r="J111" s="222"/>
      <c r="K111" s="211"/>
      <c r="L111" s="214"/>
      <c r="M111" s="188"/>
    </row>
    <row r="112" spans="1:13" ht="18" customHeight="1" x14ac:dyDescent="0.25">
      <c r="A112" s="188"/>
      <c r="B112" s="221"/>
      <c r="C112" s="221"/>
      <c r="D112" s="222"/>
      <c r="E112" s="211"/>
      <c r="F112" s="214"/>
      <c r="G112" s="216"/>
      <c r="H112" s="221"/>
      <c r="I112" s="221"/>
      <c r="J112" s="222"/>
      <c r="K112" s="211"/>
      <c r="L112" s="214"/>
      <c r="M112" s="188"/>
    </row>
    <row r="113" spans="1:13" ht="18" customHeight="1" x14ac:dyDescent="0.25">
      <c r="A113" s="188"/>
      <c r="B113" s="221"/>
      <c r="C113" s="221"/>
      <c r="D113" s="222"/>
      <c r="E113" s="211"/>
      <c r="F113" s="214"/>
      <c r="G113" s="216"/>
      <c r="H113" s="221"/>
      <c r="I113" s="221"/>
      <c r="J113" s="222"/>
      <c r="K113" s="211"/>
      <c r="L113" s="214"/>
      <c r="M113" s="188"/>
    </row>
    <row r="114" spans="1:13" ht="18" customHeight="1" x14ac:dyDescent="0.25">
      <c r="A114" s="188"/>
      <c r="B114" s="221"/>
      <c r="C114" s="221"/>
      <c r="D114" s="222"/>
      <c r="E114" s="211"/>
      <c r="F114" s="214"/>
      <c r="G114" s="216"/>
      <c r="H114" s="221"/>
      <c r="I114" s="221"/>
      <c r="J114" s="222"/>
      <c r="K114" s="211"/>
      <c r="L114" s="214"/>
      <c r="M114" s="188"/>
    </row>
    <row r="115" spans="1:13" ht="18" customHeight="1" x14ac:dyDescent="0.25">
      <c r="A115" s="188"/>
      <c r="B115" s="221"/>
      <c r="C115" s="221"/>
      <c r="D115" s="222"/>
      <c r="E115" s="211"/>
      <c r="F115" s="214"/>
      <c r="G115" s="216"/>
      <c r="H115" s="221"/>
      <c r="I115" s="221"/>
      <c r="J115" s="222"/>
      <c r="K115" s="211"/>
      <c r="L115" s="214"/>
      <c r="M115" s="188"/>
    </row>
    <row r="116" spans="1:13" ht="18" customHeight="1" x14ac:dyDescent="0.25">
      <c r="A116" s="188"/>
      <c r="B116" s="221"/>
      <c r="C116" s="221"/>
      <c r="D116" s="222"/>
      <c r="E116" s="211"/>
      <c r="F116" s="214"/>
      <c r="G116" s="216"/>
      <c r="H116" s="221"/>
      <c r="I116" s="221"/>
      <c r="J116" s="222"/>
      <c r="K116" s="211"/>
      <c r="L116" s="214"/>
      <c r="M116" s="188"/>
    </row>
    <row r="117" spans="1:13" ht="18" customHeight="1" x14ac:dyDescent="0.25">
      <c r="A117" s="188"/>
      <c r="B117" s="221"/>
      <c r="C117" s="221"/>
      <c r="D117" s="222"/>
      <c r="E117" s="211"/>
      <c r="F117" s="214"/>
      <c r="G117" s="216"/>
      <c r="H117" s="221"/>
      <c r="I117" s="221"/>
      <c r="J117" s="222"/>
      <c r="K117" s="211"/>
      <c r="L117" s="214"/>
      <c r="M117" s="188"/>
    </row>
    <row r="118" spans="1:13" ht="18" customHeight="1" x14ac:dyDescent="0.25">
      <c r="A118" s="188"/>
      <c r="B118" s="221"/>
      <c r="C118" s="221"/>
      <c r="D118" s="222"/>
      <c r="E118" s="211"/>
      <c r="F118" s="214"/>
      <c r="G118" s="216"/>
      <c r="H118" s="221"/>
      <c r="I118" s="221"/>
      <c r="J118" s="222"/>
      <c r="K118" s="211"/>
      <c r="L118" s="214"/>
      <c r="M118" s="188"/>
    </row>
    <row r="119" spans="1:13" ht="18" customHeight="1" x14ac:dyDescent="0.25">
      <c r="A119" s="188"/>
      <c r="B119" s="221"/>
      <c r="C119" s="221"/>
      <c r="D119" s="222"/>
      <c r="E119" s="211"/>
      <c r="F119" s="214"/>
      <c r="G119" s="216"/>
      <c r="H119" s="221"/>
      <c r="I119" s="221"/>
      <c r="J119" s="222"/>
      <c r="K119" s="211"/>
      <c r="L119" s="214"/>
      <c r="M119" s="188"/>
    </row>
    <row r="120" spans="1:13" ht="18" customHeight="1" x14ac:dyDescent="0.25">
      <c r="A120" s="188"/>
      <c r="B120" s="221"/>
      <c r="C120" s="221"/>
      <c r="D120" s="222"/>
      <c r="E120" s="211"/>
      <c r="F120" s="214"/>
      <c r="G120" s="216"/>
      <c r="H120" s="221"/>
      <c r="I120" s="221"/>
      <c r="J120" s="222"/>
      <c r="K120" s="211"/>
      <c r="L120" s="214"/>
      <c r="M120" s="188"/>
    </row>
    <row r="121" spans="1:13" ht="18" customHeight="1" x14ac:dyDescent="0.25">
      <c r="A121" s="188"/>
      <c r="B121" s="221"/>
      <c r="C121" s="221"/>
      <c r="D121" s="222"/>
      <c r="E121" s="211"/>
      <c r="F121" s="214"/>
      <c r="G121" s="216"/>
      <c r="H121" s="221"/>
      <c r="I121" s="221"/>
      <c r="J121" s="222"/>
      <c r="K121" s="211"/>
      <c r="L121" s="214"/>
      <c r="M121" s="188"/>
    </row>
    <row r="122" spans="1:13" ht="18" customHeight="1" x14ac:dyDescent="0.25">
      <c r="A122" s="188"/>
      <c r="B122" s="221"/>
      <c r="C122" s="221"/>
      <c r="D122" s="222"/>
      <c r="E122" s="211"/>
      <c r="F122" s="214"/>
      <c r="G122" s="216"/>
      <c r="H122" s="221"/>
      <c r="I122" s="221"/>
      <c r="J122" s="222"/>
      <c r="K122" s="211"/>
      <c r="L122" s="214"/>
      <c r="M122" s="188"/>
    </row>
    <row r="123" spans="1:13" ht="18" customHeight="1" x14ac:dyDescent="0.25">
      <c r="A123" s="188"/>
      <c r="B123" s="221"/>
      <c r="C123" s="221"/>
      <c r="D123" s="222"/>
      <c r="E123" s="211"/>
      <c r="F123" s="214"/>
      <c r="G123" s="216"/>
      <c r="H123" s="221"/>
      <c r="I123" s="221"/>
      <c r="J123" s="222"/>
      <c r="K123" s="211"/>
      <c r="L123" s="214"/>
      <c r="M123" s="188"/>
    </row>
    <row r="124" spans="1:13" ht="18" customHeight="1" x14ac:dyDescent="0.25">
      <c r="A124" s="188"/>
      <c r="B124" s="221"/>
      <c r="C124" s="221"/>
      <c r="D124" s="222"/>
      <c r="E124" s="211"/>
      <c r="F124" s="214"/>
      <c r="G124" s="216"/>
      <c r="H124" s="221"/>
      <c r="I124" s="221"/>
      <c r="J124" s="222"/>
      <c r="K124" s="211"/>
      <c r="L124" s="214"/>
      <c r="M124" s="188"/>
    </row>
    <row r="125" spans="1:13" ht="18" customHeight="1" x14ac:dyDescent="0.25">
      <c r="A125" s="188"/>
      <c r="B125" s="221"/>
      <c r="C125" s="221"/>
      <c r="D125" s="222"/>
      <c r="E125" s="211"/>
      <c r="F125" s="214"/>
      <c r="G125" s="216"/>
      <c r="H125" s="221"/>
      <c r="I125" s="221"/>
      <c r="J125" s="222"/>
      <c r="K125" s="211"/>
      <c r="L125" s="214"/>
      <c r="M125" s="188"/>
    </row>
    <row r="126" spans="1:13" ht="18" customHeight="1" x14ac:dyDescent="0.25">
      <c r="A126" s="188"/>
      <c r="B126" s="221"/>
      <c r="C126" s="221"/>
      <c r="D126" s="222"/>
      <c r="E126" s="211"/>
      <c r="F126" s="214"/>
      <c r="G126" s="216"/>
      <c r="H126" s="221"/>
      <c r="I126" s="221"/>
      <c r="J126" s="222"/>
      <c r="K126" s="211"/>
      <c r="L126" s="214"/>
      <c r="M126" s="188"/>
    </row>
    <row r="127" spans="1:13" ht="18" customHeight="1" x14ac:dyDescent="0.25">
      <c r="A127" s="188"/>
      <c r="B127" s="221"/>
      <c r="C127" s="221"/>
      <c r="D127" s="222"/>
      <c r="E127" s="211"/>
      <c r="F127" s="214"/>
      <c r="G127" s="216"/>
      <c r="H127" s="221"/>
      <c r="I127" s="221"/>
      <c r="J127" s="222"/>
      <c r="K127" s="211"/>
      <c r="L127" s="214"/>
      <c r="M127" s="188"/>
    </row>
    <row r="128" spans="1:13" ht="18" customHeight="1" x14ac:dyDescent="0.25">
      <c r="A128" s="188"/>
      <c r="B128" s="221"/>
      <c r="C128" s="221"/>
      <c r="D128" s="222"/>
      <c r="E128" s="211"/>
      <c r="F128" s="214"/>
      <c r="G128" s="216"/>
      <c r="H128" s="221"/>
      <c r="I128" s="221"/>
      <c r="J128" s="222"/>
      <c r="K128" s="211"/>
      <c r="L128" s="214"/>
      <c r="M128" s="188"/>
    </row>
    <row r="129" spans="1:13" ht="18" customHeight="1" x14ac:dyDescent="0.25">
      <c r="A129" s="188"/>
      <c r="B129" s="221"/>
      <c r="C129" s="221"/>
      <c r="D129" s="222"/>
      <c r="E129" s="211"/>
      <c r="F129" s="214"/>
      <c r="G129" s="216"/>
      <c r="H129" s="221"/>
      <c r="I129" s="221"/>
      <c r="J129" s="222"/>
      <c r="K129" s="211"/>
      <c r="L129" s="214"/>
      <c r="M129" s="188"/>
    </row>
    <row r="130" spans="1:13" ht="18" customHeight="1" x14ac:dyDescent="0.25">
      <c r="A130" s="188"/>
      <c r="B130" s="221"/>
      <c r="C130" s="221"/>
      <c r="D130" s="222"/>
      <c r="E130" s="211"/>
      <c r="F130" s="214"/>
      <c r="G130" s="216"/>
      <c r="H130" s="221"/>
      <c r="I130" s="221"/>
      <c r="J130" s="222"/>
      <c r="K130" s="211"/>
      <c r="L130" s="214"/>
      <c r="M130" s="188"/>
    </row>
    <row r="131" spans="1:13" ht="18" customHeight="1" x14ac:dyDescent="0.25">
      <c r="A131" s="188"/>
      <c r="B131" s="221"/>
      <c r="C131" s="221"/>
      <c r="D131" s="222"/>
      <c r="E131" s="211"/>
      <c r="F131" s="214"/>
      <c r="G131" s="216"/>
      <c r="H131" s="221"/>
      <c r="I131" s="221"/>
      <c r="J131" s="222"/>
      <c r="K131" s="211"/>
      <c r="L131" s="214"/>
      <c r="M131" s="188"/>
    </row>
    <row r="132" spans="1:13" ht="18" customHeight="1" x14ac:dyDescent="0.25">
      <c r="A132" s="188"/>
      <c r="B132" s="221"/>
      <c r="C132" s="221"/>
      <c r="D132" s="222"/>
      <c r="E132" s="211"/>
      <c r="F132" s="214"/>
      <c r="G132" s="216"/>
      <c r="H132" s="221"/>
      <c r="I132" s="221"/>
      <c r="J132" s="222"/>
      <c r="K132" s="211"/>
      <c r="L132" s="214"/>
      <c r="M132" s="188"/>
    </row>
    <row r="133" spans="1:13" ht="18" customHeight="1" x14ac:dyDescent="0.25">
      <c r="A133" s="188"/>
      <c r="B133" s="221"/>
      <c r="C133" s="221"/>
      <c r="D133" s="222"/>
      <c r="E133" s="211"/>
      <c r="F133" s="214"/>
      <c r="G133" s="216"/>
      <c r="H133" s="221"/>
      <c r="I133" s="221"/>
      <c r="J133" s="222"/>
      <c r="K133" s="211"/>
      <c r="L133" s="214"/>
      <c r="M133" s="188"/>
    </row>
    <row r="134" spans="1:13" ht="18" customHeight="1" x14ac:dyDescent="0.25">
      <c r="A134" s="188"/>
      <c r="B134" s="221"/>
      <c r="C134" s="221"/>
      <c r="D134" s="222"/>
      <c r="E134" s="211"/>
      <c r="F134" s="214"/>
      <c r="G134" s="216"/>
      <c r="H134" s="221"/>
      <c r="I134" s="221"/>
      <c r="J134" s="222"/>
      <c r="K134" s="211"/>
      <c r="L134" s="214"/>
      <c r="M134" s="188"/>
    </row>
    <row r="135" spans="1:13" ht="18" customHeight="1" x14ac:dyDescent="0.25">
      <c r="A135" s="188"/>
      <c r="B135" s="221"/>
      <c r="C135" s="221"/>
      <c r="D135" s="222"/>
      <c r="E135" s="211"/>
      <c r="F135" s="214"/>
      <c r="G135" s="216"/>
      <c r="H135" s="221"/>
      <c r="I135" s="221"/>
      <c r="J135" s="222"/>
      <c r="K135" s="211"/>
      <c r="L135" s="214"/>
      <c r="M135" s="188"/>
    </row>
    <row r="136" spans="1:13" ht="18" customHeight="1" x14ac:dyDescent="0.25">
      <c r="A136" s="188"/>
      <c r="B136" s="221"/>
      <c r="C136" s="221"/>
      <c r="D136" s="222"/>
      <c r="E136" s="211"/>
      <c r="F136" s="214"/>
      <c r="G136" s="216"/>
      <c r="H136" s="221"/>
      <c r="I136" s="221"/>
      <c r="J136" s="222"/>
      <c r="K136" s="211"/>
      <c r="L136" s="214"/>
      <c r="M136" s="188"/>
    </row>
    <row r="137" spans="1:13" ht="18" customHeight="1" x14ac:dyDescent="0.25">
      <c r="A137" s="188"/>
      <c r="B137" s="221"/>
      <c r="C137" s="221"/>
      <c r="D137" s="222"/>
      <c r="E137" s="211"/>
      <c r="F137" s="214"/>
      <c r="G137" s="216"/>
      <c r="H137" s="221"/>
      <c r="I137" s="221"/>
      <c r="J137" s="222"/>
      <c r="K137" s="211"/>
      <c r="L137" s="214"/>
      <c r="M137" s="188"/>
    </row>
    <row r="138" spans="1:13" ht="18" customHeight="1" x14ac:dyDescent="0.25">
      <c r="A138" s="188"/>
      <c r="B138" s="221"/>
      <c r="C138" s="221"/>
      <c r="D138" s="222"/>
      <c r="E138" s="211"/>
      <c r="F138" s="214"/>
      <c r="G138" s="216"/>
      <c r="H138" s="221"/>
      <c r="I138" s="221"/>
      <c r="J138" s="222"/>
      <c r="K138" s="211"/>
      <c r="L138" s="214"/>
      <c r="M138" s="188"/>
    </row>
    <row r="139" spans="1:13" ht="18" customHeight="1" x14ac:dyDescent="0.25">
      <c r="A139" s="188"/>
      <c r="B139" s="221"/>
      <c r="C139" s="221"/>
      <c r="D139" s="222"/>
      <c r="E139" s="211"/>
      <c r="F139" s="214"/>
      <c r="G139" s="216"/>
      <c r="H139" s="221"/>
      <c r="I139" s="221"/>
      <c r="J139" s="222"/>
      <c r="K139" s="211"/>
      <c r="L139" s="214"/>
      <c r="M139" s="188"/>
    </row>
    <row r="140" spans="1:13" ht="18" customHeight="1" x14ac:dyDescent="0.25">
      <c r="A140" s="188"/>
      <c r="B140" s="221"/>
      <c r="C140" s="221"/>
      <c r="D140" s="222"/>
      <c r="E140" s="211"/>
      <c r="F140" s="214"/>
      <c r="G140" s="216"/>
      <c r="H140" s="221"/>
      <c r="I140" s="221"/>
      <c r="J140" s="222"/>
      <c r="K140" s="211"/>
      <c r="L140" s="214"/>
      <c r="M140" s="188"/>
    </row>
    <row r="141" spans="1:13" ht="18" customHeight="1" x14ac:dyDescent="0.25">
      <c r="A141" s="188"/>
      <c r="B141" s="221"/>
      <c r="C141" s="221"/>
      <c r="D141" s="222"/>
      <c r="E141" s="211"/>
      <c r="F141" s="214"/>
      <c r="G141" s="216"/>
      <c r="H141" s="221"/>
      <c r="I141" s="221"/>
      <c r="J141" s="222"/>
      <c r="K141" s="211"/>
      <c r="L141" s="214"/>
      <c r="M141" s="188"/>
    </row>
    <row r="142" spans="1:13" ht="18" customHeight="1" x14ac:dyDescent="0.25">
      <c r="A142" s="188"/>
      <c r="B142" s="221"/>
      <c r="C142" s="221"/>
      <c r="D142" s="222"/>
      <c r="E142" s="211"/>
      <c r="F142" s="214"/>
      <c r="G142" s="216"/>
      <c r="H142" s="221"/>
      <c r="I142" s="221"/>
      <c r="J142" s="222"/>
      <c r="K142" s="211"/>
      <c r="L142" s="214"/>
      <c r="M142" s="188"/>
    </row>
    <row r="143" spans="1:13" ht="18" customHeight="1" x14ac:dyDescent="0.25">
      <c r="A143" s="188"/>
      <c r="B143" s="221"/>
      <c r="C143" s="221"/>
      <c r="D143" s="222"/>
      <c r="E143" s="211"/>
      <c r="F143" s="214"/>
      <c r="G143" s="216"/>
      <c r="H143" s="221"/>
      <c r="I143" s="221"/>
      <c r="J143" s="222"/>
      <c r="K143" s="211"/>
      <c r="L143" s="214"/>
      <c r="M143" s="188"/>
    </row>
    <row r="144" spans="1:13" ht="18" customHeight="1" x14ac:dyDescent="0.25">
      <c r="A144" s="188"/>
      <c r="B144" s="221"/>
      <c r="C144" s="221"/>
      <c r="D144" s="222"/>
      <c r="E144" s="211"/>
      <c r="F144" s="214"/>
      <c r="G144" s="216"/>
      <c r="H144" s="221"/>
      <c r="I144" s="221"/>
      <c r="J144" s="222"/>
      <c r="K144" s="211"/>
      <c r="L144" s="214"/>
      <c r="M144" s="188"/>
    </row>
    <row r="145" spans="1:13" ht="18" customHeight="1" x14ac:dyDescent="0.25">
      <c r="A145" s="188"/>
      <c r="B145" s="221"/>
      <c r="C145" s="221"/>
      <c r="D145" s="222"/>
      <c r="E145" s="211"/>
      <c r="F145" s="214"/>
      <c r="G145" s="216"/>
      <c r="H145" s="221"/>
      <c r="I145" s="221"/>
      <c r="J145" s="222"/>
      <c r="K145" s="211"/>
      <c r="L145" s="214"/>
      <c r="M145" s="188"/>
    </row>
    <row r="146" spans="1:13" ht="18" customHeight="1" x14ac:dyDescent="0.25">
      <c r="A146" s="188"/>
      <c r="B146" s="221"/>
      <c r="C146" s="221"/>
      <c r="D146" s="222"/>
      <c r="E146" s="211"/>
      <c r="F146" s="214"/>
      <c r="G146" s="216"/>
      <c r="H146" s="221"/>
      <c r="I146" s="221"/>
      <c r="J146" s="222"/>
      <c r="K146" s="211"/>
      <c r="L146" s="214"/>
      <c r="M146" s="188"/>
    </row>
    <row r="147" spans="1:13" ht="18" customHeight="1" x14ac:dyDescent="0.25">
      <c r="A147" s="188"/>
      <c r="B147" s="221"/>
      <c r="C147" s="221"/>
      <c r="D147" s="222"/>
      <c r="E147" s="211"/>
      <c r="F147" s="214"/>
      <c r="G147" s="216"/>
      <c r="H147" s="221"/>
      <c r="I147" s="221"/>
      <c r="J147" s="222"/>
      <c r="K147" s="211"/>
      <c r="L147" s="214"/>
      <c r="M147" s="188"/>
    </row>
    <row r="148" spans="1:13" ht="18" customHeight="1" x14ac:dyDescent="0.25">
      <c r="A148" s="188"/>
      <c r="B148" s="221"/>
      <c r="C148" s="221"/>
      <c r="D148" s="222"/>
      <c r="E148" s="211"/>
      <c r="F148" s="214"/>
      <c r="G148" s="216"/>
      <c r="H148" s="221"/>
      <c r="I148" s="221"/>
      <c r="J148" s="222"/>
      <c r="K148" s="211"/>
      <c r="L148" s="214"/>
      <c r="M148" s="188"/>
    </row>
    <row r="149" spans="1:13" ht="18" customHeight="1" x14ac:dyDescent="0.25">
      <c r="A149" s="188"/>
      <c r="B149" s="221"/>
      <c r="C149" s="221"/>
      <c r="D149" s="222"/>
      <c r="E149" s="211"/>
      <c r="F149" s="214"/>
      <c r="G149" s="216"/>
      <c r="H149" s="221"/>
      <c r="I149" s="221"/>
      <c r="J149" s="222"/>
      <c r="K149" s="211"/>
      <c r="L149" s="214"/>
      <c r="M149" s="188"/>
    </row>
    <row r="150" spans="1:13" ht="18" customHeight="1" x14ac:dyDescent="0.25">
      <c r="A150" s="188"/>
      <c r="B150" s="221"/>
      <c r="C150" s="221"/>
      <c r="D150" s="222"/>
      <c r="E150" s="211"/>
      <c r="F150" s="214"/>
      <c r="G150" s="216"/>
      <c r="H150" s="221"/>
      <c r="I150" s="221"/>
      <c r="J150" s="222"/>
      <c r="K150" s="211"/>
      <c r="L150" s="214"/>
      <c r="M150" s="188"/>
    </row>
    <row r="151" spans="1:13" ht="18" customHeight="1" x14ac:dyDescent="0.25">
      <c r="A151" s="188"/>
      <c r="B151" s="221"/>
      <c r="C151" s="221"/>
      <c r="D151" s="222"/>
      <c r="E151" s="211"/>
      <c r="F151" s="214"/>
      <c r="G151" s="216"/>
      <c r="H151" s="221"/>
      <c r="I151" s="221"/>
      <c r="J151" s="222"/>
      <c r="K151" s="211"/>
      <c r="L151" s="214"/>
      <c r="M151" s="188"/>
    </row>
    <row r="152" spans="1:13" ht="18" customHeight="1" x14ac:dyDescent="0.25">
      <c r="A152" s="188"/>
      <c r="B152" s="221"/>
      <c r="C152" s="221"/>
      <c r="D152" s="222"/>
      <c r="E152" s="211"/>
      <c r="F152" s="214"/>
      <c r="G152" s="216"/>
      <c r="H152" s="221"/>
      <c r="I152" s="221"/>
      <c r="J152" s="222"/>
      <c r="K152" s="211"/>
      <c r="L152" s="214"/>
      <c r="M152" s="188"/>
    </row>
    <row r="153" spans="1:13" ht="18" customHeight="1" x14ac:dyDescent="0.25">
      <c r="A153" s="188"/>
      <c r="B153" s="221"/>
      <c r="C153" s="221"/>
      <c r="D153" s="222"/>
      <c r="E153" s="211"/>
      <c r="F153" s="214"/>
      <c r="G153" s="216"/>
      <c r="H153" s="221"/>
      <c r="I153" s="221"/>
      <c r="J153" s="222"/>
      <c r="K153" s="211"/>
      <c r="L153" s="214"/>
      <c r="M153" s="188"/>
    </row>
    <row r="154" spans="1:13" ht="18" customHeight="1" x14ac:dyDescent="0.25">
      <c r="A154" s="188"/>
      <c r="B154" s="221"/>
      <c r="C154" s="221"/>
      <c r="D154" s="222"/>
      <c r="E154" s="211"/>
      <c r="F154" s="214"/>
      <c r="G154" s="216"/>
      <c r="H154" s="221"/>
      <c r="I154" s="221"/>
      <c r="J154" s="222"/>
      <c r="K154" s="211"/>
      <c r="L154" s="214"/>
      <c r="M154" s="188"/>
    </row>
    <row r="155" spans="1:13" ht="18" customHeight="1" x14ac:dyDescent="0.25">
      <c r="A155" s="188"/>
      <c r="B155" s="221"/>
      <c r="C155" s="221"/>
      <c r="D155" s="222"/>
      <c r="E155" s="211"/>
      <c r="F155" s="214"/>
      <c r="G155" s="216"/>
      <c r="H155" s="221"/>
      <c r="I155" s="221"/>
      <c r="J155" s="222"/>
      <c r="K155" s="211"/>
      <c r="L155" s="214"/>
      <c r="M155" s="188"/>
    </row>
    <row r="156" spans="1:13" ht="18" customHeight="1" x14ac:dyDescent="0.25">
      <c r="A156" s="188"/>
      <c r="B156" s="221"/>
      <c r="C156" s="221"/>
      <c r="D156" s="222"/>
      <c r="E156" s="211"/>
      <c r="F156" s="214"/>
      <c r="G156" s="216"/>
      <c r="H156" s="221"/>
      <c r="I156" s="221"/>
      <c r="J156" s="222"/>
      <c r="K156" s="211"/>
      <c r="L156" s="214"/>
      <c r="M156" s="188"/>
    </row>
    <row r="157" spans="1:13" ht="18" customHeight="1" x14ac:dyDescent="0.25">
      <c r="A157" s="188"/>
      <c r="B157" s="221"/>
      <c r="C157" s="221"/>
      <c r="D157" s="222"/>
      <c r="E157" s="211"/>
      <c r="F157" s="214"/>
      <c r="G157" s="216"/>
      <c r="H157" s="221"/>
      <c r="I157" s="221"/>
      <c r="J157" s="222"/>
      <c r="K157" s="211"/>
      <c r="L157" s="214"/>
      <c r="M157" s="188"/>
    </row>
    <row r="158" spans="1:13" ht="18" customHeight="1" x14ac:dyDescent="0.25">
      <c r="A158" s="188"/>
      <c r="B158" s="221"/>
      <c r="C158" s="221"/>
      <c r="D158" s="222"/>
      <c r="E158" s="211"/>
      <c r="F158" s="214"/>
      <c r="G158" s="216"/>
      <c r="H158" s="221"/>
      <c r="I158" s="221"/>
      <c r="J158" s="222"/>
      <c r="K158" s="211"/>
      <c r="L158" s="214"/>
      <c r="M158" s="188"/>
    </row>
    <row r="159" spans="1:13" ht="18" customHeight="1" x14ac:dyDescent="0.25">
      <c r="A159" s="188"/>
      <c r="B159" s="221"/>
      <c r="C159" s="221"/>
      <c r="D159" s="222"/>
      <c r="E159" s="211"/>
      <c r="F159" s="214"/>
      <c r="G159" s="216"/>
      <c r="H159" s="221"/>
      <c r="I159" s="221"/>
      <c r="J159" s="222"/>
      <c r="K159" s="211"/>
      <c r="L159" s="214"/>
      <c r="M159" s="188"/>
    </row>
    <row r="160" spans="1:13" ht="18" customHeight="1" x14ac:dyDescent="0.25">
      <c r="A160" s="188"/>
      <c r="B160" s="221"/>
      <c r="C160" s="221"/>
      <c r="D160" s="222"/>
      <c r="E160" s="211"/>
      <c r="F160" s="214"/>
      <c r="G160" s="216"/>
      <c r="H160" s="221"/>
      <c r="I160" s="221"/>
      <c r="J160" s="222"/>
      <c r="K160" s="211"/>
      <c r="L160" s="214"/>
      <c r="M160" s="188"/>
    </row>
    <row r="161" spans="1:13" ht="18" customHeight="1" x14ac:dyDescent="0.25">
      <c r="A161" s="188"/>
      <c r="B161" s="221"/>
      <c r="C161" s="221"/>
      <c r="D161" s="222"/>
      <c r="E161" s="211"/>
      <c r="F161" s="214"/>
      <c r="G161" s="216"/>
      <c r="H161" s="221"/>
      <c r="I161" s="221"/>
      <c r="J161" s="222"/>
      <c r="K161" s="211"/>
      <c r="L161" s="214"/>
      <c r="M161" s="188"/>
    </row>
    <row r="162" spans="1:13" ht="18" customHeight="1" x14ac:dyDescent="0.25">
      <c r="A162" s="188"/>
      <c r="B162" s="221"/>
      <c r="C162" s="221"/>
      <c r="D162" s="222"/>
      <c r="E162" s="211"/>
      <c r="F162" s="214"/>
      <c r="G162" s="216"/>
      <c r="H162" s="221"/>
      <c r="I162" s="221"/>
      <c r="J162" s="222"/>
      <c r="K162" s="211"/>
      <c r="L162" s="214"/>
      <c r="M162" s="188"/>
    </row>
    <row r="163" spans="1:13" ht="18" customHeight="1" x14ac:dyDescent="0.25">
      <c r="A163" s="188"/>
      <c r="B163" s="221"/>
      <c r="C163" s="221"/>
      <c r="D163" s="222"/>
      <c r="E163" s="211"/>
      <c r="F163" s="214"/>
      <c r="G163" s="216"/>
      <c r="H163" s="221"/>
      <c r="I163" s="221"/>
      <c r="J163" s="222"/>
      <c r="K163" s="211"/>
      <c r="L163" s="214"/>
      <c r="M163" s="188"/>
    </row>
    <row r="164" spans="1:13" ht="18" customHeight="1" x14ac:dyDescent="0.25">
      <c r="A164" s="188"/>
      <c r="B164" s="221"/>
      <c r="C164" s="221"/>
      <c r="D164" s="222"/>
      <c r="E164" s="211"/>
      <c r="F164" s="214"/>
      <c r="G164" s="216"/>
      <c r="H164" s="221"/>
      <c r="I164" s="221"/>
      <c r="J164" s="222"/>
      <c r="K164" s="211"/>
      <c r="L164" s="214"/>
      <c r="M164" s="188"/>
    </row>
    <row r="165" spans="1:13" ht="18" customHeight="1" x14ac:dyDescent="0.25">
      <c r="A165" s="188"/>
      <c r="B165" s="221"/>
      <c r="C165" s="221"/>
      <c r="D165" s="222"/>
      <c r="E165" s="211"/>
      <c r="F165" s="214"/>
      <c r="G165" s="216"/>
      <c r="H165" s="221"/>
      <c r="I165" s="221"/>
      <c r="J165" s="222"/>
      <c r="K165" s="211"/>
      <c r="L165" s="214"/>
      <c r="M165" s="188"/>
    </row>
    <row r="166" spans="1:13" ht="18" customHeight="1" x14ac:dyDescent="0.25">
      <c r="A166" s="188"/>
      <c r="B166" s="221"/>
      <c r="C166" s="221"/>
      <c r="D166" s="222"/>
      <c r="E166" s="211"/>
      <c r="F166" s="214"/>
      <c r="G166" s="216"/>
      <c r="H166" s="221"/>
      <c r="I166" s="221"/>
      <c r="J166" s="222"/>
      <c r="K166" s="211"/>
      <c r="L166" s="214"/>
      <c r="M166" s="188"/>
    </row>
    <row r="167" spans="1:13" ht="18" customHeight="1" x14ac:dyDescent="0.25">
      <c r="A167" s="188"/>
      <c r="B167" s="221"/>
      <c r="C167" s="221"/>
      <c r="D167" s="222"/>
      <c r="E167" s="211"/>
      <c r="F167" s="214"/>
      <c r="G167" s="216"/>
      <c r="H167" s="221"/>
      <c r="I167" s="221"/>
      <c r="J167" s="222"/>
      <c r="K167" s="211"/>
      <c r="L167" s="214"/>
      <c r="M167" s="188"/>
    </row>
    <row r="168" spans="1:13" ht="18" customHeight="1" x14ac:dyDescent="0.25">
      <c r="A168" s="188"/>
      <c r="B168" s="221"/>
      <c r="C168" s="221"/>
      <c r="D168" s="222"/>
      <c r="E168" s="211"/>
      <c r="F168" s="214"/>
      <c r="G168" s="216"/>
      <c r="H168" s="221"/>
      <c r="I168" s="221"/>
      <c r="J168" s="222"/>
      <c r="K168" s="211"/>
      <c r="L168" s="214"/>
      <c r="M168" s="188"/>
    </row>
    <row r="169" spans="1:13" ht="18" customHeight="1" x14ac:dyDescent="0.25">
      <c r="A169" s="188"/>
      <c r="B169" s="221"/>
      <c r="C169" s="221"/>
      <c r="D169" s="222"/>
      <c r="E169" s="211"/>
      <c r="F169" s="214"/>
      <c r="G169" s="216"/>
      <c r="H169" s="221"/>
      <c r="I169" s="221"/>
      <c r="J169" s="222"/>
      <c r="K169" s="211"/>
      <c r="L169" s="214"/>
      <c r="M169" s="188"/>
    </row>
    <row r="170" spans="1:13" ht="18" customHeight="1" x14ac:dyDescent="0.25">
      <c r="A170" s="188"/>
      <c r="B170" s="221"/>
      <c r="C170" s="221"/>
      <c r="D170" s="222"/>
      <c r="E170" s="211"/>
      <c r="F170" s="214"/>
      <c r="G170" s="216"/>
      <c r="H170" s="221"/>
      <c r="I170" s="221"/>
      <c r="J170" s="222"/>
      <c r="K170" s="211"/>
      <c r="L170" s="214"/>
      <c r="M170" s="188"/>
    </row>
    <row r="171" spans="1:13" ht="18" customHeight="1" x14ac:dyDescent="0.25">
      <c r="A171" s="188"/>
      <c r="B171" s="221"/>
      <c r="C171" s="221"/>
      <c r="D171" s="222"/>
      <c r="E171" s="211"/>
      <c r="F171" s="214"/>
      <c r="G171" s="216"/>
      <c r="H171" s="221"/>
      <c r="I171" s="221"/>
      <c r="J171" s="222"/>
      <c r="K171" s="211"/>
      <c r="L171" s="214"/>
      <c r="M171" s="188"/>
    </row>
    <row r="172" spans="1:13" ht="18" customHeight="1" x14ac:dyDescent="0.25">
      <c r="A172" s="188"/>
      <c r="B172" s="221"/>
      <c r="C172" s="221"/>
      <c r="D172" s="222"/>
      <c r="E172" s="211"/>
      <c r="F172" s="214"/>
      <c r="G172" s="216"/>
      <c r="H172" s="221"/>
      <c r="I172" s="221"/>
      <c r="J172" s="222"/>
      <c r="K172" s="211"/>
      <c r="L172" s="214"/>
      <c r="M172" s="188"/>
    </row>
    <row r="173" spans="1:13" ht="18" customHeight="1" x14ac:dyDescent="0.25">
      <c r="A173" s="188"/>
      <c r="B173" s="221"/>
      <c r="C173" s="221"/>
      <c r="D173" s="222"/>
      <c r="E173" s="211"/>
      <c r="F173" s="214"/>
      <c r="G173" s="216"/>
      <c r="H173" s="221"/>
      <c r="I173" s="221"/>
      <c r="J173" s="222"/>
      <c r="K173" s="211"/>
      <c r="L173" s="214"/>
      <c r="M173" s="188"/>
    </row>
    <row r="174" spans="1:13" ht="18" customHeight="1" x14ac:dyDescent="0.25">
      <c r="A174" s="188"/>
      <c r="B174" s="221"/>
      <c r="C174" s="221"/>
      <c r="D174" s="222"/>
      <c r="E174" s="211"/>
      <c r="F174" s="214"/>
      <c r="G174" s="216"/>
      <c r="H174" s="221"/>
      <c r="I174" s="221"/>
      <c r="J174" s="222"/>
      <c r="K174" s="211"/>
      <c r="L174" s="214"/>
      <c r="M174" s="188"/>
    </row>
    <row r="175" spans="1:13" ht="18" customHeight="1" x14ac:dyDescent="0.25">
      <c r="A175" s="188"/>
      <c r="B175" s="221"/>
      <c r="C175" s="221"/>
      <c r="D175" s="222"/>
      <c r="E175" s="211"/>
      <c r="F175" s="214"/>
      <c r="G175" s="216"/>
      <c r="H175" s="221"/>
      <c r="I175" s="221"/>
      <c r="J175" s="222"/>
      <c r="K175" s="211"/>
      <c r="L175" s="214"/>
      <c r="M175" s="188"/>
    </row>
    <row r="176" spans="1:13" ht="18" customHeight="1" x14ac:dyDescent="0.25">
      <c r="A176" s="188"/>
      <c r="B176" s="221"/>
      <c r="C176" s="221"/>
      <c r="D176" s="222"/>
      <c r="E176" s="211"/>
      <c r="F176" s="214"/>
      <c r="G176" s="216"/>
      <c r="H176" s="221"/>
      <c r="I176" s="221"/>
      <c r="J176" s="222"/>
      <c r="K176" s="211"/>
      <c r="L176" s="214"/>
      <c r="M176" s="188"/>
    </row>
    <row r="177" spans="1:13" ht="18" customHeight="1" x14ac:dyDescent="0.25">
      <c r="A177" s="188"/>
      <c r="B177" s="221"/>
      <c r="C177" s="221"/>
      <c r="D177" s="222"/>
      <c r="E177" s="211"/>
      <c r="F177" s="214"/>
      <c r="G177" s="216"/>
      <c r="H177" s="221"/>
      <c r="I177" s="221"/>
      <c r="J177" s="222"/>
      <c r="K177" s="211"/>
      <c r="L177" s="214"/>
      <c r="M177" s="188"/>
    </row>
    <row r="178" spans="1:13" ht="18" customHeight="1" x14ac:dyDescent="0.25">
      <c r="A178" s="188"/>
      <c r="B178" s="221"/>
      <c r="C178" s="221"/>
      <c r="D178" s="222"/>
      <c r="E178" s="211"/>
      <c r="F178" s="214"/>
      <c r="G178" s="216"/>
      <c r="H178" s="221"/>
      <c r="I178" s="221"/>
      <c r="J178" s="222"/>
      <c r="K178" s="211"/>
      <c r="L178" s="214"/>
      <c r="M178" s="188"/>
    </row>
    <row r="179" spans="1:13" ht="18" customHeight="1" x14ac:dyDescent="0.25">
      <c r="A179" s="188"/>
      <c r="B179" s="221"/>
      <c r="C179" s="221"/>
      <c r="D179" s="222"/>
      <c r="E179" s="211"/>
      <c r="F179" s="214"/>
      <c r="G179" s="216"/>
      <c r="H179" s="221"/>
      <c r="I179" s="221"/>
      <c r="J179" s="222"/>
      <c r="K179" s="211"/>
      <c r="L179" s="214"/>
      <c r="M179" s="188"/>
    </row>
    <row r="180" spans="1:13" ht="18" customHeight="1" x14ac:dyDescent="0.25">
      <c r="A180" s="188"/>
      <c r="B180" s="221"/>
      <c r="C180" s="221"/>
      <c r="D180" s="222"/>
      <c r="E180" s="211"/>
      <c r="F180" s="214"/>
      <c r="G180" s="216"/>
      <c r="H180" s="221"/>
      <c r="I180" s="221"/>
      <c r="J180" s="222"/>
      <c r="K180" s="211"/>
      <c r="L180" s="214"/>
      <c r="M180" s="188"/>
    </row>
    <row r="181" spans="1:13" ht="18" customHeight="1" x14ac:dyDescent="0.25">
      <c r="A181" s="188"/>
      <c r="B181" s="221"/>
      <c r="C181" s="221"/>
      <c r="D181" s="222"/>
      <c r="E181" s="211"/>
      <c r="F181" s="214"/>
      <c r="G181" s="216"/>
      <c r="H181" s="221"/>
      <c r="I181" s="221"/>
      <c r="J181" s="222"/>
      <c r="K181" s="211"/>
      <c r="L181" s="214"/>
      <c r="M181" s="188"/>
    </row>
    <row r="182" spans="1:13" ht="18" customHeight="1" x14ac:dyDescent="0.25">
      <c r="A182" s="188"/>
      <c r="B182" s="221"/>
      <c r="C182" s="221"/>
      <c r="D182" s="222"/>
      <c r="E182" s="211"/>
      <c r="F182" s="214"/>
      <c r="G182" s="216"/>
      <c r="H182" s="221"/>
      <c r="I182" s="221"/>
      <c r="J182" s="222"/>
      <c r="K182" s="211"/>
      <c r="L182" s="214"/>
      <c r="M182" s="188"/>
    </row>
    <row r="183" spans="1:13" ht="18" customHeight="1" x14ac:dyDescent="0.25">
      <c r="A183" s="188"/>
      <c r="B183" s="221"/>
      <c r="C183" s="221"/>
      <c r="D183" s="222"/>
      <c r="E183" s="211"/>
      <c r="F183" s="214"/>
      <c r="G183" s="216"/>
      <c r="H183" s="221"/>
      <c r="I183" s="221"/>
      <c r="J183" s="222"/>
      <c r="K183" s="211"/>
      <c r="L183" s="214"/>
      <c r="M183" s="188"/>
    </row>
    <row r="184" spans="1:13" ht="18" customHeight="1" x14ac:dyDescent="0.25">
      <c r="A184" s="188"/>
      <c r="B184" s="221"/>
      <c r="C184" s="221"/>
      <c r="D184" s="222"/>
      <c r="E184" s="211"/>
      <c r="F184" s="214"/>
      <c r="G184" s="216"/>
      <c r="H184" s="221"/>
      <c r="I184" s="221"/>
      <c r="J184" s="222"/>
      <c r="K184" s="211"/>
      <c r="L184" s="214"/>
      <c r="M184" s="188"/>
    </row>
    <row r="185" spans="1:13" ht="18" customHeight="1" x14ac:dyDescent="0.25">
      <c r="A185" s="188"/>
      <c r="B185" s="221"/>
      <c r="C185" s="221"/>
      <c r="D185" s="222"/>
      <c r="E185" s="211"/>
      <c r="F185" s="214"/>
      <c r="G185" s="216"/>
      <c r="H185" s="221"/>
      <c r="I185" s="221"/>
      <c r="J185" s="222"/>
      <c r="K185" s="211"/>
      <c r="L185" s="214"/>
      <c r="M185" s="188"/>
    </row>
    <row r="186" spans="1:13" ht="18" customHeight="1" x14ac:dyDescent="0.25">
      <c r="A186" s="188"/>
      <c r="B186" s="221"/>
      <c r="C186" s="221"/>
      <c r="D186" s="222"/>
      <c r="E186" s="211"/>
      <c r="F186" s="214"/>
      <c r="G186" s="216"/>
      <c r="H186" s="221"/>
      <c r="I186" s="221"/>
      <c r="J186" s="222"/>
      <c r="K186" s="211"/>
      <c r="L186" s="214"/>
      <c r="M186" s="188"/>
    </row>
    <row r="187" spans="1:13" ht="18" customHeight="1" x14ac:dyDescent="0.25">
      <c r="A187" s="188"/>
      <c r="B187" s="221"/>
      <c r="C187" s="221"/>
      <c r="D187" s="222"/>
      <c r="E187" s="211"/>
      <c r="F187" s="214"/>
      <c r="G187" s="216"/>
      <c r="H187" s="221"/>
      <c r="I187" s="221"/>
      <c r="J187" s="222"/>
      <c r="K187" s="211"/>
      <c r="L187" s="214"/>
      <c r="M187" s="188"/>
    </row>
    <row r="188" spans="1:13" ht="18" customHeight="1" x14ac:dyDescent="0.25">
      <c r="A188" s="188"/>
      <c r="B188" s="221"/>
      <c r="C188" s="221"/>
      <c r="D188" s="222"/>
      <c r="E188" s="211"/>
      <c r="F188" s="214"/>
      <c r="G188" s="216"/>
      <c r="H188" s="221"/>
      <c r="I188" s="221"/>
      <c r="J188" s="222"/>
      <c r="K188" s="211"/>
      <c r="L188" s="214"/>
      <c r="M188" s="188"/>
    </row>
    <row r="189" spans="1:13" ht="18" customHeight="1" x14ac:dyDescent="0.25">
      <c r="A189" s="188"/>
      <c r="B189" s="221"/>
      <c r="C189" s="221"/>
      <c r="D189" s="222"/>
      <c r="E189" s="211"/>
      <c r="F189" s="214"/>
      <c r="G189" s="216"/>
      <c r="H189" s="221"/>
      <c r="I189" s="221"/>
      <c r="J189" s="222"/>
      <c r="K189" s="211"/>
      <c r="L189" s="214"/>
      <c r="M189" s="188"/>
    </row>
    <row r="190" spans="1:13" ht="18" customHeight="1" x14ac:dyDescent="0.25">
      <c r="A190" s="188"/>
      <c r="B190" s="221"/>
      <c r="C190" s="221"/>
      <c r="D190" s="222"/>
      <c r="E190" s="211"/>
      <c r="F190" s="214"/>
      <c r="G190" s="216"/>
      <c r="H190" s="221"/>
      <c r="I190" s="221"/>
      <c r="J190" s="222"/>
      <c r="K190" s="211"/>
      <c r="L190" s="214"/>
      <c r="M190" s="188"/>
    </row>
    <row r="191" spans="1:13" ht="18" customHeight="1" x14ac:dyDescent="0.25">
      <c r="A191" s="188"/>
      <c r="B191" s="221"/>
      <c r="C191" s="221"/>
      <c r="D191" s="222"/>
      <c r="E191" s="211"/>
      <c r="F191" s="214"/>
      <c r="G191" s="216"/>
      <c r="H191" s="221"/>
      <c r="I191" s="221"/>
      <c r="J191" s="222"/>
      <c r="K191" s="211"/>
      <c r="L191" s="214"/>
      <c r="M191" s="188"/>
    </row>
    <row r="192" spans="1:13" ht="18" customHeight="1" x14ac:dyDescent="0.25">
      <c r="A192" s="188"/>
      <c r="B192" s="221"/>
      <c r="C192" s="221"/>
      <c r="D192" s="222"/>
      <c r="E192" s="211"/>
      <c r="F192" s="214"/>
      <c r="G192" s="216"/>
      <c r="H192" s="221"/>
      <c r="I192" s="221"/>
      <c r="J192" s="222"/>
      <c r="K192" s="211"/>
      <c r="L192" s="214"/>
      <c r="M192" s="188"/>
    </row>
    <row r="193" spans="1:13" ht="18" customHeight="1" x14ac:dyDescent="0.25">
      <c r="A193" s="188"/>
      <c r="B193" s="221"/>
      <c r="C193" s="221"/>
      <c r="D193" s="222"/>
      <c r="E193" s="211"/>
      <c r="F193" s="214"/>
      <c r="G193" s="216"/>
      <c r="H193" s="221"/>
      <c r="I193" s="221"/>
      <c r="J193" s="222"/>
      <c r="K193" s="211"/>
      <c r="L193" s="214"/>
      <c r="M193" s="188"/>
    </row>
    <row r="194" spans="1:13" ht="18" customHeight="1" x14ac:dyDescent="0.25">
      <c r="A194" s="188"/>
      <c r="B194" s="221"/>
      <c r="C194" s="221"/>
      <c r="D194" s="222"/>
      <c r="E194" s="211"/>
      <c r="F194" s="214"/>
      <c r="G194" s="216"/>
      <c r="H194" s="221"/>
      <c r="I194" s="221"/>
      <c r="J194" s="222"/>
      <c r="K194" s="211"/>
      <c r="L194" s="214"/>
      <c r="M194" s="188"/>
    </row>
    <row r="195" spans="1:13" ht="18" customHeight="1" x14ac:dyDescent="0.25">
      <c r="A195" s="188"/>
      <c r="B195" s="221"/>
      <c r="C195" s="221"/>
      <c r="D195" s="222"/>
      <c r="E195" s="211"/>
      <c r="F195" s="214"/>
      <c r="G195" s="216"/>
      <c r="H195" s="221"/>
      <c r="I195" s="221"/>
      <c r="J195" s="222"/>
      <c r="K195" s="211"/>
      <c r="L195" s="214"/>
      <c r="M195" s="188"/>
    </row>
    <row r="196" spans="1:13" ht="18" customHeight="1" x14ac:dyDescent="0.25">
      <c r="A196" s="188"/>
      <c r="B196" s="221"/>
      <c r="C196" s="221"/>
      <c r="D196" s="222"/>
      <c r="E196" s="211"/>
      <c r="F196" s="214"/>
      <c r="G196" s="216"/>
      <c r="H196" s="221"/>
      <c r="I196" s="221"/>
      <c r="J196" s="222"/>
      <c r="K196" s="211"/>
      <c r="L196" s="214"/>
      <c r="M196" s="188"/>
    </row>
    <row r="197" spans="1:13" ht="18" customHeight="1" x14ac:dyDescent="0.25">
      <c r="A197" s="188"/>
      <c r="B197" s="221"/>
      <c r="C197" s="221"/>
      <c r="D197" s="222"/>
      <c r="E197" s="211"/>
      <c r="F197" s="214"/>
      <c r="G197" s="216"/>
      <c r="H197" s="221"/>
      <c r="I197" s="221"/>
      <c r="J197" s="222"/>
      <c r="K197" s="211"/>
      <c r="L197" s="214"/>
      <c r="M197" s="188"/>
    </row>
    <row r="198" spans="1:13" ht="18" customHeight="1" x14ac:dyDescent="0.25">
      <c r="A198" s="188"/>
      <c r="B198" s="221"/>
      <c r="C198" s="221"/>
      <c r="D198" s="222"/>
      <c r="E198" s="211"/>
      <c r="F198" s="214"/>
      <c r="G198" s="216"/>
      <c r="H198" s="221"/>
      <c r="I198" s="221"/>
      <c r="J198" s="222"/>
      <c r="K198" s="211"/>
      <c r="L198" s="214"/>
      <c r="M198" s="188"/>
    </row>
    <row r="199" spans="1:13" ht="18" customHeight="1" x14ac:dyDescent="0.25">
      <c r="A199" s="188"/>
      <c r="B199" s="221"/>
      <c r="C199" s="221"/>
      <c r="D199" s="222"/>
      <c r="E199" s="211"/>
      <c r="F199" s="214"/>
      <c r="G199" s="216"/>
      <c r="H199" s="221"/>
      <c r="I199" s="221"/>
      <c r="J199" s="222"/>
      <c r="K199" s="211"/>
      <c r="L199" s="214"/>
      <c r="M199" s="188"/>
    </row>
    <row r="200" spans="1:13" ht="18" customHeight="1" x14ac:dyDescent="0.25">
      <c r="A200" s="188"/>
      <c r="B200" s="221"/>
      <c r="C200" s="221"/>
      <c r="D200" s="222"/>
      <c r="E200" s="211"/>
      <c r="F200" s="214"/>
      <c r="G200" s="216"/>
      <c r="H200" s="221"/>
      <c r="I200" s="221"/>
      <c r="J200" s="222"/>
      <c r="K200" s="211"/>
      <c r="L200" s="214"/>
      <c r="M200" s="188"/>
    </row>
    <row r="201" spans="1:13" ht="18" customHeight="1" x14ac:dyDescent="0.25">
      <c r="A201" s="188"/>
      <c r="B201" s="221"/>
      <c r="C201" s="221"/>
      <c r="D201" s="222"/>
      <c r="E201" s="211"/>
      <c r="F201" s="214"/>
      <c r="G201" s="216"/>
      <c r="H201" s="221"/>
      <c r="I201" s="221"/>
      <c r="J201" s="222"/>
      <c r="K201" s="211"/>
      <c r="L201" s="214"/>
      <c r="M201" s="188"/>
    </row>
    <row r="202" spans="1:13" ht="18" customHeight="1" x14ac:dyDescent="0.25">
      <c r="A202" s="188"/>
      <c r="B202" s="221"/>
      <c r="C202" s="221"/>
      <c r="D202" s="222"/>
      <c r="E202" s="211"/>
      <c r="F202" s="214"/>
      <c r="G202" s="216"/>
      <c r="H202" s="221"/>
      <c r="I202" s="221"/>
      <c r="J202" s="222"/>
      <c r="K202" s="211"/>
      <c r="L202" s="214"/>
      <c r="M202" s="188"/>
    </row>
    <row r="203" spans="1:13" ht="18" customHeight="1" x14ac:dyDescent="0.25">
      <c r="A203" s="188"/>
      <c r="B203" s="221"/>
      <c r="C203" s="221"/>
      <c r="D203" s="222"/>
      <c r="E203" s="211"/>
      <c r="F203" s="214"/>
      <c r="G203" s="216"/>
      <c r="H203" s="221"/>
      <c r="I203" s="221"/>
      <c r="J203" s="222"/>
      <c r="K203" s="211"/>
      <c r="L203" s="214"/>
      <c r="M203" s="188"/>
    </row>
    <row r="204" spans="1:13" ht="18" customHeight="1" x14ac:dyDescent="0.25">
      <c r="A204" s="188"/>
      <c r="B204" s="221"/>
      <c r="C204" s="221"/>
      <c r="D204" s="222"/>
      <c r="E204" s="211"/>
      <c r="F204" s="214"/>
      <c r="G204" s="216"/>
      <c r="H204" s="221"/>
      <c r="I204" s="221"/>
      <c r="J204" s="222"/>
      <c r="K204" s="211"/>
      <c r="L204" s="214"/>
      <c r="M204" s="188"/>
    </row>
    <row r="205" spans="1:13" ht="18" customHeight="1" x14ac:dyDescent="0.25">
      <c r="A205" s="188"/>
      <c r="B205" s="221"/>
      <c r="C205" s="221"/>
      <c r="D205" s="222"/>
      <c r="E205" s="211"/>
      <c r="F205" s="214"/>
      <c r="G205" s="216"/>
      <c r="H205" s="221"/>
      <c r="I205" s="221"/>
      <c r="J205" s="222"/>
      <c r="K205" s="211"/>
      <c r="L205" s="214"/>
      <c r="M205" s="188"/>
    </row>
    <row r="206" spans="1:13" ht="18" customHeight="1" x14ac:dyDescent="0.25">
      <c r="A206" s="188"/>
      <c r="B206" s="221"/>
      <c r="C206" s="221"/>
      <c r="D206" s="222"/>
      <c r="E206" s="211"/>
      <c r="F206" s="214"/>
      <c r="G206" s="216"/>
      <c r="H206" s="221"/>
      <c r="I206" s="221"/>
      <c r="J206" s="222"/>
      <c r="K206" s="211"/>
      <c r="L206" s="214"/>
      <c r="M206" s="188"/>
    </row>
    <row r="207" spans="1:13" ht="18" customHeight="1" x14ac:dyDescent="0.25">
      <c r="A207" s="188"/>
      <c r="B207" s="221"/>
      <c r="C207" s="221"/>
      <c r="D207" s="222"/>
      <c r="E207" s="211"/>
      <c r="F207" s="214"/>
      <c r="G207" s="216"/>
      <c r="H207" s="221"/>
      <c r="I207" s="221"/>
      <c r="J207" s="222"/>
      <c r="K207" s="211"/>
      <c r="L207" s="214"/>
      <c r="M207" s="188"/>
    </row>
    <row r="208" spans="1:13" ht="18" customHeight="1" x14ac:dyDescent="0.25">
      <c r="A208" s="188"/>
      <c r="B208" s="221"/>
      <c r="C208" s="221"/>
      <c r="D208" s="222"/>
      <c r="E208" s="211"/>
      <c r="F208" s="214"/>
      <c r="G208" s="216"/>
      <c r="H208" s="221"/>
      <c r="I208" s="221"/>
      <c r="J208" s="222"/>
      <c r="K208" s="211"/>
      <c r="L208" s="214"/>
      <c r="M208" s="188"/>
    </row>
    <row r="209" spans="1:13" ht="18" customHeight="1" x14ac:dyDescent="0.25">
      <c r="A209" s="188"/>
      <c r="B209" s="221"/>
      <c r="C209" s="221"/>
      <c r="D209" s="222"/>
      <c r="E209" s="211"/>
      <c r="F209" s="214"/>
      <c r="G209" s="216"/>
      <c r="H209" s="221"/>
      <c r="I209" s="221"/>
      <c r="J209" s="222"/>
      <c r="K209" s="211"/>
      <c r="L209" s="214"/>
      <c r="M209" s="188"/>
    </row>
    <row r="210" spans="1:13" ht="18" customHeight="1" x14ac:dyDescent="0.25">
      <c r="A210" s="188"/>
      <c r="B210" s="221"/>
      <c r="C210" s="221"/>
      <c r="D210" s="222"/>
      <c r="E210" s="211"/>
      <c r="F210" s="214"/>
      <c r="G210" s="216"/>
      <c r="H210" s="221"/>
      <c r="I210" s="221"/>
      <c r="J210" s="222"/>
      <c r="K210" s="211"/>
      <c r="L210" s="214"/>
      <c r="M210" s="188"/>
    </row>
    <row r="211" spans="1:13" ht="18" customHeight="1" x14ac:dyDescent="0.25">
      <c r="A211" s="188"/>
      <c r="B211" s="221"/>
      <c r="C211" s="221"/>
      <c r="D211" s="222"/>
      <c r="E211" s="211"/>
      <c r="F211" s="214"/>
      <c r="G211" s="216"/>
      <c r="H211" s="221"/>
      <c r="I211" s="221"/>
      <c r="J211" s="222"/>
      <c r="K211" s="211"/>
      <c r="L211" s="214"/>
      <c r="M211" s="188"/>
    </row>
    <row r="212" spans="1:13" ht="18" customHeight="1" x14ac:dyDescent="0.25">
      <c r="A212" s="188"/>
      <c r="B212" s="221"/>
      <c r="C212" s="221"/>
      <c r="D212" s="222"/>
      <c r="E212" s="211"/>
      <c r="F212" s="214"/>
      <c r="G212" s="216"/>
      <c r="H212" s="221"/>
      <c r="I212" s="221"/>
      <c r="J212" s="222"/>
      <c r="K212" s="211"/>
      <c r="L212" s="214"/>
      <c r="M212" s="188"/>
    </row>
    <row r="213" spans="1:13" ht="18" customHeight="1" x14ac:dyDescent="0.25">
      <c r="A213" s="188"/>
      <c r="B213" s="221"/>
      <c r="C213" s="221"/>
      <c r="D213" s="222"/>
      <c r="E213" s="211"/>
      <c r="F213" s="214"/>
      <c r="G213" s="216"/>
      <c r="H213" s="221"/>
      <c r="I213" s="221"/>
      <c r="J213" s="222"/>
      <c r="K213" s="211"/>
      <c r="L213" s="214"/>
      <c r="M213" s="188"/>
    </row>
    <row r="214" spans="1:13" ht="18" customHeight="1" x14ac:dyDescent="0.25">
      <c r="A214" s="188"/>
      <c r="B214" s="221"/>
      <c r="C214" s="221"/>
      <c r="D214" s="222"/>
      <c r="E214" s="211"/>
      <c r="F214" s="214"/>
      <c r="G214" s="216"/>
      <c r="H214" s="221"/>
      <c r="I214" s="221"/>
      <c r="J214" s="222"/>
      <c r="K214" s="211"/>
      <c r="L214" s="214"/>
      <c r="M214" s="188"/>
    </row>
    <row r="215" spans="1:13" ht="18" customHeight="1" x14ac:dyDescent="0.25">
      <c r="A215" s="188"/>
      <c r="B215" s="221"/>
      <c r="C215" s="221"/>
      <c r="D215" s="222"/>
      <c r="E215" s="211"/>
      <c r="F215" s="214"/>
      <c r="G215" s="216"/>
      <c r="H215" s="221"/>
      <c r="I215" s="221"/>
      <c r="J215" s="222"/>
      <c r="K215" s="211"/>
      <c r="L215" s="214"/>
      <c r="M215" s="188"/>
    </row>
    <row r="216" spans="1:13" ht="18" customHeight="1" x14ac:dyDescent="0.25">
      <c r="A216" s="188"/>
      <c r="B216" s="221"/>
      <c r="C216" s="221"/>
      <c r="D216" s="222"/>
      <c r="E216" s="211"/>
      <c r="F216" s="214"/>
      <c r="G216" s="216"/>
      <c r="H216" s="221"/>
      <c r="I216" s="221"/>
      <c r="J216" s="222"/>
      <c r="K216" s="211"/>
      <c r="L216" s="214"/>
      <c r="M216" s="188"/>
    </row>
    <row r="217" spans="1:13" ht="18" customHeight="1" x14ac:dyDescent="0.25">
      <c r="A217" s="188"/>
      <c r="B217" s="221"/>
      <c r="C217" s="221"/>
      <c r="D217" s="222"/>
      <c r="E217" s="211"/>
      <c r="F217" s="214"/>
      <c r="G217" s="216"/>
      <c r="H217" s="221"/>
      <c r="I217" s="221"/>
      <c r="J217" s="222"/>
      <c r="K217" s="211"/>
      <c r="L217" s="214"/>
      <c r="M217" s="188"/>
    </row>
    <row r="218" spans="1:13" ht="18" customHeight="1" x14ac:dyDescent="0.25">
      <c r="A218" s="188"/>
      <c r="B218" s="221"/>
      <c r="C218" s="221"/>
      <c r="D218" s="222"/>
      <c r="E218" s="211"/>
      <c r="F218" s="214"/>
      <c r="G218" s="216"/>
      <c r="H218" s="221"/>
      <c r="I218" s="221"/>
      <c r="J218" s="222"/>
      <c r="K218" s="211"/>
      <c r="L218" s="214"/>
      <c r="M218" s="188"/>
    </row>
    <row r="219" spans="1:13" ht="18" customHeight="1" x14ac:dyDescent="0.25">
      <c r="A219" s="188"/>
      <c r="B219" s="221"/>
      <c r="C219" s="221"/>
      <c r="D219" s="222"/>
      <c r="E219" s="211"/>
      <c r="F219" s="214"/>
      <c r="G219" s="216"/>
      <c r="H219" s="221"/>
      <c r="I219" s="221"/>
      <c r="J219" s="222"/>
      <c r="K219" s="211"/>
      <c r="L219" s="214"/>
      <c r="M219" s="188"/>
    </row>
    <row r="220" spans="1:13" ht="18" customHeight="1" x14ac:dyDescent="0.25">
      <c r="A220" s="188"/>
      <c r="B220" s="221"/>
      <c r="C220" s="221"/>
      <c r="D220" s="222"/>
      <c r="E220" s="211"/>
      <c r="F220" s="214"/>
      <c r="G220" s="216"/>
      <c r="H220" s="221"/>
      <c r="I220" s="221"/>
      <c r="J220" s="222"/>
      <c r="K220" s="211"/>
      <c r="L220" s="214"/>
      <c r="M220" s="188"/>
    </row>
    <row r="221" spans="1:13" ht="18" customHeight="1" x14ac:dyDescent="0.25">
      <c r="A221" s="188"/>
      <c r="B221" s="221"/>
      <c r="C221" s="221"/>
      <c r="D221" s="222"/>
      <c r="E221" s="211"/>
      <c r="F221" s="214"/>
      <c r="G221" s="216"/>
      <c r="H221" s="221"/>
      <c r="I221" s="221"/>
      <c r="J221" s="222"/>
      <c r="K221" s="211"/>
      <c r="L221" s="214"/>
      <c r="M221" s="188"/>
    </row>
    <row r="222" spans="1:13" ht="18" customHeight="1" x14ac:dyDescent="0.25">
      <c r="A222" s="188"/>
      <c r="B222" s="221"/>
      <c r="C222" s="221"/>
      <c r="D222" s="222"/>
      <c r="E222" s="211"/>
      <c r="F222" s="214"/>
      <c r="G222" s="216"/>
      <c r="H222" s="221"/>
      <c r="I222" s="221"/>
      <c r="J222" s="222"/>
      <c r="K222" s="211"/>
      <c r="L222" s="214"/>
      <c r="M222" s="188"/>
    </row>
    <row r="223" spans="1:13" ht="18" customHeight="1" x14ac:dyDescent="0.25">
      <c r="A223" s="188"/>
      <c r="B223" s="221"/>
      <c r="C223" s="221"/>
      <c r="D223" s="222"/>
      <c r="E223" s="211"/>
      <c r="F223" s="214"/>
      <c r="G223" s="216"/>
      <c r="H223" s="221"/>
      <c r="I223" s="221"/>
      <c r="J223" s="222"/>
      <c r="K223" s="211"/>
      <c r="L223" s="214"/>
      <c r="M223" s="188"/>
    </row>
    <row r="224" spans="1:13" ht="18" customHeight="1" x14ac:dyDescent="0.25">
      <c r="A224" s="188"/>
      <c r="B224" s="221"/>
      <c r="C224" s="221"/>
      <c r="D224" s="222"/>
      <c r="E224" s="211"/>
      <c r="F224" s="214"/>
      <c r="G224" s="216"/>
      <c r="H224" s="221"/>
      <c r="I224" s="221"/>
      <c r="J224" s="222"/>
      <c r="K224" s="211"/>
      <c r="L224" s="214"/>
      <c r="M224" s="188"/>
    </row>
    <row r="225" spans="1:13" ht="18" customHeight="1" x14ac:dyDescent="0.25">
      <c r="A225" s="188"/>
      <c r="B225" s="221"/>
      <c r="C225" s="221"/>
      <c r="D225" s="222"/>
      <c r="E225" s="211"/>
      <c r="F225" s="214"/>
      <c r="G225" s="216"/>
      <c r="H225" s="221"/>
      <c r="I225" s="221"/>
      <c r="J225" s="222"/>
      <c r="K225" s="211"/>
      <c r="L225" s="214"/>
      <c r="M225" s="188"/>
    </row>
    <row r="226" spans="1:13" ht="18" customHeight="1" x14ac:dyDescent="0.25">
      <c r="A226" s="188"/>
      <c r="B226" s="221"/>
      <c r="C226" s="221"/>
      <c r="D226" s="222"/>
      <c r="E226" s="211"/>
      <c r="F226" s="214"/>
      <c r="G226" s="216"/>
      <c r="H226" s="221"/>
      <c r="I226" s="221"/>
      <c r="J226" s="222"/>
      <c r="K226" s="211"/>
      <c r="L226" s="214"/>
      <c r="M226" s="188"/>
    </row>
    <row r="227" spans="1:13" ht="18" customHeight="1" x14ac:dyDescent="0.25">
      <c r="A227" s="188"/>
      <c r="B227" s="221"/>
      <c r="C227" s="221"/>
      <c r="D227" s="222"/>
      <c r="E227" s="211"/>
      <c r="F227" s="214"/>
      <c r="G227" s="216"/>
      <c r="H227" s="221"/>
      <c r="I227" s="221"/>
      <c r="J227" s="222"/>
      <c r="K227" s="211"/>
      <c r="L227" s="214"/>
      <c r="M227" s="188"/>
    </row>
    <row r="228" spans="1:13" ht="18" customHeight="1" x14ac:dyDescent="0.25">
      <c r="A228" s="188"/>
      <c r="B228" s="221"/>
      <c r="C228" s="221"/>
      <c r="D228" s="222"/>
      <c r="E228" s="211"/>
      <c r="F228" s="214"/>
      <c r="G228" s="216"/>
      <c r="H228" s="221"/>
      <c r="I228" s="221"/>
      <c r="J228" s="222"/>
      <c r="K228" s="211"/>
      <c r="L228" s="214"/>
      <c r="M228" s="188"/>
    </row>
    <row r="229" spans="1:13" ht="18" customHeight="1" x14ac:dyDescent="0.25">
      <c r="A229" s="188"/>
      <c r="B229" s="221"/>
      <c r="C229" s="221"/>
      <c r="D229" s="222"/>
      <c r="E229" s="211"/>
      <c r="F229" s="214"/>
      <c r="G229" s="216"/>
      <c r="H229" s="221"/>
      <c r="I229" s="221"/>
      <c r="J229" s="222"/>
      <c r="K229" s="211"/>
      <c r="L229" s="214"/>
      <c r="M229" s="188"/>
    </row>
    <row r="230" spans="1:13" ht="18" customHeight="1" x14ac:dyDescent="0.25">
      <c r="A230" s="188"/>
      <c r="B230" s="221"/>
      <c r="C230" s="221"/>
      <c r="D230" s="222"/>
      <c r="E230" s="211"/>
      <c r="F230" s="214"/>
      <c r="G230" s="216"/>
      <c r="H230" s="221"/>
      <c r="I230" s="221"/>
      <c r="J230" s="222"/>
      <c r="K230" s="211"/>
      <c r="L230" s="214"/>
      <c r="M230" s="188"/>
    </row>
    <row r="231" spans="1:13" ht="18" customHeight="1" x14ac:dyDescent="0.25">
      <c r="A231" s="188"/>
      <c r="B231" s="221"/>
      <c r="C231" s="221"/>
      <c r="D231" s="222"/>
      <c r="E231" s="211"/>
      <c r="F231" s="214"/>
      <c r="G231" s="216"/>
      <c r="H231" s="221"/>
      <c r="I231" s="221"/>
      <c r="J231" s="222"/>
      <c r="K231" s="211"/>
      <c r="L231" s="214"/>
      <c r="M231" s="188"/>
    </row>
    <row r="232" spans="1:13" ht="18" customHeight="1" x14ac:dyDescent="0.25">
      <c r="A232" s="188"/>
      <c r="B232" s="221"/>
      <c r="C232" s="221"/>
      <c r="D232" s="222"/>
      <c r="E232" s="211"/>
      <c r="F232" s="214"/>
      <c r="G232" s="216"/>
      <c r="H232" s="221"/>
      <c r="I232" s="221"/>
      <c r="J232" s="222"/>
      <c r="K232" s="211"/>
      <c r="L232" s="214"/>
      <c r="M232" s="188"/>
    </row>
    <row r="233" spans="1:13" ht="18" customHeight="1" x14ac:dyDescent="0.25">
      <c r="A233" s="188"/>
      <c r="B233" s="221"/>
      <c r="C233" s="221"/>
      <c r="D233" s="222"/>
      <c r="E233" s="211"/>
      <c r="F233" s="214"/>
      <c r="G233" s="216"/>
      <c r="H233" s="221"/>
      <c r="I233" s="221"/>
      <c r="J233" s="222"/>
      <c r="K233" s="211"/>
      <c r="L233" s="214"/>
      <c r="M233" s="188"/>
    </row>
    <row r="234" spans="1:13" ht="18" customHeight="1" x14ac:dyDescent="0.25">
      <c r="A234" s="188"/>
      <c r="B234" s="221"/>
      <c r="C234" s="221"/>
      <c r="D234" s="222"/>
      <c r="E234" s="211"/>
      <c r="F234" s="214"/>
      <c r="G234" s="216"/>
      <c r="H234" s="221"/>
      <c r="I234" s="221"/>
      <c r="J234" s="222"/>
      <c r="K234" s="211"/>
      <c r="L234" s="214"/>
      <c r="M234" s="188"/>
    </row>
    <row r="235" spans="1:13" ht="18" customHeight="1" x14ac:dyDescent="0.25">
      <c r="A235" s="188"/>
      <c r="B235" s="221"/>
      <c r="C235" s="221"/>
      <c r="D235" s="222"/>
      <c r="E235" s="211"/>
      <c r="F235" s="214"/>
      <c r="G235" s="216"/>
      <c r="H235" s="221"/>
      <c r="I235" s="221"/>
      <c r="J235" s="222"/>
      <c r="K235" s="211"/>
      <c r="L235" s="214"/>
      <c r="M235" s="188"/>
    </row>
    <row r="236" spans="1:13" ht="18" customHeight="1" x14ac:dyDescent="0.25">
      <c r="A236" s="188"/>
      <c r="B236" s="221"/>
      <c r="C236" s="221"/>
      <c r="D236" s="222"/>
      <c r="E236" s="211"/>
      <c r="F236" s="214"/>
      <c r="G236" s="216"/>
      <c r="H236" s="221"/>
      <c r="I236" s="221"/>
      <c r="J236" s="222"/>
      <c r="K236" s="211"/>
      <c r="L236" s="214"/>
      <c r="M236" s="188"/>
    </row>
    <row r="237" spans="1:13" ht="18" customHeight="1" x14ac:dyDescent="0.25">
      <c r="A237" s="188"/>
      <c r="B237" s="221"/>
      <c r="C237" s="221"/>
      <c r="D237" s="222"/>
      <c r="E237" s="211"/>
      <c r="F237" s="214"/>
      <c r="G237" s="216"/>
      <c r="H237" s="221"/>
      <c r="I237" s="221"/>
      <c r="J237" s="222"/>
      <c r="K237" s="211"/>
      <c r="L237" s="214"/>
      <c r="M237" s="188"/>
    </row>
    <row r="238" spans="1:13" ht="18" customHeight="1" x14ac:dyDescent="0.25">
      <c r="A238" s="188"/>
      <c r="B238" s="221"/>
      <c r="C238" s="221"/>
      <c r="D238" s="222"/>
      <c r="E238" s="211"/>
      <c r="F238" s="214"/>
      <c r="G238" s="216"/>
      <c r="H238" s="221"/>
      <c r="I238" s="221"/>
      <c r="J238" s="222"/>
      <c r="K238" s="211"/>
      <c r="L238" s="214"/>
      <c r="M238" s="188"/>
    </row>
    <row r="239" spans="1:13" ht="18" customHeight="1" x14ac:dyDescent="0.25">
      <c r="A239" s="188"/>
      <c r="B239" s="221"/>
      <c r="C239" s="221"/>
      <c r="D239" s="222"/>
      <c r="E239" s="211"/>
      <c r="F239" s="214"/>
      <c r="G239" s="216"/>
      <c r="H239" s="221"/>
      <c r="I239" s="221"/>
      <c r="J239" s="222"/>
      <c r="K239" s="211"/>
      <c r="L239" s="214"/>
      <c r="M239" s="188"/>
    </row>
    <row r="240" spans="1:13" ht="18" customHeight="1" x14ac:dyDescent="0.25">
      <c r="A240" s="188"/>
      <c r="B240" s="221"/>
      <c r="C240" s="221"/>
      <c r="D240" s="222"/>
      <c r="E240" s="211"/>
      <c r="F240" s="214"/>
      <c r="G240" s="216"/>
      <c r="H240" s="221"/>
      <c r="I240" s="221"/>
      <c r="J240" s="222"/>
      <c r="K240" s="211"/>
      <c r="L240" s="214"/>
      <c r="M240" s="188"/>
    </row>
    <row r="241" spans="1:13" ht="18" customHeight="1" x14ac:dyDescent="0.25">
      <c r="A241" s="188"/>
      <c r="B241" s="221"/>
      <c r="C241" s="221"/>
      <c r="D241" s="222"/>
      <c r="E241" s="211"/>
      <c r="F241" s="214"/>
      <c r="G241" s="216"/>
      <c r="H241" s="221"/>
      <c r="I241" s="221"/>
      <c r="J241" s="222"/>
      <c r="K241" s="211"/>
      <c r="L241" s="214"/>
      <c r="M241" s="188"/>
    </row>
    <row r="242" spans="1:13" ht="18" customHeight="1" x14ac:dyDescent="0.25">
      <c r="A242" s="188"/>
      <c r="B242" s="221"/>
      <c r="C242" s="221"/>
      <c r="D242" s="222"/>
      <c r="E242" s="211"/>
      <c r="F242" s="214"/>
      <c r="G242" s="216"/>
      <c r="H242" s="221"/>
      <c r="I242" s="221"/>
      <c r="J242" s="222"/>
      <c r="K242" s="211"/>
      <c r="L242" s="214"/>
      <c r="M242" s="188"/>
    </row>
    <row r="243" spans="1:13" ht="18" customHeight="1" x14ac:dyDescent="0.25">
      <c r="A243" s="188"/>
      <c r="B243" s="221"/>
      <c r="C243" s="221"/>
      <c r="D243" s="222"/>
      <c r="E243" s="211"/>
      <c r="F243" s="214"/>
      <c r="G243" s="216"/>
      <c r="H243" s="221"/>
      <c r="I243" s="221"/>
      <c r="J243" s="222"/>
      <c r="K243" s="211"/>
      <c r="L243" s="214"/>
      <c r="M243" s="188"/>
    </row>
    <row r="244" spans="1:13" ht="18" customHeight="1" x14ac:dyDescent="0.25">
      <c r="A244" s="188"/>
      <c r="B244" s="221"/>
      <c r="C244" s="221"/>
      <c r="D244" s="222"/>
      <c r="E244" s="211"/>
      <c r="F244" s="214"/>
      <c r="G244" s="216"/>
      <c r="H244" s="221"/>
      <c r="I244" s="221"/>
      <c r="J244" s="222"/>
      <c r="K244" s="211"/>
      <c r="L244" s="214"/>
      <c r="M244" s="188"/>
    </row>
    <row r="245" spans="1:13" ht="15.75" customHeight="1" x14ac:dyDescent="0.25"/>
    <row r="246" spans="1:13" ht="15.75" customHeight="1" x14ac:dyDescent="0.25"/>
    <row r="247" spans="1:13" ht="15.75" customHeight="1" x14ac:dyDescent="0.25"/>
    <row r="248" spans="1:13" ht="15.75" customHeight="1" x14ac:dyDescent="0.25"/>
    <row r="249" spans="1:13" ht="15.75" customHeight="1" x14ac:dyDescent="0.25"/>
    <row r="250" spans="1:13" ht="15.75" customHeight="1" x14ac:dyDescent="0.25"/>
    <row r="251" spans="1:13" ht="15.75" customHeight="1" x14ac:dyDescent="0.25"/>
    <row r="252" spans="1:13" ht="15.75" customHeight="1" x14ac:dyDescent="0.25"/>
    <row r="253" spans="1:13" ht="15.75" customHeight="1" x14ac:dyDescent="0.25"/>
    <row r="254" spans="1:13" ht="15.75" customHeight="1" x14ac:dyDescent="0.25"/>
    <row r="255" spans="1:13" ht="15.75" customHeight="1" x14ac:dyDescent="0.25"/>
    <row r="256" spans="1:1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1">
    <mergeCell ref="B26:C26"/>
    <mergeCell ref="B25:C25"/>
    <mergeCell ref="H15:L15"/>
    <mergeCell ref="H13:L13"/>
    <mergeCell ref="H14:L14"/>
    <mergeCell ref="H16:L16"/>
    <mergeCell ref="B42:C42"/>
    <mergeCell ref="B41:C41"/>
    <mergeCell ref="B40:C40"/>
    <mergeCell ref="B39:C39"/>
    <mergeCell ref="B38:C38"/>
    <mergeCell ref="H41:I41"/>
    <mergeCell ref="H42:I42"/>
    <mergeCell ref="H43:I43"/>
    <mergeCell ref="H44:I44"/>
    <mergeCell ref="H30:I30"/>
    <mergeCell ref="H31:I31"/>
    <mergeCell ref="H32:I32"/>
    <mergeCell ref="H33:I33"/>
    <mergeCell ref="H34:I34"/>
    <mergeCell ref="H35:I35"/>
    <mergeCell ref="H36:I36"/>
    <mergeCell ref="B35:C35"/>
    <mergeCell ref="H37:I37"/>
    <mergeCell ref="H38:I38"/>
    <mergeCell ref="H39:I39"/>
    <mergeCell ref="H40:I40"/>
    <mergeCell ref="B37:C37"/>
    <mergeCell ref="B36:C36"/>
    <mergeCell ref="B30:C30"/>
    <mergeCell ref="B31:C31"/>
    <mergeCell ref="B32:C32"/>
    <mergeCell ref="B33:C33"/>
    <mergeCell ref="B34:C34"/>
    <mergeCell ref="B27:C27"/>
    <mergeCell ref="H27:I27"/>
    <mergeCell ref="B28:C28"/>
    <mergeCell ref="H28:I28"/>
    <mergeCell ref="H29:I29"/>
    <mergeCell ref="B29:C29"/>
    <mergeCell ref="D22:F22"/>
    <mergeCell ref="J22:L22"/>
    <mergeCell ref="J23:L23"/>
    <mergeCell ref="D23:F23"/>
    <mergeCell ref="B24:C24"/>
    <mergeCell ref="I17:K17"/>
    <mergeCell ref="B20:F20"/>
    <mergeCell ref="D21:F21"/>
    <mergeCell ref="J21:L21"/>
    <mergeCell ref="J8:K8"/>
    <mergeCell ref="D12:D15"/>
    <mergeCell ref="E12:E15"/>
    <mergeCell ref="B8:F9"/>
    <mergeCell ref="B2:H2"/>
    <mergeCell ref="I2:L2"/>
    <mergeCell ref="B3:G4"/>
    <mergeCell ref="I3:L3"/>
    <mergeCell ref="I4:M5"/>
    <mergeCell ref="B5:G6"/>
    <mergeCell ref="B43:C43"/>
    <mergeCell ref="B44:C44"/>
  </mergeCells>
  <conditionalFormatting sqref="B27:C1000 H27:H1000">
    <cfRule type="notContainsBlanks" dxfId="49" priority="1">
      <formula>LEN(TRIM(B27))&gt;0</formula>
    </cfRule>
  </conditionalFormatting>
  <conditionalFormatting sqref="D27:D1000">
    <cfRule type="expression" dxfId="48" priority="2">
      <formula>NOT(ISBLANK(B27))</formula>
    </cfRule>
  </conditionalFormatting>
  <conditionalFormatting sqref="F26:F1000 L26:L1000 E28:E42">
    <cfRule type="cellIs" dxfId="47" priority="4" operator="lessThan">
      <formula>0</formula>
    </cfRule>
  </conditionalFormatting>
  <conditionalFormatting sqref="F27:F1000 L27:L1000 E28:E42">
    <cfRule type="cellIs" dxfId="46" priority="5" operator="equal">
      <formula>0</formula>
    </cfRule>
  </conditionalFormatting>
  <conditionalFormatting sqref="J27:J1000">
    <cfRule type="expression" dxfId="45" priority="3">
      <formula>NOT(ISBLANK(H27))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outlinePr summaryBelow="0" summaryRight="0"/>
  </sheetPr>
  <dimension ref="A1:K1000"/>
  <sheetViews>
    <sheetView showGridLines="0" workbookViewId="0">
      <selection activeCell="L9" sqref="L9"/>
    </sheetView>
  </sheetViews>
  <sheetFormatPr defaultColWidth="12.6640625" defaultRowHeight="15" customHeight="1" x14ac:dyDescent="0.25"/>
  <cols>
    <col min="1" max="1" width="5.109375" customWidth="1"/>
    <col min="2" max="2" width="10.44140625" customWidth="1"/>
    <col min="3" max="3" width="10" customWidth="1"/>
    <col min="4" max="4" width="15.88671875" customWidth="1"/>
    <col min="5" max="5" width="19.44140625" customWidth="1"/>
    <col min="6" max="6" width="5.109375" customWidth="1"/>
    <col min="9" max="9" width="13.21875" customWidth="1"/>
    <col min="11" max="11" width="5.109375" customWidth="1"/>
  </cols>
  <sheetData>
    <row r="1" spans="1:11" ht="33" customHeight="1" x14ac:dyDescent="0.25">
      <c r="A1" s="223"/>
      <c r="B1" s="294" t="s">
        <v>60</v>
      </c>
      <c r="C1" s="266"/>
      <c r="D1" s="266"/>
      <c r="E1" s="266"/>
      <c r="F1" s="266"/>
      <c r="G1" s="266"/>
      <c r="H1" s="266"/>
      <c r="I1" s="266"/>
      <c r="J1" s="266"/>
      <c r="K1" s="223"/>
    </row>
    <row r="2" spans="1:11" ht="48" customHeight="1" x14ac:dyDescent="0.45">
      <c r="A2" s="224"/>
      <c r="B2" s="225" t="s">
        <v>10</v>
      </c>
      <c r="C2" s="226"/>
      <c r="D2" s="227"/>
      <c r="E2" s="227"/>
      <c r="F2" s="227"/>
      <c r="G2" s="225" t="s">
        <v>9</v>
      </c>
      <c r="H2" s="228"/>
      <c r="I2" s="224"/>
      <c r="J2" s="224"/>
      <c r="K2" s="224"/>
    </row>
    <row r="3" spans="1:11" ht="12" customHeight="1" x14ac:dyDescent="0.3">
      <c r="A3" s="13"/>
      <c r="B3" s="229"/>
      <c r="C3" s="230"/>
      <c r="D3" s="229"/>
      <c r="E3" s="229"/>
      <c r="F3" s="13"/>
      <c r="G3" s="229"/>
      <c r="H3" s="231"/>
      <c r="I3" s="229"/>
      <c r="J3" s="229"/>
      <c r="K3" s="13"/>
    </row>
    <row r="4" spans="1:11" ht="24" customHeight="1" x14ac:dyDescent="0.25">
      <c r="A4" s="19"/>
      <c r="B4" s="232" t="s">
        <v>61</v>
      </c>
      <c r="C4" s="232" t="s">
        <v>62</v>
      </c>
      <c r="D4" s="232" t="s">
        <v>63</v>
      </c>
      <c r="E4" s="232" t="s">
        <v>64</v>
      </c>
      <c r="F4" s="19"/>
      <c r="G4" s="232" t="s">
        <v>61</v>
      </c>
      <c r="H4" s="232" t="s">
        <v>62</v>
      </c>
      <c r="I4" s="232" t="s">
        <v>63</v>
      </c>
      <c r="J4" s="232" t="s">
        <v>64</v>
      </c>
      <c r="K4" s="19"/>
    </row>
    <row r="5" spans="1:11" ht="19.5" customHeight="1" x14ac:dyDescent="0.25">
      <c r="A5" s="19"/>
      <c r="B5" s="233"/>
      <c r="C5" s="234"/>
      <c r="D5" s="235"/>
      <c r="E5" s="236"/>
      <c r="F5" s="19"/>
      <c r="G5" s="233"/>
      <c r="H5" s="234"/>
      <c r="I5" s="237"/>
      <c r="J5" s="236"/>
      <c r="K5" s="19"/>
    </row>
    <row r="6" spans="1:11" ht="19.5" customHeight="1" x14ac:dyDescent="0.25">
      <c r="A6" s="19"/>
      <c r="B6" s="233"/>
      <c r="C6" s="238"/>
      <c r="D6" s="239"/>
      <c r="E6" s="240"/>
      <c r="F6" s="19"/>
      <c r="G6" s="233"/>
      <c r="H6" s="238"/>
      <c r="I6" s="241"/>
      <c r="J6" s="240"/>
      <c r="K6" s="19"/>
    </row>
    <row r="7" spans="1:11" ht="19.5" customHeight="1" x14ac:dyDescent="0.25">
      <c r="A7" s="19"/>
      <c r="B7" s="233"/>
      <c r="C7" s="238"/>
      <c r="D7" s="239"/>
      <c r="E7" s="240"/>
      <c r="F7" s="19"/>
      <c r="G7" s="242"/>
      <c r="H7" s="238"/>
      <c r="I7" s="241"/>
      <c r="J7" s="240"/>
      <c r="K7" s="19"/>
    </row>
    <row r="8" spans="1:11" ht="19.5" customHeight="1" x14ac:dyDescent="0.25">
      <c r="A8" s="19"/>
      <c r="B8" s="233"/>
      <c r="C8" s="238"/>
      <c r="D8" s="239"/>
      <c r="E8" s="240"/>
      <c r="F8" s="19"/>
      <c r="G8" s="242"/>
      <c r="H8" s="238"/>
      <c r="I8" s="241"/>
      <c r="J8" s="240"/>
      <c r="K8" s="19"/>
    </row>
    <row r="9" spans="1:11" ht="19.5" customHeight="1" x14ac:dyDescent="0.25">
      <c r="A9" s="19"/>
      <c r="B9" s="233"/>
      <c r="C9" s="238"/>
      <c r="D9" s="239"/>
      <c r="E9" s="240"/>
      <c r="F9" s="19"/>
      <c r="G9" s="242"/>
      <c r="H9" s="238"/>
      <c r="I9" s="241"/>
      <c r="J9" s="240"/>
      <c r="K9" s="19"/>
    </row>
    <row r="10" spans="1:11" ht="19.5" customHeight="1" x14ac:dyDescent="0.25">
      <c r="A10" s="19"/>
      <c r="B10" s="233"/>
      <c r="C10" s="238"/>
      <c r="D10" s="239"/>
      <c r="E10" s="240"/>
      <c r="F10" s="19"/>
      <c r="G10" s="242"/>
      <c r="H10" s="238"/>
      <c r="I10" s="241"/>
      <c r="J10" s="240"/>
      <c r="K10" s="19"/>
    </row>
    <row r="11" spans="1:11" ht="19.5" customHeight="1" x14ac:dyDescent="0.25">
      <c r="A11" s="19"/>
      <c r="B11" s="233"/>
      <c r="C11" s="238"/>
      <c r="D11" s="239"/>
      <c r="E11" s="240"/>
      <c r="F11" s="19"/>
      <c r="G11" s="242"/>
      <c r="H11" s="238"/>
      <c r="I11" s="241"/>
      <c r="J11" s="240"/>
      <c r="K11" s="19"/>
    </row>
    <row r="12" spans="1:11" ht="19.5" customHeight="1" x14ac:dyDescent="0.25">
      <c r="A12" s="19"/>
      <c r="B12" s="233"/>
      <c r="C12" s="238"/>
      <c r="D12" s="239"/>
      <c r="E12" s="240"/>
      <c r="F12" s="19"/>
      <c r="G12" s="242"/>
      <c r="H12" s="238"/>
      <c r="I12" s="241"/>
      <c r="J12" s="240"/>
      <c r="K12" s="19"/>
    </row>
    <row r="13" spans="1:11" ht="19.5" customHeight="1" x14ac:dyDescent="0.25">
      <c r="A13" s="19"/>
      <c r="B13" s="233"/>
      <c r="C13" s="238"/>
      <c r="D13" s="239"/>
      <c r="E13" s="240"/>
      <c r="F13" s="19"/>
      <c r="G13" s="242"/>
      <c r="H13" s="238"/>
      <c r="I13" s="241"/>
      <c r="J13" s="240"/>
      <c r="K13" s="19"/>
    </row>
    <row r="14" spans="1:11" ht="19.5" customHeight="1" x14ac:dyDescent="0.25">
      <c r="A14" s="19"/>
      <c r="B14" s="233"/>
      <c r="C14" s="238"/>
      <c r="D14" s="239"/>
      <c r="E14" s="240"/>
      <c r="F14" s="19"/>
      <c r="G14" s="242"/>
      <c r="H14" s="238"/>
      <c r="I14" s="241"/>
      <c r="J14" s="240"/>
      <c r="K14" s="19"/>
    </row>
    <row r="15" spans="1:11" ht="19.5" customHeight="1" x14ac:dyDescent="0.25">
      <c r="A15" s="19"/>
      <c r="B15" s="233"/>
      <c r="C15" s="238"/>
      <c r="D15" s="239"/>
      <c r="E15" s="240"/>
      <c r="F15" s="19"/>
      <c r="G15" s="242"/>
      <c r="H15" s="238"/>
      <c r="I15" s="241"/>
      <c r="J15" s="240"/>
      <c r="K15" s="19"/>
    </row>
    <row r="16" spans="1:11" ht="19.5" customHeight="1" x14ac:dyDescent="0.25">
      <c r="A16" s="19"/>
      <c r="B16" s="233"/>
      <c r="C16" s="238"/>
      <c r="D16" s="239"/>
      <c r="E16" s="240"/>
      <c r="F16" s="19"/>
      <c r="G16" s="242"/>
      <c r="H16" s="238"/>
      <c r="I16" s="241"/>
      <c r="J16" s="240"/>
      <c r="K16" s="19"/>
    </row>
    <row r="17" spans="1:11" ht="19.5" customHeight="1" x14ac:dyDescent="0.25">
      <c r="A17" s="19"/>
      <c r="B17" s="233"/>
      <c r="C17" s="238"/>
      <c r="D17" s="239"/>
      <c r="E17" s="240"/>
      <c r="F17" s="19"/>
      <c r="G17" s="242"/>
      <c r="H17" s="238"/>
      <c r="I17" s="241"/>
      <c r="J17" s="240"/>
      <c r="K17" s="19"/>
    </row>
    <row r="18" spans="1:11" ht="19.5" customHeight="1" x14ac:dyDescent="0.25">
      <c r="A18" s="19"/>
      <c r="B18" s="242"/>
      <c r="C18" s="238"/>
      <c r="D18" s="239"/>
      <c r="E18" s="240"/>
      <c r="F18" s="19"/>
      <c r="G18" s="242"/>
      <c r="H18" s="238"/>
      <c r="I18" s="241"/>
      <c r="J18" s="240"/>
      <c r="K18" s="19"/>
    </row>
    <row r="19" spans="1:11" ht="19.5" customHeight="1" x14ac:dyDescent="0.25">
      <c r="A19" s="19"/>
      <c r="B19" s="242"/>
      <c r="C19" s="238"/>
      <c r="D19" s="239"/>
      <c r="E19" s="240"/>
      <c r="F19" s="19"/>
      <c r="G19" s="242"/>
      <c r="H19" s="238"/>
      <c r="I19" s="241"/>
      <c r="J19" s="240"/>
      <c r="K19" s="19"/>
    </row>
    <row r="20" spans="1:11" ht="19.5" customHeight="1" x14ac:dyDescent="0.25">
      <c r="A20" s="19"/>
      <c r="B20" s="242"/>
      <c r="C20" s="238"/>
      <c r="D20" s="239"/>
      <c r="E20" s="240"/>
      <c r="F20" s="19"/>
      <c r="G20" s="242"/>
      <c r="H20" s="238"/>
      <c r="I20" s="241"/>
      <c r="J20" s="240"/>
      <c r="K20" s="19"/>
    </row>
    <row r="21" spans="1:11" ht="19.5" customHeight="1" x14ac:dyDescent="0.25">
      <c r="A21" s="19"/>
      <c r="B21" s="242"/>
      <c r="C21" s="238"/>
      <c r="D21" s="239"/>
      <c r="E21" s="240"/>
      <c r="F21" s="19"/>
      <c r="G21" s="242"/>
      <c r="H21" s="238"/>
      <c r="I21" s="241"/>
      <c r="J21" s="240"/>
      <c r="K21" s="19"/>
    </row>
    <row r="22" spans="1:11" ht="19.5" customHeight="1" x14ac:dyDescent="0.25">
      <c r="A22" s="19"/>
      <c r="B22" s="242"/>
      <c r="C22" s="238"/>
      <c r="D22" s="239"/>
      <c r="E22" s="240"/>
      <c r="F22" s="19"/>
      <c r="G22" s="242"/>
      <c r="H22" s="238"/>
      <c r="I22" s="241"/>
      <c r="J22" s="240"/>
      <c r="K22" s="19"/>
    </row>
    <row r="23" spans="1:11" ht="19.5" customHeight="1" x14ac:dyDescent="0.25">
      <c r="A23" s="19"/>
      <c r="B23" s="242"/>
      <c r="C23" s="238"/>
      <c r="D23" s="239"/>
      <c r="E23" s="240"/>
      <c r="F23" s="19"/>
      <c r="G23" s="242"/>
      <c r="H23" s="238"/>
      <c r="I23" s="241"/>
      <c r="J23" s="240"/>
      <c r="K23" s="19"/>
    </row>
    <row r="24" spans="1:11" ht="19.5" customHeight="1" x14ac:dyDescent="0.25">
      <c r="A24" s="19"/>
      <c r="B24" s="242"/>
      <c r="C24" s="238"/>
      <c r="D24" s="239"/>
      <c r="E24" s="240"/>
      <c r="F24" s="19"/>
      <c r="G24" s="242"/>
      <c r="H24" s="238"/>
      <c r="I24" s="241"/>
      <c r="J24" s="240"/>
      <c r="K24" s="19"/>
    </row>
    <row r="25" spans="1:11" ht="19.5" customHeight="1" x14ac:dyDescent="0.25">
      <c r="A25" s="19"/>
      <c r="B25" s="243"/>
      <c r="C25" s="238"/>
      <c r="D25" s="239"/>
      <c r="E25" s="240"/>
      <c r="F25" s="19"/>
      <c r="G25" s="242"/>
      <c r="H25" s="238"/>
      <c r="I25" s="241"/>
      <c r="J25" s="240"/>
      <c r="K25" s="19"/>
    </row>
    <row r="26" spans="1:11" ht="19.5" customHeight="1" x14ac:dyDescent="0.25">
      <c r="A26" s="19"/>
      <c r="B26" s="243"/>
      <c r="C26" s="238"/>
      <c r="D26" s="239"/>
      <c r="E26" s="240"/>
      <c r="F26" s="19"/>
      <c r="G26" s="242"/>
      <c r="H26" s="238"/>
      <c r="I26" s="241"/>
      <c r="J26" s="240"/>
      <c r="K26" s="19"/>
    </row>
    <row r="27" spans="1:11" ht="19.5" customHeight="1" x14ac:dyDescent="0.25">
      <c r="A27" s="19"/>
      <c r="B27" s="244"/>
      <c r="C27" s="238"/>
      <c r="D27" s="239"/>
      <c r="E27" s="240"/>
      <c r="F27" s="19"/>
      <c r="G27" s="242"/>
      <c r="H27" s="238"/>
      <c r="I27" s="241"/>
      <c r="J27" s="240"/>
      <c r="K27" s="19"/>
    </row>
    <row r="28" spans="1:11" ht="19.5" customHeight="1" x14ac:dyDescent="0.25">
      <c r="A28" s="19"/>
      <c r="B28" s="244"/>
      <c r="C28" s="238"/>
      <c r="D28" s="239"/>
      <c r="E28" s="240"/>
      <c r="F28" s="19"/>
      <c r="G28" s="242"/>
      <c r="H28" s="238"/>
      <c r="I28" s="241"/>
      <c r="J28" s="240"/>
      <c r="K28" s="19"/>
    </row>
    <row r="29" spans="1:11" ht="19.5" customHeight="1" x14ac:dyDescent="0.25">
      <c r="A29" s="19"/>
      <c r="B29" s="233"/>
      <c r="C29" s="238"/>
      <c r="D29" s="239"/>
      <c r="E29" s="240"/>
      <c r="F29" s="19"/>
      <c r="G29" s="242"/>
      <c r="H29" s="238"/>
      <c r="I29" s="241"/>
      <c r="J29" s="240"/>
      <c r="K29" s="19"/>
    </row>
    <row r="30" spans="1:11" ht="19.5" customHeight="1" x14ac:dyDescent="0.25">
      <c r="A30" s="19"/>
      <c r="B30" s="233"/>
      <c r="C30" s="238"/>
      <c r="D30" s="239"/>
      <c r="E30" s="240"/>
      <c r="F30" s="19"/>
      <c r="G30" s="242"/>
      <c r="H30" s="238"/>
      <c r="I30" s="241"/>
      <c r="J30" s="240"/>
      <c r="K30" s="19"/>
    </row>
    <row r="31" spans="1:11" ht="19.5" customHeight="1" x14ac:dyDescent="0.25">
      <c r="A31" s="19"/>
      <c r="B31" s="233"/>
      <c r="C31" s="238"/>
      <c r="D31" s="239"/>
      <c r="E31" s="240"/>
      <c r="F31" s="19"/>
      <c r="G31" s="242"/>
      <c r="H31" s="238"/>
      <c r="I31" s="241"/>
      <c r="J31" s="240"/>
      <c r="K31" s="19"/>
    </row>
    <row r="32" spans="1:11" ht="19.5" customHeight="1" x14ac:dyDescent="0.25">
      <c r="A32" s="19"/>
      <c r="B32" s="233"/>
      <c r="C32" s="238"/>
      <c r="D32" s="239"/>
      <c r="E32" s="240"/>
      <c r="F32" s="19"/>
      <c r="G32" s="242"/>
      <c r="H32" s="238"/>
      <c r="I32" s="241"/>
      <c r="J32" s="240"/>
      <c r="K32" s="19"/>
    </row>
    <row r="33" spans="1:11" ht="19.5" customHeight="1" x14ac:dyDescent="0.25">
      <c r="A33" s="19"/>
      <c r="B33" s="233"/>
      <c r="C33" s="238"/>
      <c r="D33" s="239"/>
      <c r="E33" s="240"/>
      <c r="F33" s="19"/>
      <c r="G33" s="242"/>
      <c r="H33" s="238"/>
      <c r="I33" s="241"/>
      <c r="J33" s="240"/>
      <c r="K33" s="19"/>
    </row>
    <row r="34" spans="1:11" ht="19.5" customHeight="1" x14ac:dyDescent="0.25">
      <c r="A34" s="19"/>
      <c r="B34" s="233"/>
      <c r="C34" s="238"/>
      <c r="D34" s="239"/>
      <c r="E34" s="240"/>
      <c r="F34" s="19"/>
      <c r="G34" s="242"/>
      <c r="H34" s="238"/>
      <c r="I34" s="241"/>
      <c r="J34" s="240"/>
      <c r="K34" s="19"/>
    </row>
    <row r="35" spans="1:11" ht="19.5" customHeight="1" x14ac:dyDescent="0.25">
      <c r="A35" s="19"/>
      <c r="B35" s="233"/>
      <c r="C35" s="238"/>
      <c r="D35" s="239"/>
      <c r="E35" s="240"/>
      <c r="F35" s="19"/>
      <c r="G35" s="242"/>
      <c r="H35" s="238"/>
      <c r="I35" s="241"/>
      <c r="J35" s="240"/>
      <c r="K35" s="19"/>
    </row>
    <row r="36" spans="1:11" ht="19.5" customHeight="1" x14ac:dyDescent="0.25">
      <c r="A36" s="19"/>
      <c r="B36" s="233"/>
      <c r="C36" s="238"/>
      <c r="D36" s="239"/>
      <c r="E36" s="240"/>
      <c r="F36" s="19"/>
      <c r="G36" s="242"/>
      <c r="H36" s="238"/>
      <c r="I36" s="241"/>
      <c r="J36" s="240"/>
      <c r="K36" s="19"/>
    </row>
    <row r="37" spans="1:11" ht="19.5" customHeight="1" x14ac:dyDescent="0.25">
      <c r="A37" s="19"/>
      <c r="B37" s="233"/>
      <c r="C37" s="238"/>
      <c r="D37" s="239"/>
      <c r="E37" s="240"/>
      <c r="F37" s="19"/>
      <c r="G37" s="242"/>
      <c r="H37" s="238"/>
      <c r="I37" s="241"/>
      <c r="J37" s="240"/>
      <c r="K37" s="19"/>
    </row>
    <row r="38" spans="1:11" ht="19.5" customHeight="1" x14ac:dyDescent="0.25">
      <c r="A38" s="19"/>
      <c r="B38" s="233"/>
      <c r="C38" s="238"/>
      <c r="D38" s="239"/>
      <c r="E38" s="240"/>
      <c r="F38" s="19"/>
      <c r="G38" s="242"/>
      <c r="H38" s="238"/>
      <c r="I38" s="241"/>
      <c r="J38" s="240"/>
      <c r="K38" s="19"/>
    </row>
    <row r="39" spans="1:11" ht="19.5" customHeight="1" x14ac:dyDescent="0.25">
      <c r="A39" s="19"/>
      <c r="B39" s="233"/>
      <c r="C39" s="238"/>
      <c r="D39" s="239"/>
      <c r="E39" s="240"/>
      <c r="F39" s="19"/>
      <c r="G39" s="242"/>
      <c r="H39" s="238"/>
      <c r="I39" s="241"/>
      <c r="J39" s="240"/>
      <c r="K39" s="19"/>
    </row>
    <row r="40" spans="1:11" ht="19.5" customHeight="1" x14ac:dyDescent="0.25">
      <c r="A40" s="19"/>
      <c r="B40" s="233"/>
      <c r="C40" s="238"/>
      <c r="D40" s="239"/>
      <c r="E40" s="240"/>
      <c r="F40" s="19"/>
      <c r="G40" s="242"/>
      <c r="H40" s="238"/>
      <c r="I40" s="241"/>
      <c r="J40" s="240"/>
      <c r="K40" s="19"/>
    </row>
    <row r="41" spans="1:11" ht="19.5" customHeight="1" x14ac:dyDescent="0.25">
      <c r="A41" s="19"/>
      <c r="B41" s="233"/>
      <c r="C41" s="238"/>
      <c r="D41" s="239"/>
      <c r="E41" s="240"/>
      <c r="F41" s="19"/>
      <c r="G41" s="242"/>
      <c r="H41" s="238"/>
      <c r="I41" s="241"/>
      <c r="J41" s="240"/>
      <c r="K41" s="19"/>
    </row>
    <row r="42" spans="1:11" ht="19.5" customHeight="1" x14ac:dyDescent="0.25">
      <c r="A42" s="19"/>
      <c r="B42" s="233"/>
      <c r="C42" s="238"/>
      <c r="D42" s="239"/>
      <c r="E42" s="240"/>
      <c r="F42" s="19"/>
      <c r="G42" s="242"/>
      <c r="H42" s="238"/>
      <c r="I42" s="241"/>
      <c r="J42" s="240"/>
      <c r="K42" s="19"/>
    </row>
    <row r="43" spans="1:11" ht="19.5" customHeight="1" x14ac:dyDescent="0.25">
      <c r="A43" s="19"/>
      <c r="B43" s="233"/>
      <c r="C43" s="238"/>
      <c r="D43" s="239"/>
      <c r="E43" s="240"/>
      <c r="F43" s="19"/>
      <c r="G43" s="242"/>
      <c r="H43" s="238"/>
      <c r="I43" s="241"/>
      <c r="J43" s="240"/>
      <c r="K43" s="19"/>
    </row>
    <row r="44" spans="1:11" ht="19.5" customHeight="1" x14ac:dyDescent="0.25">
      <c r="A44" s="19"/>
      <c r="B44" s="233"/>
      <c r="C44" s="238"/>
      <c r="D44" s="239"/>
      <c r="E44" s="240"/>
      <c r="F44" s="19"/>
      <c r="G44" s="242"/>
      <c r="H44" s="238"/>
      <c r="I44" s="241"/>
      <c r="J44" s="240"/>
      <c r="K44" s="19"/>
    </row>
    <row r="45" spans="1:11" ht="19.5" customHeight="1" x14ac:dyDescent="0.25">
      <c r="A45" s="19"/>
      <c r="B45" s="233"/>
      <c r="C45" s="238"/>
      <c r="D45" s="239"/>
      <c r="E45" s="240"/>
      <c r="F45" s="19"/>
      <c r="G45" s="242"/>
      <c r="H45" s="238"/>
      <c r="I45" s="241"/>
      <c r="J45" s="240"/>
      <c r="K45" s="19"/>
    </row>
    <row r="46" spans="1:11" ht="19.5" customHeight="1" x14ac:dyDescent="0.25">
      <c r="A46" s="19"/>
      <c r="B46" s="233"/>
      <c r="C46" s="238"/>
      <c r="D46" s="239"/>
      <c r="E46" s="240"/>
      <c r="F46" s="19"/>
      <c r="G46" s="242"/>
      <c r="H46" s="238"/>
      <c r="I46" s="241"/>
      <c r="J46" s="240"/>
      <c r="K46" s="19"/>
    </row>
    <row r="47" spans="1:11" ht="19.5" customHeight="1" x14ac:dyDescent="0.25">
      <c r="A47" s="19"/>
      <c r="B47" s="233"/>
      <c r="C47" s="238"/>
      <c r="D47" s="239"/>
      <c r="E47" s="240"/>
      <c r="F47" s="19"/>
      <c r="G47" s="242"/>
      <c r="H47" s="238"/>
      <c r="I47" s="241"/>
      <c r="J47" s="240"/>
      <c r="K47" s="19"/>
    </row>
    <row r="48" spans="1:11" ht="19.5" customHeight="1" x14ac:dyDescent="0.25">
      <c r="A48" s="19"/>
      <c r="B48" s="233"/>
      <c r="C48" s="238"/>
      <c r="D48" s="239"/>
      <c r="E48" s="240"/>
      <c r="F48" s="19"/>
      <c r="G48" s="242"/>
      <c r="H48" s="238"/>
      <c r="I48" s="241"/>
      <c r="J48" s="240"/>
      <c r="K48" s="19"/>
    </row>
    <row r="49" spans="1:11" ht="19.5" customHeight="1" x14ac:dyDescent="0.25">
      <c r="A49" s="19"/>
      <c r="B49" s="233"/>
      <c r="C49" s="238"/>
      <c r="D49" s="239"/>
      <c r="E49" s="240"/>
      <c r="F49" s="19"/>
      <c r="G49" s="242"/>
      <c r="H49" s="238"/>
      <c r="I49" s="241"/>
      <c r="J49" s="240"/>
      <c r="K49" s="19"/>
    </row>
    <row r="50" spans="1:11" ht="19.5" customHeight="1" x14ac:dyDescent="0.25">
      <c r="A50" s="19"/>
      <c r="B50" s="233"/>
      <c r="C50" s="238"/>
      <c r="D50" s="239"/>
      <c r="E50" s="240"/>
      <c r="F50" s="19"/>
      <c r="G50" s="242"/>
      <c r="H50" s="238"/>
      <c r="I50" s="241"/>
      <c r="J50" s="240"/>
      <c r="K50" s="19"/>
    </row>
    <row r="51" spans="1:11" ht="19.5" customHeight="1" x14ac:dyDescent="0.25">
      <c r="A51" s="19"/>
      <c r="B51" s="233"/>
      <c r="C51" s="238"/>
      <c r="D51" s="239"/>
      <c r="E51" s="240"/>
      <c r="F51" s="19"/>
      <c r="G51" s="242"/>
      <c r="H51" s="238"/>
      <c r="I51" s="241"/>
      <c r="J51" s="240"/>
      <c r="K51" s="19"/>
    </row>
    <row r="52" spans="1:11" ht="19.5" customHeight="1" x14ac:dyDescent="0.25">
      <c r="A52" s="19"/>
      <c r="B52" s="233"/>
      <c r="C52" s="238"/>
      <c r="D52" s="239"/>
      <c r="E52" s="240"/>
      <c r="F52" s="19"/>
      <c r="G52" s="242"/>
      <c r="H52" s="238"/>
      <c r="I52" s="241"/>
      <c r="J52" s="240"/>
      <c r="K52" s="19"/>
    </row>
    <row r="53" spans="1:11" ht="19.5" customHeight="1" x14ac:dyDescent="0.25">
      <c r="A53" s="19"/>
      <c r="B53" s="233"/>
      <c r="C53" s="238"/>
      <c r="D53" s="239"/>
      <c r="E53" s="240"/>
      <c r="F53" s="19"/>
      <c r="G53" s="242"/>
      <c r="H53" s="238"/>
      <c r="I53" s="241"/>
      <c r="J53" s="240"/>
      <c r="K53" s="19"/>
    </row>
    <row r="54" spans="1:11" ht="19.5" customHeight="1" x14ac:dyDescent="0.25">
      <c r="A54" s="19"/>
      <c r="B54" s="233"/>
      <c r="C54" s="238"/>
      <c r="D54" s="239"/>
      <c r="E54" s="240"/>
      <c r="F54" s="19"/>
      <c r="G54" s="242"/>
      <c r="H54" s="238"/>
      <c r="I54" s="241"/>
      <c r="J54" s="240"/>
      <c r="K54" s="19"/>
    </row>
    <row r="55" spans="1:11" ht="19.5" customHeight="1" x14ac:dyDescent="0.25">
      <c r="A55" s="19"/>
      <c r="B55" s="233"/>
      <c r="C55" s="238"/>
      <c r="D55" s="239"/>
      <c r="E55" s="240"/>
      <c r="F55" s="19"/>
      <c r="G55" s="242"/>
      <c r="H55" s="238"/>
      <c r="I55" s="241"/>
      <c r="J55" s="240"/>
      <c r="K55" s="19"/>
    </row>
    <row r="56" spans="1:11" ht="19.5" customHeight="1" x14ac:dyDescent="0.25">
      <c r="A56" s="19"/>
      <c r="B56" s="233"/>
      <c r="C56" s="238"/>
      <c r="D56" s="239"/>
      <c r="E56" s="240"/>
      <c r="F56" s="19"/>
      <c r="G56" s="242"/>
      <c r="H56" s="238"/>
      <c r="I56" s="241"/>
      <c r="J56" s="240"/>
      <c r="K56" s="19"/>
    </row>
    <row r="57" spans="1:11" ht="19.5" customHeight="1" x14ac:dyDescent="0.25">
      <c r="A57" s="19"/>
      <c r="B57" s="233"/>
      <c r="C57" s="238"/>
      <c r="D57" s="239"/>
      <c r="E57" s="240"/>
      <c r="F57" s="19"/>
      <c r="G57" s="242"/>
      <c r="H57" s="238"/>
      <c r="I57" s="241"/>
      <c r="J57" s="240"/>
      <c r="K57" s="19"/>
    </row>
    <row r="58" spans="1:11" ht="19.5" customHeight="1" x14ac:dyDescent="0.25">
      <c r="A58" s="19"/>
      <c r="B58" s="233"/>
      <c r="C58" s="238"/>
      <c r="D58" s="239"/>
      <c r="E58" s="240"/>
      <c r="F58" s="19"/>
      <c r="G58" s="242"/>
      <c r="H58" s="238"/>
      <c r="I58" s="241"/>
      <c r="J58" s="240"/>
      <c r="K58" s="19"/>
    </row>
    <row r="59" spans="1:11" ht="19.5" customHeight="1" x14ac:dyDescent="0.25">
      <c r="A59" s="19"/>
      <c r="B59" s="233"/>
      <c r="C59" s="238"/>
      <c r="D59" s="239"/>
      <c r="E59" s="240"/>
      <c r="F59" s="19"/>
      <c r="G59" s="242"/>
      <c r="H59" s="238"/>
      <c r="I59" s="241"/>
      <c r="J59" s="240"/>
      <c r="K59" s="19"/>
    </row>
    <row r="60" spans="1:11" ht="19.5" customHeight="1" x14ac:dyDescent="0.25">
      <c r="A60" s="19"/>
      <c r="B60" s="233"/>
      <c r="C60" s="238"/>
      <c r="D60" s="239"/>
      <c r="E60" s="240"/>
      <c r="F60" s="19"/>
      <c r="G60" s="242"/>
      <c r="H60" s="238"/>
      <c r="I60" s="241"/>
      <c r="J60" s="240"/>
      <c r="K60" s="19"/>
    </row>
    <row r="61" spans="1:11" ht="19.5" customHeight="1" x14ac:dyDescent="0.25">
      <c r="A61" s="19"/>
      <c r="B61" s="233"/>
      <c r="C61" s="238"/>
      <c r="D61" s="239"/>
      <c r="E61" s="240"/>
      <c r="F61" s="19"/>
      <c r="G61" s="242"/>
      <c r="H61" s="238"/>
      <c r="I61" s="241"/>
      <c r="J61" s="240"/>
      <c r="K61" s="19"/>
    </row>
    <row r="62" spans="1:11" ht="19.5" customHeight="1" x14ac:dyDescent="0.25">
      <c r="A62" s="19"/>
      <c r="B62" s="233"/>
      <c r="C62" s="238"/>
      <c r="D62" s="239"/>
      <c r="E62" s="240"/>
      <c r="F62" s="19"/>
      <c r="G62" s="242"/>
      <c r="H62" s="238"/>
      <c r="I62" s="241"/>
      <c r="J62" s="240"/>
      <c r="K62" s="19"/>
    </row>
    <row r="63" spans="1:11" ht="19.5" customHeight="1" x14ac:dyDescent="0.25">
      <c r="A63" s="19"/>
      <c r="B63" s="233"/>
      <c r="C63" s="238"/>
      <c r="D63" s="239"/>
      <c r="E63" s="240"/>
      <c r="F63" s="19"/>
      <c r="G63" s="242"/>
      <c r="H63" s="238"/>
      <c r="I63" s="241"/>
      <c r="J63" s="240"/>
      <c r="K63" s="19"/>
    </row>
    <row r="64" spans="1:11" ht="19.5" customHeight="1" x14ac:dyDescent="0.25">
      <c r="A64" s="19"/>
      <c r="B64" s="233"/>
      <c r="C64" s="238"/>
      <c r="D64" s="239"/>
      <c r="E64" s="240"/>
      <c r="F64" s="19"/>
      <c r="G64" s="242"/>
      <c r="H64" s="238"/>
      <c r="I64" s="241"/>
      <c r="J64" s="240"/>
      <c r="K64" s="19"/>
    </row>
    <row r="65" spans="1:11" ht="19.5" customHeight="1" x14ac:dyDescent="0.25">
      <c r="A65" s="19"/>
      <c r="B65" s="233"/>
      <c r="C65" s="238"/>
      <c r="D65" s="239"/>
      <c r="E65" s="240"/>
      <c r="F65" s="19"/>
      <c r="G65" s="242"/>
      <c r="H65" s="238"/>
      <c r="I65" s="241"/>
      <c r="J65" s="240"/>
      <c r="K65" s="19"/>
    </row>
    <row r="66" spans="1:11" ht="19.5" customHeight="1" x14ac:dyDescent="0.25">
      <c r="A66" s="19"/>
      <c r="B66" s="233"/>
      <c r="C66" s="238"/>
      <c r="D66" s="239"/>
      <c r="E66" s="240"/>
      <c r="F66" s="19"/>
      <c r="G66" s="242"/>
      <c r="H66" s="238"/>
      <c r="I66" s="241"/>
      <c r="J66" s="240"/>
      <c r="K66" s="19"/>
    </row>
    <row r="67" spans="1:11" ht="19.5" customHeight="1" x14ac:dyDescent="0.25">
      <c r="A67" s="19"/>
      <c r="B67" s="233"/>
      <c r="C67" s="238"/>
      <c r="D67" s="239"/>
      <c r="E67" s="240"/>
      <c r="F67" s="19"/>
      <c r="G67" s="242"/>
      <c r="H67" s="238"/>
      <c r="I67" s="241"/>
      <c r="J67" s="240"/>
      <c r="K67" s="19"/>
    </row>
    <row r="68" spans="1:11" ht="19.5" customHeight="1" x14ac:dyDescent="0.25">
      <c r="A68" s="19"/>
      <c r="B68" s="233"/>
      <c r="C68" s="238"/>
      <c r="D68" s="239"/>
      <c r="E68" s="240"/>
      <c r="F68" s="19"/>
      <c r="G68" s="242"/>
      <c r="H68" s="238"/>
      <c r="I68" s="241"/>
      <c r="J68" s="240"/>
      <c r="K68" s="19"/>
    </row>
    <row r="69" spans="1:11" ht="19.5" customHeight="1" x14ac:dyDescent="0.25">
      <c r="A69" s="19"/>
      <c r="B69" s="233"/>
      <c r="C69" s="238"/>
      <c r="D69" s="239"/>
      <c r="E69" s="240"/>
      <c r="F69" s="19"/>
      <c r="G69" s="242"/>
      <c r="H69" s="238"/>
      <c r="I69" s="241"/>
      <c r="J69" s="240"/>
      <c r="K69" s="19"/>
    </row>
    <row r="70" spans="1:11" ht="19.5" customHeight="1" x14ac:dyDescent="0.25">
      <c r="A70" s="19"/>
      <c r="B70" s="233"/>
      <c r="C70" s="238"/>
      <c r="D70" s="239"/>
      <c r="E70" s="240"/>
      <c r="F70" s="19"/>
      <c r="G70" s="242"/>
      <c r="H70" s="238"/>
      <c r="I70" s="241"/>
      <c r="J70" s="240"/>
      <c r="K70" s="19"/>
    </row>
    <row r="71" spans="1:11" ht="19.5" customHeight="1" x14ac:dyDescent="0.25">
      <c r="A71" s="19"/>
      <c r="B71" s="233"/>
      <c r="C71" s="238"/>
      <c r="D71" s="239"/>
      <c r="E71" s="240"/>
      <c r="F71" s="19"/>
      <c r="G71" s="242"/>
      <c r="H71" s="238"/>
      <c r="I71" s="241"/>
      <c r="J71" s="240"/>
      <c r="K71" s="19"/>
    </row>
    <row r="72" spans="1:11" ht="19.5" customHeight="1" x14ac:dyDescent="0.25">
      <c r="A72" s="19"/>
      <c r="B72" s="233"/>
      <c r="C72" s="238"/>
      <c r="D72" s="239"/>
      <c r="E72" s="240"/>
      <c r="F72" s="19"/>
      <c r="G72" s="242"/>
      <c r="H72" s="238"/>
      <c r="I72" s="241"/>
      <c r="J72" s="240"/>
      <c r="K72" s="19"/>
    </row>
    <row r="73" spans="1:11" ht="19.5" customHeight="1" x14ac:dyDescent="0.25">
      <c r="A73" s="19"/>
      <c r="B73" s="233"/>
      <c r="C73" s="238"/>
      <c r="D73" s="239"/>
      <c r="E73" s="240"/>
      <c r="F73" s="19"/>
      <c r="G73" s="242"/>
      <c r="H73" s="238"/>
      <c r="I73" s="241"/>
      <c r="J73" s="240"/>
      <c r="K73" s="19"/>
    </row>
    <row r="74" spans="1:11" ht="19.5" customHeight="1" x14ac:dyDescent="0.25">
      <c r="A74" s="19"/>
      <c r="B74" s="233"/>
      <c r="C74" s="238"/>
      <c r="D74" s="239"/>
      <c r="E74" s="240"/>
      <c r="F74" s="19"/>
      <c r="G74" s="242"/>
      <c r="H74" s="238"/>
      <c r="I74" s="241"/>
      <c r="J74" s="240"/>
      <c r="K74" s="19"/>
    </row>
    <row r="75" spans="1:11" ht="19.5" customHeight="1" x14ac:dyDescent="0.25">
      <c r="A75" s="19"/>
      <c r="B75" s="233"/>
      <c r="C75" s="238"/>
      <c r="D75" s="239"/>
      <c r="E75" s="240"/>
      <c r="F75" s="19"/>
      <c r="G75" s="242"/>
      <c r="H75" s="238"/>
      <c r="I75" s="241"/>
      <c r="J75" s="240"/>
      <c r="K75" s="19"/>
    </row>
    <row r="76" spans="1:11" ht="19.5" customHeight="1" x14ac:dyDescent="0.25">
      <c r="A76" s="19"/>
      <c r="B76" s="233"/>
      <c r="C76" s="238"/>
      <c r="D76" s="239"/>
      <c r="E76" s="240"/>
      <c r="F76" s="19"/>
      <c r="G76" s="242"/>
      <c r="H76" s="238"/>
      <c r="I76" s="241"/>
      <c r="J76" s="240"/>
      <c r="K76" s="19"/>
    </row>
    <row r="77" spans="1:11" ht="19.5" customHeight="1" x14ac:dyDescent="0.25">
      <c r="A77" s="19"/>
      <c r="B77" s="233"/>
      <c r="C77" s="238"/>
      <c r="D77" s="239"/>
      <c r="E77" s="240"/>
      <c r="F77" s="19"/>
      <c r="G77" s="242"/>
      <c r="H77" s="238"/>
      <c r="I77" s="241"/>
      <c r="J77" s="240"/>
      <c r="K77" s="19"/>
    </row>
    <row r="78" spans="1:11" ht="19.5" customHeight="1" x14ac:dyDescent="0.25">
      <c r="A78" s="19"/>
      <c r="B78" s="233"/>
      <c r="C78" s="238"/>
      <c r="D78" s="239"/>
      <c r="E78" s="240"/>
      <c r="F78" s="19"/>
      <c r="G78" s="242"/>
      <c r="H78" s="238"/>
      <c r="I78" s="241"/>
      <c r="J78" s="240"/>
      <c r="K78" s="19"/>
    </row>
    <row r="79" spans="1:11" ht="19.5" customHeight="1" x14ac:dyDescent="0.25">
      <c r="A79" s="19"/>
      <c r="B79" s="233"/>
      <c r="C79" s="238"/>
      <c r="D79" s="239"/>
      <c r="E79" s="240"/>
      <c r="F79" s="19"/>
      <c r="G79" s="242"/>
      <c r="H79" s="238"/>
      <c r="I79" s="241"/>
      <c r="J79" s="240"/>
      <c r="K79" s="19"/>
    </row>
    <row r="80" spans="1:11" ht="19.5" customHeight="1" x14ac:dyDescent="0.25">
      <c r="A80" s="19"/>
      <c r="B80" s="233"/>
      <c r="C80" s="238"/>
      <c r="D80" s="239"/>
      <c r="E80" s="240"/>
      <c r="F80" s="19"/>
      <c r="G80" s="242"/>
      <c r="H80" s="238"/>
      <c r="I80" s="241"/>
      <c r="J80" s="240"/>
      <c r="K80" s="19"/>
    </row>
    <row r="81" spans="1:11" ht="19.5" customHeight="1" x14ac:dyDescent="0.25">
      <c r="A81" s="19"/>
      <c r="B81" s="233"/>
      <c r="C81" s="238"/>
      <c r="D81" s="239"/>
      <c r="E81" s="240"/>
      <c r="F81" s="19"/>
      <c r="G81" s="242"/>
      <c r="H81" s="238"/>
      <c r="I81" s="241"/>
      <c r="J81" s="240"/>
      <c r="K81" s="19"/>
    </row>
    <row r="82" spans="1:11" ht="19.5" customHeight="1" x14ac:dyDescent="0.25">
      <c r="A82" s="19"/>
      <c r="B82" s="233"/>
      <c r="C82" s="238"/>
      <c r="D82" s="239"/>
      <c r="E82" s="240"/>
      <c r="F82" s="19"/>
      <c r="G82" s="242"/>
      <c r="H82" s="238"/>
      <c r="I82" s="241"/>
      <c r="J82" s="240"/>
      <c r="K82" s="19"/>
    </row>
    <row r="83" spans="1:11" ht="19.5" customHeight="1" x14ac:dyDescent="0.25">
      <c r="A83" s="19"/>
      <c r="B83" s="233"/>
      <c r="C83" s="238"/>
      <c r="D83" s="239"/>
      <c r="E83" s="240"/>
      <c r="F83" s="19"/>
      <c r="G83" s="242"/>
      <c r="H83" s="238"/>
      <c r="I83" s="241"/>
      <c r="J83" s="240"/>
      <c r="K83" s="19"/>
    </row>
    <row r="84" spans="1:11" ht="19.5" customHeight="1" x14ac:dyDescent="0.25">
      <c r="A84" s="19"/>
      <c r="B84" s="233"/>
      <c r="C84" s="238"/>
      <c r="D84" s="239"/>
      <c r="E84" s="240"/>
      <c r="F84" s="19"/>
      <c r="G84" s="242"/>
      <c r="H84" s="238"/>
      <c r="I84" s="241"/>
      <c r="J84" s="240"/>
      <c r="K84" s="19"/>
    </row>
    <row r="85" spans="1:11" ht="19.5" customHeight="1" x14ac:dyDescent="0.25">
      <c r="A85" s="19"/>
      <c r="B85" s="233"/>
      <c r="C85" s="238"/>
      <c r="D85" s="239"/>
      <c r="E85" s="240"/>
      <c r="F85" s="19"/>
      <c r="G85" s="242"/>
      <c r="H85" s="238"/>
      <c r="I85" s="241"/>
      <c r="J85" s="240"/>
      <c r="K85" s="19"/>
    </row>
    <row r="86" spans="1:11" ht="19.5" customHeight="1" x14ac:dyDescent="0.25">
      <c r="A86" s="19"/>
      <c r="B86" s="233"/>
      <c r="C86" s="238"/>
      <c r="D86" s="239"/>
      <c r="E86" s="240"/>
      <c r="F86" s="19"/>
      <c r="G86" s="242"/>
      <c r="H86" s="238"/>
      <c r="I86" s="241"/>
      <c r="J86" s="240"/>
      <c r="K86" s="19"/>
    </row>
    <row r="87" spans="1:11" ht="19.5" customHeight="1" x14ac:dyDescent="0.25">
      <c r="A87" s="19"/>
      <c r="B87" s="233"/>
      <c r="C87" s="238"/>
      <c r="D87" s="239"/>
      <c r="E87" s="240"/>
      <c r="F87" s="19"/>
      <c r="G87" s="242"/>
      <c r="H87" s="238"/>
      <c r="I87" s="241"/>
      <c r="J87" s="240"/>
      <c r="K87" s="19"/>
    </row>
    <row r="88" spans="1:11" ht="19.5" customHeight="1" x14ac:dyDescent="0.25">
      <c r="A88" s="19"/>
      <c r="B88" s="233"/>
      <c r="C88" s="238"/>
      <c r="D88" s="239"/>
      <c r="E88" s="240"/>
      <c r="F88" s="19"/>
      <c r="G88" s="242"/>
      <c r="H88" s="238"/>
      <c r="I88" s="241"/>
      <c r="J88" s="240"/>
      <c r="K88" s="19"/>
    </row>
    <row r="89" spans="1:11" ht="19.5" customHeight="1" x14ac:dyDescent="0.25">
      <c r="A89" s="19"/>
      <c r="B89" s="233"/>
      <c r="C89" s="238"/>
      <c r="D89" s="239"/>
      <c r="E89" s="240"/>
      <c r="F89" s="19"/>
      <c r="G89" s="242"/>
      <c r="H89" s="238"/>
      <c r="I89" s="241"/>
      <c r="J89" s="240"/>
      <c r="K89" s="19"/>
    </row>
    <row r="90" spans="1:11" ht="19.5" customHeight="1" x14ac:dyDescent="0.25">
      <c r="A90" s="19"/>
      <c r="B90" s="233"/>
      <c r="C90" s="238"/>
      <c r="D90" s="239"/>
      <c r="E90" s="240"/>
      <c r="F90" s="19"/>
      <c r="G90" s="242"/>
      <c r="H90" s="238"/>
      <c r="I90" s="241"/>
      <c r="J90" s="240"/>
      <c r="K90" s="19"/>
    </row>
    <row r="91" spans="1:11" ht="19.5" customHeight="1" x14ac:dyDescent="0.25">
      <c r="A91" s="19"/>
      <c r="B91" s="233"/>
      <c r="C91" s="238"/>
      <c r="D91" s="239"/>
      <c r="E91" s="240"/>
      <c r="F91" s="19"/>
      <c r="G91" s="242"/>
      <c r="H91" s="238"/>
      <c r="I91" s="241"/>
      <c r="J91" s="240"/>
      <c r="K91" s="19"/>
    </row>
    <row r="92" spans="1:11" ht="19.5" customHeight="1" x14ac:dyDescent="0.25">
      <c r="A92" s="19"/>
      <c r="B92" s="233"/>
      <c r="C92" s="238"/>
      <c r="D92" s="239"/>
      <c r="E92" s="240"/>
      <c r="F92" s="19"/>
      <c r="G92" s="242"/>
      <c r="H92" s="238"/>
      <c r="I92" s="241"/>
      <c r="J92" s="240"/>
      <c r="K92" s="19"/>
    </row>
    <row r="93" spans="1:11" ht="19.5" customHeight="1" x14ac:dyDescent="0.25">
      <c r="A93" s="19"/>
      <c r="B93" s="233"/>
      <c r="C93" s="238"/>
      <c r="D93" s="239"/>
      <c r="E93" s="240"/>
      <c r="F93" s="19"/>
      <c r="G93" s="242"/>
      <c r="H93" s="238"/>
      <c r="I93" s="241"/>
      <c r="J93" s="240"/>
      <c r="K93" s="19"/>
    </row>
    <row r="94" spans="1:11" ht="19.5" customHeight="1" x14ac:dyDescent="0.25">
      <c r="A94" s="19"/>
      <c r="B94" s="233"/>
      <c r="C94" s="238"/>
      <c r="D94" s="239"/>
      <c r="E94" s="240"/>
      <c r="F94" s="19"/>
      <c r="G94" s="242"/>
      <c r="H94" s="238"/>
      <c r="I94" s="241"/>
      <c r="J94" s="240"/>
      <c r="K94" s="19"/>
    </row>
    <row r="95" spans="1:11" ht="19.5" customHeight="1" x14ac:dyDescent="0.25">
      <c r="A95" s="19"/>
      <c r="B95" s="233"/>
      <c r="C95" s="238"/>
      <c r="D95" s="239"/>
      <c r="E95" s="240"/>
      <c r="F95" s="19"/>
      <c r="G95" s="242"/>
      <c r="H95" s="238"/>
      <c r="I95" s="241"/>
      <c r="J95" s="240"/>
      <c r="K95" s="19"/>
    </row>
    <row r="96" spans="1:11" ht="19.5" customHeight="1" x14ac:dyDescent="0.25">
      <c r="A96" s="19"/>
      <c r="B96" s="233"/>
      <c r="C96" s="238"/>
      <c r="D96" s="239"/>
      <c r="E96" s="240"/>
      <c r="F96" s="19"/>
      <c r="G96" s="242"/>
      <c r="H96" s="238"/>
      <c r="I96" s="241"/>
      <c r="J96" s="240"/>
      <c r="K96" s="19"/>
    </row>
    <row r="97" spans="1:11" ht="19.5" customHeight="1" x14ac:dyDescent="0.25">
      <c r="A97" s="19"/>
      <c r="B97" s="233"/>
      <c r="C97" s="238"/>
      <c r="D97" s="239"/>
      <c r="E97" s="240"/>
      <c r="F97" s="19"/>
      <c r="G97" s="242"/>
      <c r="H97" s="238"/>
      <c r="I97" s="241"/>
      <c r="J97" s="240"/>
      <c r="K97" s="19"/>
    </row>
    <row r="98" spans="1:11" ht="19.5" customHeight="1" x14ac:dyDescent="0.25">
      <c r="A98" s="19"/>
      <c r="B98" s="233"/>
      <c r="C98" s="238"/>
      <c r="D98" s="239"/>
      <c r="E98" s="240"/>
      <c r="F98" s="19"/>
      <c r="G98" s="242"/>
      <c r="H98" s="238"/>
      <c r="I98" s="241"/>
      <c r="J98" s="240"/>
      <c r="K98" s="19"/>
    </row>
    <row r="99" spans="1:11" ht="19.5" customHeight="1" x14ac:dyDescent="0.25">
      <c r="A99" s="19"/>
      <c r="B99" s="233"/>
      <c r="C99" s="238"/>
      <c r="D99" s="239"/>
      <c r="E99" s="240"/>
      <c r="F99" s="19"/>
      <c r="G99" s="242"/>
      <c r="H99" s="238"/>
      <c r="I99" s="241"/>
      <c r="J99" s="240"/>
      <c r="K99" s="19"/>
    </row>
    <row r="100" spans="1:11" ht="19.5" customHeight="1" x14ac:dyDescent="0.25">
      <c r="A100" s="19"/>
      <c r="B100" s="233"/>
      <c r="C100" s="238"/>
      <c r="D100" s="239"/>
      <c r="E100" s="240"/>
      <c r="F100" s="19"/>
      <c r="G100" s="242"/>
      <c r="H100" s="238"/>
      <c r="I100" s="241"/>
      <c r="J100" s="240"/>
      <c r="K100" s="19"/>
    </row>
    <row r="101" spans="1:11" ht="19.5" customHeight="1" x14ac:dyDescent="0.25">
      <c r="A101" s="19"/>
      <c r="B101" s="233"/>
      <c r="C101" s="238"/>
      <c r="D101" s="239"/>
      <c r="E101" s="240"/>
      <c r="F101" s="19"/>
      <c r="G101" s="242"/>
      <c r="H101" s="238"/>
      <c r="I101" s="241"/>
      <c r="J101" s="240"/>
      <c r="K101" s="19"/>
    </row>
    <row r="102" spans="1:11" ht="19.5" customHeight="1" x14ac:dyDescent="0.25">
      <c r="A102" s="19"/>
      <c r="B102" s="233"/>
      <c r="C102" s="238"/>
      <c r="D102" s="239"/>
      <c r="E102" s="240"/>
      <c r="F102" s="19"/>
      <c r="G102" s="242"/>
      <c r="H102" s="238"/>
      <c r="I102" s="241"/>
      <c r="J102" s="240"/>
      <c r="K102" s="19"/>
    </row>
    <row r="103" spans="1:11" ht="19.5" customHeight="1" x14ac:dyDescent="0.25">
      <c r="A103" s="19"/>
      <c r="B103" s="233"/>
      <c r="C103" s="238"/>
      <c r="D103" s="239"/>
      <c r="E103" s="240"/>
      <c r="F103" s="19"/>
      <c r="G103" s="242"/>
      <c r="H103" s="238"/>
      <c r="I103" s="241"/>
      <c r="J103" s="240"/>
      <c r="K103" s="19"/>
    </row>
    <row r="104" spans="1:11" ht="19.5" customHeight="1" x14ac:dyDescent="0.25">
      <c r="A104" s="19"/>
      <c r="B104" s="233"/>
      <c r="C104" s="238"/>
      <c r="D104" s="239"/>
      <c r="E104" s="240"/>
      <c r="F104" s="19"/>
      <c r="G104" s="242"/>
      <c r="H104" s="238"/>
      <c r="I104" s="241"/>
      <c r="J104" s="240"/>
      <c r="K104" s="19"/>
    </row>
    <row r="105" spans="1:11" ht="19.5" customHeight="1" x14ac:dyDescent="0.25">
      <c r="A105" s="19"/>
      <c r="B105" s="233"/>
      <c r="C105" s="238"/>
      <c r="D105" s="239"/>
      <c r="E105" s="240"/>
      <c r="F105" s="19"/>
      <c r="G105" s="242"/>
      <c r="H105" s="238"/>
      <c r="I105" s="241"/>
      <c r="J105" s="240"/>
      <c r="K105" s="19"/>
    </row>
    <row r="106" spans="1:11" ht="19.5" customHeight="1" x14ac:dyDescent="0.25">
      <c r="A106" s="19"/>
      <c r="B106" s="233"/>
      <c r="C106" s="238"/>
      <c r="D106" s="239"/>
      <c r="E106" s="240"/>
      <c r="F106" s="19"/>
      <c r="G106" s="242"/>
      <c r="H106" s="238"/>
      <c r="I106" s="241"/>
      <c r="J106" s="240"/>
      <c r="K106" s="19"/>
    </row>
    <row r="107" spans="1:11" ht="19.5" customHeight="1" x14ac:dyDescent="0.25">
      <c r="A107" s="19"/>
      <c r="B107" s="233"/>
      <c r="C107" s="238"/>
      <c r="D107" s="239"/>
      <c r="E107" s="240"/>
      <c r="F107" s="19"/>
      <c r="G107" s="242"/>
      <c r="H107" s="238"/>
      <c r="I107" s="241"/>
      <c r="J107" s="240"/>
      <c r="K107" s="19"/>
    </row>
    <row r="108" spans="1:11" ht="19.5" customHeight="1" x14ac:dyDescent="0.25">
      <c r="A108" s="19"/>
      <c r="B108" s="233"/>
      <c r="C108" s="238"/>
      <c r="D108" s="239"/>
      <c r="E108" s="240"/>
      <c r="F108" s="19"/>
      <c r="G108" s="242"/>
      <c r="H108" s="238"/>
      <c r="I108" s="241"/>
      <c r="J108" s="240"/>
      <c r="K108" s="19"/>
    </row>
    <row r="109" spans="1:11" ht="19.5" customHeight="1" x14ac:dyDescent="0.25">
      <c r="A109" s="19"/>
      <c r="B109" s="233"/>
      <c r="C109" s="238"/>
      <c r="D109" s="239"/>
      <c r="E109" s="240"/>
      <c r="F109" s="19"/>
      <c r="G109" s="242"/>
      <c r="H109" s="238"/>
      <c r="I109" s="241"/>
      <c r="J109" s="240"/>
      <c r="K109" s="19"/>
    </row>
    <row r="110" spans="1:11" ht="19.5" customHeight="1" x14ac:dyDescent="0.25">
      <c r="A110" s="19"/>
      <c r="B110" s="233"/>
      <c r="C110" s="238"/>
      <c r="D110" s="239"/>
      <c r="E110" s="240"/>
      <c r="F110" s="19"/>
      <c r="G110" s="242"/>
      <c r="H110" s="238"/>
      <c r="I110" s="241"/>
      <c r="J110" s="240"/>
      <c r="K110" s="19"/>
    </row>
    <row r="111" spans="1:11" ht="19.5" customHeight="1" x14ac:dyDescent="0.25">
      <c r="A111" s="19"/>
      <c r="B111" s="233"/>
      <c r="C111" s="238"/>
      <c r="D111" s="239"/>
      <c r="E111" s="240"/>
      <c r="F111" s="19"/>
      <c r="G111" s="242"/>
      <c r="H111" s="238"/>
      <c r="I111" s="241"/>
      <c r="J111" s="240"/>
      <c r="K111" s="19"/>
    </row>
    <row r="112" spans="1:11" ht="19.5" customHeight="1" x14ac:dyDescent="0.25">
      <c r="A112" s="19"/>
      <c r="B112" s="233"/>
      <c r="C112" s="238"/>
      <c r="D112" s="239"/>
      <c r="E112" s="240"/>
      <c r="F112" s="19"/>
      <c r="G112" s="242"/>
      <c r="H112" s="238"/>
      <c r="I112" s="241"/>
      <c r="J112" s="240"/>
      <c r="K112" s="19"/>
    </row>
    <row r="113" spans="1:11" ht="19.5" customHeight="1" x14ac:dyDescent="0.25">
      <c r="A113" s="19"/>
      <c r="B113" s="233"/>
      <c r="C113" s="238"/>
      <c r="D113" s="239"/>
      <c r="E113" s="240"/>
      <c r="F113" s="19"/>
      <c r="G113" s="242"/>
      <c r="H113" s="238"/>
      <c r="I113" s="241"/>
      <c r="J113" s="240"/>
      <c r="K113" s="19"/>
    </row>
    <row r="114" spans="1:11" ht="19.5" customHeight="1" x14ac:dyDescent="0.25">
      <c r="A114" s="19"/>
      <c r="B114" s="233"/>
      <c r="C114" s="238"/>
      <c r="D114" s="239"/>
      <c r="E114" s="240"/>
      <c r="F114" s="19"/>
      <c r="G114" s="242"/>
      <c r="H114" s="238"/>
      <c r="I114" s="241"/>
      <c r="J114" s="240"/>
      <c r="K114" s="19"/>
    </row>
    <row r="115" spans="1:11" ht="19.5" customHeight="1" x14ac:dyDescent="0.25">
      <c r="A115" s="19"/>
      <c r="B115" s="233"/>
      <c r="C115" s="238"/>
      <c r="D115" s="239"/>
      <c r="E115" s="240"/>
      <c r="F115" s="19"/>
      <c r="G115" s="242"/>
      <c r="H115" s="238"/>
      <c r="I115" s="241"/>
      <c r="J115" s="240"/>
      <c r="K115" s="19"/>
    </row>
    <row r="116" spans="1:11" ht="19.5" customHeight="1" x14ac:dyDescent="0.25">
      <c r="A116" s="19"/>
      <c r="B116" s="233"/>
      <c r="C116" s="238"/>
      <c r="D116" s="239"/>
      <c r="E116" s="240"/>
      <c r="F116" s="19"/>
      <c r="G116" s="242"/>
      <c r="H116" s="238"/>
      <c r="I116" s="241"/>
      <c r="J116" s="240"/>
      <c r="K116" s="19"/>
    </row>
    <row r="117" spans="1:11" ht="19.5" customHeight="1" x14ac:dyDescent="0.25">
      <c r="A117" s="19"/>
      <c r="B117" s="233"/>
      <c r="C117" s="238"/>
      <c r="D117" s="239"/>
      <c r="E117" s="240"/>
      <c r="F117" s="19"/>
      <c r="G117" s="242"/>
      <c r="H117" s="238"/>
      <c r="I117" s="241"/>
      <c r="J117" s="240"/>
      <c r="K117" s="19"/>
    </row>
    <row r="118" spans="1:11" ht="19.5" customHeight="1" x14ac:dyDescent="0.25">
      <c r="A118" s="19"/>
      <c r="B118" s="233"/>
      <c r="C118" s="238"/>
      <c r="D118" s="239"/>
      <c r="E118" s="240"/>
      <c r="F118" s="19"/>
      <c r="G118" s="242"/>
      <c r="H118" s="238"/>
      <c r="I118" s="241"/>
      <c r="J118" s="240"/>
      <c r="K118" s="19"/>
    </row>
    <row r="119" spans="1:11" ht="19.5" customHeight="1" x14ac:dyDescent="0.25">
      <c r="A119" s="19"/>
      <c r="B119" s="233"/>
      <c r="C119" s="238"/>
      <c r="D119" s="239"/>
      <c r="E119" s="240"/>
      <c r="F119" s="19"/>
      <c r="G119" s="242"/>
      <c r="H119" s="238"/>
      <c r="I119" s="241"/>
      <c r="J119" s="240"/>
      <c r="K119" s="19"/>
    </row>
    <row r="120" spans="1:11" ht="19.5" customHeight="1" x14ac:dyDescent="0.25">
      <c r="A120" s="19"/>
      <c r="B120" s="233"/>
      <c r="C120" s="238"/>
      <c r="D120" s="239"/>
      <c r="E120" s="240"/>
      <c r="F120" s="19"/>
      <c r="G120" s="242"/>
      <c r="H120" s="238"/>
      <c r="I120" s="241"/>
      <c r="J120" s="240"/>
      <c r="K120" s="19"/>
    </row>
    <row r="121" spans="1:11" ht="19.5" customHeight="1" x14ac:dyDescent="0.25">
      <c r="A121" s="19"/>
      <c r="B121" s="233"/>
      <c r="C121" s="238"/>
      <c r="D121" s="239"/>
      <c r="E121" s="240"/>
      <c r="F121" s="19"/>
      <c r="G121" s="242"/>
      <c r="H121" s="238"/>
      <c r="I121" s="241"/>
      <c r="J121" s="240"/>
      <c r="K121" s="19"/>
    </row>
    <row r="122" spans="1:11" ht="19.5" customHeight="1" x14ac:dyDescent="0.25">
      <c r="A122" s="19"/>
      <c r="B122" s="233"/>
      <c r="C122" s="238"/>
      <c r="D122" s="239"/>
      <c r="E122" s="240"/>
      <c r="F122" s="19"/>
      <c r="G122" s="242"/>
      <c r="H122" s="238"/>
      <c r="I122" s="241"/>
      <c r="J122" s="240"/>
      <c r="K122" s="19"/>
    </row>
    <row r="123" spans="1:11" ht="19.5" customHeight="1" x14ac:dyDescent="0.25">
      <c r="A123" s="19"/>
      <c r="B123" s="233"/>
      <c r="C123" s="238"/>
      <c r="D123" s="239"/>
      <c r="E123" s="240"/>
      <c r="F123" s="19"/>
      <c r="G123" s="242"/>
      <c r="H123" s="238"/>
      <c r="I123" s="241"/>
      <c r="J123" s="240"/>
      <c r="K123" s="19"/>
    </row>
    <row r="124" spans="1:11" ht="19.5" customHeight="1" x14ac:dyDescent="0.25">
      <c r="A124" s="19"/>
      <c r="B124" s="233"/>
      <c r="C124" s="238"/>
      <c r="D124" s="239"/>
      <c r="E124" s="240"/>
      <c r="F124" s="19"/>
      <c r="G124" s="242"/>
      <c r="H124" s="238"/>
      <c r="I124" s="241"/>
      <c r="J124" s="240"/>
      <c r="K124" s="19"/>
    </row>
    <row r="125" spans="1:11" ht="19.5" customHeight="1" x14ac:dyDescent="0.25">
      <c r="A125" s="19"/>
      <c r="B125" s="233"/>
      <c r="C125" s="238"/>
      <c r="D125" s="239"/>
      <c r="E125" s="240"/>
      <c r="F125" s="19"/>
      <c r="G125" s="242"/>
      <c r="H125" s="238"/>
      <c r="I125" s="241"/>
      <c r="J125" s="240"/>
      <c r="K125" s="19"/>
    </row>
    <row r="126" spans="1:11" ht="19.5" customHeight="1" x14ac:dyDescent="0.25">
      <c r="A126" s="19"/>
      <c r="B126" s="233"/>
      <c r="C126" s="238"/>
      <c r="D126" s="239"/>
      <c r="E126" s="240"/>
      <c r="F126" s="19"/>
      <c r="G126" s="242"/>
      <c r="H126" s="238"/>
      <c r="I126" s="241"/>
      <c r="J126" s="240"/>
      <c r="K126" s="19"/>
    </row>
    <row r="127" spans="1:11" ht="19.5" customHeight="1" x14ac:dyDescent="0.25">
      <c r="A127" s="19"/>
      <c r="B127" s="233"/>
      <c r="C127" s="238"/>
      <c r="D127" s="239"/>
      <c r="E127" s="240"/>
      <c r="F127" s="19"/>
      <c r="G127" s="242"/>
      <c r="H127" s="238"/>
      <c r="I127" s="241"/>
      <c r="J127" s="240"/>
      <c r="K127" s="19"/>
    </row>
    <row r="128" spans="1:11" ht="19.5" customHeight="1" x14ac:dyDescent="0.25">
      <c r="A128" s="19"/>
      <c r="B128" s="233"/>
      <c r="C128" s="238"/>
      <c r="D128" s="239"/>
      <c r="E128" s="240"/>
      <c r="F128" s="19"/>
      <c r="G128" s="242"/>
      <c r="H128" s="238"/>
      <c r="I128" s="241"/>
      <c r="J128" s="240"/>
      <c r="K128" s="19"/>
    </row>
    <row r="129" spans="1:11" ht="19.5" customHeight="1" x14ac:dyDescent="0.25">
      <c r="A129" s="19"/>
      <c r="B129" s="233"/>
      <c r="C129" s="238"/>
      <c r="D129" s="239"/>
      <c r="E129" s="240"/>
      <c r="F129" s="19"/>
      <c r="G129" s="242"/>
      <c r="H129" s="238"/>
      <c r="I129" s="241"/>
      <c r="J129" s="240"/>
      <c r="K129" s="19"/>
    </row>
    <row r="130" spans="1:11" ht="19.5" customHeight="1" x14ac:dyDescent="0.25">
      <c r="A130" s="19"/>
      <c r="B130" s="233"/>
      <c r="C130" s="238"/>
      <c r="D130" s="239"/>
      <c r="E130" s="240"/>
      <c r="F130" s="19"/>
      <c r="G130" s="242"/>
      <c r="H130" s="238"/>
      <c r="I130" s="241"/>
      <c r="J130" s="240"/>
      <c r="K130" s="19"/>
    </row>
    <row r="131" spans="1:11" ht="19.5" customHeight="1" x14ac:dyDescent="0.25">
      <c r="A131" s="19"/>
      <c r="B131" s="233"/>
      <c r="C131" s="238"/>
      <c r="D131" s="239"/>
      <c r="E131" s="240"/>
      <c r="F131" s="19"/>
      <c r="G131" s="242"/>
      <c r="H131" s="238"/>
      <c r="I131" s="241"/>
      <c r="J131" s="240"/>
      <c r="K131" s="19"/>
    </row>
    <row r="132" spans="1:11" ht="19.5" customHeight="1" x14ac:dyDescent="0.25">
      <c r="A132" s="19"/>
      <c r="B132" s="233"/>
      <c r="C132" s="238"/>
      <c r="D132" s="239"/>
      <c r="E132" s="240"/>
      <c r="F132" s="19"/>
      <c r="G132" s="242"/>
      <c r="H132" s="238"/>
      <c r="I132" s="241"/>
      <c r="J132" s="240"/>
      <c r="K132" s="19"/>
    </row>
    <row r="133" spans="1:11" ht="19.5" customHeight="1" x14ac:dyDescent="0.25">
      <c r="A133" s="19"/>
      <c r="B133" s="233"/>
      <c r="C133" s="238"/>
      <c r="D133" s="239"/>
      <c r="E133" s="240"/>
      <c r="F133" s="19"/>
      <c r="G133" s="242"/>
      <c r="H133" s="238"/>
      <c r="I133" s="241"/>
      <c r="J133" s="240"/>
      <c r="K133" s="19"/>
    </row>
    <row r="134" spans="1:11" ht="19.5" customHeight="1" x14ac:dyDescent="0.25">
      <c r="A134" s="19"/>
      <c r="B134" s="233"/>
      <c r="C134" s="238"/>
      <c r="D134" s="239"/>
      <c r="E134" s="240"/>
      <c r="F134" s="19"/>
      <c r="G134" s="242"/>
      <c r="H134" s="238"/>
      <c r="I134" s="241"/>
      <c r="J134" s="240"/>
      <c r="K134" s="19"/>
    </row>
    <row r="135" spans="1:11" ht="19.5" customHeight="1" x14ac:dyDescent="0.25">
      <c r="A135" s="19"/>
      <c r="B135" s="233"/>
      <c r="C135" s="238"/>
      <c r="D135" s="239"/>
      <c r="E135" s="240"/>
      <c r="F135" s="19"/>
      <c r="G135" s="242"/>
      <c r="H135" s="238"/>
      <c r="I135" s="241"/>
      <c r="J135" s="240"/>
      <c r="K135" s="19"/>
    </row>
    <row r="136" spans="1:11" ht="19.5" customHeight="1" x14ac:dyDescent="0.25">
      <c r="A136" s="19"/>
      <c r="B136" s="233"/>
      <c r="C136" s="238"/>
      <c r="D136" s="239"/>
      <c r="E136" s="240"/>
      <c r="F136" s="19"/>
      <c r="G136" s="242"/>
      <c r="H136" s="238"/>
      <c r="I136" s="241"/>
      <c r="J136" s="240"/>
      <c r="K136" s="19"/>
    </row>
    <row r="137" spans="1:11" ht="19.5" customHeight="1" x14ac:dyDescent="0.25">
      <c r="A137" s="19"/>
      <c r="B137" s="233"/>
      <c r="C137" s="238"/>
      <c r="D137" s="239"/>
      <c r="E137" s="240"/>
      <c r="F137" s="19"/>
      <c r="G137" s="242"/>
      <c r="H137" s="238"/>
      <c r="I137" s="241"/>
      <c r="J137" s="240"/>
      <c r="K137" s="19"/>
    </row>
    <row r="138" spans="1:11" ht="19.5" customHeight="1" x14ac:dyDescent="0.25">
      <c r="A138" s="19"/>
      <c r="B138" s="233"/>
      <c r="C138" s="238"/>
      <c r="D138" s="239"/>
      <c r="E138" s="240"/>
      <c r="F138" s="19"/>
      <c r="G138" s="242"/>
      <c r="H138" s="238"/>
      <c r="I138" s="241"/>
      <c r="J138" s="240"/>
      <c r="K138" s="19"/>
    </row>
    <row r="139" spans="1:11" ht="19.5" customHeight="1" x14ac:dyDescent="0.25">
      <c r="A139" s="19"/>
      <c r="B139" s="233"/>
      <c r="C139" s="238"/>
      <c r="D139" s="239"/>
      <c r="E139" s="240"/>
      <c r="F139" s="19"/>
      <c r="G139" s="245"/>
      <c r="H139" s="246"/>
      <c r="I139" s="126"/>
      <c r="J139" s="247"/>
      <c r="K139" s="19"/>
    </row>
    <row r="140" spans="1:11" ht="19.5" customHeight="1" x14ac:dyDescent="0.25">
      <c r="A140" s="19"/>
      <c r="B140" s="233"/>
      <c r="C140" s="238"/>
      <c r="D140" s="239"/>
      <c r="E140" s="240"/>
      <c r="F140" s="19"/>
      <c r="G140" s="245"/>
      <c r="H140" s="246"/>
      <c r="I140" s="126"/>
      <c r="J140" s="247"/>
      <c r="K140" s="19"/>
    </row>
    <row r="141" spans="1:11" ht="19.5" customHeight="1" x14ac:dyDescent="0.25">
      <c r="A141" s="19"/>
      <c r="B141" s="233"/>
      <c r="C141" s="238"/>
      <c r="D141" s="239"/>
      <c r="E141" s="240"/>
      <c r="F141" s="19"/>
      <c r="G141" s="245"/>
      <c r="H141" s="246"/>
      <c r="I141" s="126"/>
      <c r="J141" s="247"/>
      <c r="K141" s="19"/>
    </row>
    <row r="142" spans="1:11" ht="19.5" customHeight="1" x14ac:dyDescent="0.25">
      <c r="A142" s="19"/>
      <c r="B142" s="233"/>
      <c r="C142" s="238"/>
      <c r="D142" s="239"/>
      <c r="E142" s="240"/>
      <c r="F142" s="19"/>
      <c r="G142" s="245"/>
      <c r="H142" s="246"/>
      <c r="I142" s="126"/>
      <c r="J142" s="247"/>
      <c r="K142" s="19"/>
    </row>
    <row r="143" spans="1:11" ht="19.5" customHeight="1" x14ac:dyDescent="0.25">
      <c r="A143" s="19"/>
      <c r="B143" s="233"/>
      <c r="C143" s="238"/>
      <c r="D143" s="239"/>
      <c r="E143" s="240"/>
      <c r="F143" s="19"/>
      <c r="G143" s="245"/>
      <c r="H143" s="246"/>
      <c r="I143" s="126"/>
      <c r="J143" s="247"/>
      <c r="K143" s="19"/>
    </row>
    <row r="144" spans="1:11" ht="19.5" customHeight="1" x14ac:dyDescent="0.25">
      <c r="A144" s="19"/>
      <c r="B144" s="233"/>
      <c r="C144" s="238"/>
      <c r="D144" s="239"/>
      <c r="E144" s="240"/>
      <c r="F144" s="19"/>
      <c r="G144" s="245"/>
      <c r="H144" s="246"/>
      <c r="I144" s="126"/>
      <c r="J144" s="247"/>
      <c r="K144" s="19"/>
    </row>
    <row r="145" spans="1:11" ht="19.5" customHeight="1" x14ac:dyDescent="0.25">
      <c r="A145" s="19"/>
      <c r="B145" s="233"/>
      <c r="C145" s="238"/>
      <c r="D145" s="239"/>
      <c r="E145" s="240"/>
      <c r="F145" s="19"/>
      <c r="G145" s="245"/>
      <c r="H145" s="246"/>
      <c r="I145" s="126"/>
      <c r="J145" s="247"/>
      <c r="K145" s="19"/>
    </row>
    <row r="146" spans="1:11" ht="19.5" customHeight="1" x14ac:dyDescent="0.25">
      <c r="A146" s="19"/>
      <c r="B146" s="233"/>
      <c r="C146" s="238"/>
      <c r="D146" s="239"/>
      <c r="E146" s="240"/>
      <c r="F146" s="19"/>
      <c r="G146" s="245"/>
      <c r="H146" s="246"/>
      <c r="I146" s="126"/>
      <c r="J146" s="247"/>
      <c r="K146" s="19"/>
    </row>
    <row r="147" spans="1:11" ht="19.5" customHeight="1" x14ac:dyDescent="0.25">
      <c r="A147" s="19"/>
      <c r="B147" s="233"/>
      <c r="C147" s="238"/>
      <c r="D147" s="239"/>
      <c r="E147" s="240"/>
      <c r="F147" s="19"/>
      <c r="G147" s="245"/>
      <c r="H147" s="246"/>
      <c r="I147" s="126"/>
      <c r="J147" s="247"/>
      <c r="K147" s="19"/>
    </row>
    <row r="148" spans="1:11" ht="19.5" customHeight="1" x14ac:dyDescent="0.25">
      <c r="A148" s="19"/>
      <c r="B148" s="233"/>
      <c r="C148" s="238"/>
      <c r="D148" s="239"/>
      <c r="E148" s="240"/>
      <c r="F148" s="19"/>
      <c r="G148" s="245"/>
      <c r="H148" s="246"/>
      <c r="I148" s="126"/>
      <c r="J148" s="247"/>
      <c r="K148" s="19"/>
    </row>
    <row r="149" spans="1:11" ht="19.5" customHeight="1" x14ac:dyDescent="0.25">
      <c r="A149" s="19"/>
      <c r="B149" s="233"/>
      <c r="C149" s="238"/>
      <c r="D149" s="239"/>
      <c r="E149" s="240"/>
      <c r="F149" s="19"/>
      <c r="G149" s="245"/>
      <c r="H149" s="246"/>
      <c r="I149" s="126"/>
      <c r="J149" s="247"/>
      <c r="K149" s="19"/>
    </row>
    <row r="150" spans="1:11" ht="19.5" customHeight="1" x14ac:dyDescent="0.25">
      <c r="A150" s="19"/>
      <c r="B150" s="233"/>
      <c r="C150" s="238"/>
      <c r="D150" s="239"/>
      <c r="E150" s="240"/>
      <c r="F150" s="19"/>
      <c r="G150" s="245"/>
      <c r="H150" s="246"/>
      <c r="I150" s="126"/>
      <c r="J150" s="247"/>
      <c r="K150" s="19"/>
    </row>
    <row r="151" spans="1:11" ht="19.5" customHeight="1" x14ac:dyDescent="0.25">
      <c r="A151" s="19"/>
      <c r="B151" s="233"/>
      <c r="C151" s="238"/>
      <c r="D151" s="239"/>
      <c r="E151" s="240"/>
      <c r="F151" s="19"/>
      <c r="G151" s="245"/>
      <c r="H151" s="246"/>
      <c r="I151" s="126"/>
      <c r="J151" s="247"/>
      <c r="K151" s="19"/>
    </row>
    <row r="152" spans="1:11" ht="19.5" customHeight="1" x14ac:dyDescent="0.25">
      <c r="A152" s="19"/>
      <c r="B152" s="233"/>
      <c r="C152" s="238"/>
      <c r="D152" s="239"/>
      <c r="E152" s="240"/>
      <c r="F152" s="19"/>
      <c r="G152" s="245"/>
      <c r="H152" s="246"/>
      <c r="I152" s="126"/>
      <c r="J152" s="247"/>
      <c r="K152" s="19"/>
    </row>
    <row r="153" spans="1:11" ht="19.5" customHeight="1" x14ac:dyDescent="0.25">
      <c r="A153" s="19"/>
      <c r="B153" s="233"/>
      <c r="C153" s="238"/>
      <c r="D153" s="239"/>
      <c r="E153" s="240"/>
      <c r="F153" s="19"/>
      <c r="G153" s="245"/>
      <c r="H153" s="246"/>
      <c r="I153" s="126"/>
      <c r="J153" s="247"/>
      <c r="K153" s="19"/>
    </row>
    <row r="154" spans="1:11" ht="19.5" customHeight="1" x14ac:dyDescent="0.25">
      <c r="A154" s="19"/>
      <c r="B154" s="233"/>
      <c r="C154" s="238"/>
      <c r="D154" s="239"/>
      <c r="E154" s="240"/>
      <c r="F154" s="19"/>
      <c r="G154" s="245"/>
      <c r="H154" s="246"/>
      <c r="I154" s="126"/>
      <c r="J154" s="247"/>
      <c r="K154" s="19"/>
    </row>
    <row r="155" spans="1:11" ht="19.5" customHeight="1" x14ac:dyDescent="0.25">
      <c r="A155" s="19"/>
      <c r="B155" s="233"/>
      <c r="C155" s="238"/>
      <c r="D155" s="239"/>
      <c r="E155" s="240"/>
      <c r="F155" s="19"/>
      <c r="G155" s="245"/>
      <c r="H155" s="246"/>
      <c r="I155" s="126"/>
      <c r="J155" s="247"/>
      <c r="K155" s="19"/>
    </row>
    <row r="156" spans="1:11" ht="19.5" customHeight="1" x14ac:dyDescent="0.25">
      <c r="A156" s="19"/>
      <c r="B156" s="233"/>
      <c r="C156" s="238"/>
      <c r="D156" s="239"/>
      <c r="E156" s="240"/>
      <c r="F156" s="19"/>
      <c r="G156" s="245"/>
      <c r="H156" s="246"/>
      <c r="I156" s="126"/>
      <c r="J156" s="247"/>
      <c r="K156" s="19"/>
    </row>
    <row r="157" spans="1:11" ht="19.5" customHeight="1" x14ac:dyDescent="0.25">
      <c r="A157" s="19"/>
      <c r="B157" s="233"/>
      <c r="C157" s="238"/>
      <c r="D157" s="239"/>
      <c r="E157" s="240"/>
      <c r="F157" s="19"/>
      <c r="G157" s="245"/>
      <c r="H157" s="246"/>
      <c r="I157" s="126"/>
      <c r="J157" s="247"/>
      <c r="K157" s="19"/>
    </row>
    <row r="158" spans="1:11" ht="19.5" customHeight="1" x14ac:dyDescent="0.25">
      <c r="A158" s="19"/>
      <c r="B158" s="233"/>
      <c r="C158" s="238"/>
      <c r="D158" s="239"/>
      <c r="E158" s="240"/>
      <c r="F158" s="19"/>
      <c r="G158" s="245"/>
      <c r="H158" s="246"/>
      <c r="I158" s="126"/>
      <c r="J158" s="247"/>
      <c r="K158" s="19"/>
    </row>
    <row r="159" spans="1:11" ht="19.5" customHeight="1" x14ac:dyDescent="0.25">
      <c r="A159" s="19"/>
      <c r="B159" s="233"/>
      <c r="C159" s="238"/>
      <c r="D159" s="239"/>
      <c r="E159" s="240"/>
      <c r="F159" s="19"/>
      <c r="G159" s="245"/>
      <c r="H159" s="246"/>
      <c r="I159" s="126"/>
      <c r="J159" s="247"/>
      <c r="K159" s="19"/>
    </row>
    <row r="160" spans="1:11" ht="19.5" customHeight="1" x14ac:dyDescent="0.25">
      <c r="A160" s="19"/>
      <c r="B160" s="245"/>
      <c r="C160" s="246"/>
      <c r="D160" s="248"/>
      <c r="E160" s="247"/>
      <c r="F160" s="19"/>
      <c r="G160" s="245"/>
      <c r="H160" s="246"/>
      <c r="I160" s="126"/>
      <c r="J160" s="247"/>
      <c r="K160" s="19"/>
    </row>
    <row r="161" spans="1:11" ht="19.5" customHeight="1" x14ac:dyDescent="0.25">
      <c r="A161" s="19"/>
      <c r="B161" s="245"/>
      <c r="C161" s="246"/>
      <c r="D161" s="248"/>
      <c r="E161" s="247"/>
      <c r="F161" s="19"/>
      <c r="G161" s="245"/>
      <c r="H161" s="246"/>
      <c r="I161" s="126"/>
      <c r="J161" s="247"/>
      <c r="K161" s="19"/>
    </row>
    <row r="162" spans="1:11" ht="19.5" customHeight="1" x14ac:dyDescent="0.25">
      <c r="A162" s="19"/>
      <c r="B162" s="245"/>
      <c r="C162" s="246"/>
      <c r="D162" s="248"/>
      <c r="E162" s="247"/>
      <c r="F162" s="19"/>
      <c r="G162" s="245"/>
      <c r="H162" s="246"/>
      <c r="I162" s="126"/>
      <c r="J162" s="247"/>
      <c r="K162" s="19"/>
    </row>
    <row r="163" spans="1:11" ht="19.5" customHeight="1" x14ac:dyDescent="0.25">
      <c r="A163" s="19"/>
      <c r="B163" s="245"/>
      <c r="C163" s="246"/>
      <c r="D163" s="248"/>
      <c r="E163" s="247"/>
      <c r="F163" s="19"/>
      <c r="G163" s="245"/>
      <c r="H163" s="246"/>
      <c r="I163" s="126"/>
      <c r="J163" s="247"/>
      <c r="K163" s="19"/>
    </row>
    <row r="164" spans="1:11" ht="19.5" customHeight="1" x14ac:dyDescent="0.25">
      <c r="A164" s="19"/>
      <c r="B164" s="245"/>
      <c r="C164" s="246"/>
      <c r="D164" s="248"/>
      <c r="E164" s="247"/>
      <c r="F164" s="19"/>
      <c r="G164" s="245"/>
      <c r="H164" s="246"/>
      <c r="I164" s="126"/>
      <c r="J164" s="247"/>
      <c r="K164" s="19"/>
    </row>
    <row r="165" spans="1:11" ht="19.5" customHeight="1" x14ac:dyDescent="0.25">
      <c r="A165" s="19"/>
      <c r="B165" s="245"/>
      <c r="C165" s="246"/>
      <c r="D165" s="248"/>
      <c r="E165" s="247"/>
      <c r="F165" s="19"/>
      <c r="G165" s="245"/>
      <c r="H165" s="246"/>
      <c r="I165" s="126"/>
      <c r="J165" s="247"/>
      <c r="K165" s="19"/>
    </row>
    <row r="166" spans="1:11" ht="19.5" customHeight="1" x14ac:dyDescent="0.25">
      <c r="A166" s="19"/>
      <c r="B166" s="245"/>
      <c r="C166" s="246"/>
      <c r="D166" s="248"/>
      <c r="E166" s="247"/>
      <c r="F166" s="19"/>
      <c r="G166" s="245"/>
      <c r="H166" s="246"/>
      <c r="I166" s="126"/>
      <c r="J166" s="247"/>
      <c r="K166" s="19"/>
    </row>
    <row r="167" spans="1:11" ht="19.5" customHeight="1" x14ac:dyDescent="0.25">
      <c r="A167" s="19"/>
      <c r="B167" s="245"/>
      <c r="C167" s="246"/>
      <c r="D167" s="248"/>
      <c r="E167" s="247"/>
      <c r="F167" s="19"/>
      <c r="G167" s="245"/>
      <c r="H167" s="246"/>
      <c r="I167" s="126"/>
      <c r="J167" s="247"/>
      <c r="K167" s="19"/>
    </row>
    <row r="168" spans="1:11" ht="19.5" customHeight="1" x14ac:dyDescent="0.25">
      <c r="A168" s="19"/>
      <c r="B168" s="245"/>
      <c r="C168" s="246"/>
      <c r="D168" s="248"/>
      <c r="E168" s="247"/>
      <c r="F168" s="19"/>
      <c r="G168" s="245"/>
      <c r="H168" s="246"/>
      <c r="I168" s="126"/>
      <c r="J168" s="247"/>
      <c r="K168" s="19"/>
    </row>
    <row r="169" spans="1:11" ht="19.5" customHeight="1" x14ac:dyDescent="0.25">
      <c r="A169" s="19"/>
      <c r="B169" s="245"/>
      <c r="C169" s="246"/>
      <c r="D169" s="248"/>
      <c r="E169" s="247"/>
      <c r="F169" s="19"/>
      <c r="G169" s="245"/>
      <c r="H169" s="246"/>
      <c r="I169" s="126"/>
      <c r="J169" s="247"/>
      <c r="K169" s="19"/>
    </row>
    <row r="170" spans="1:11" ht="19.5" customHeight="1" x14ac:dyDescent="0.25">
      <c r="A170" s="19"/>
      <c r="B170" s="245"/>
      <c r="C170" s="246"/>
      <c r="D170" s="248"/>
      <c r="E170" s="247"/>
      <c r="F170" s="19"/>
      <c r="G170" s="245"/>
      <c r="H170" s="246"/>
      <c r="I170" s="126"/>
      <c r="J170" s="247"/>
      <c r="K170" s="19"/>
    </row>
    <row r="171" spans="1:11" ht="19.5" customHeight="1" x14ac:dyDescent="0.25">
      <c r="A171" s="19"/>
      <c r="B171" s="245"/>
      <c r="C171" s="246"/>
      <c r="D171" s="248"/>
      <c r="E171" s="247"/>
      <c r="F171" s="19"/>
      <c r="G171" s="245"/>
      <c r="H171" s="246"/>
      <c r="I171" s="126"/>
      <c r="J171" s="247"/>
      <c r="K171" s="19"/>
    </row>
    <row r="172" spans="1:11" ht="19.5" customHeight="1" x14ac:dyDescent="0.25">
      <c r="A172" s="19"/>
      <c r="B172" s="245"/>
      <c r="C172" s="246"/>
      <c r="D172" s="248"/>
      <c r="E172" s="247"/>
      <c r="F172" s="19"/>
      <c r="G172" s="245"/>
      <c r="H172" s="246"/>
      <c r="I172" s="126"/>
      <c r="J172" s="247"/>
      <c r="K172" s="19"/>
    </row>
    <row r="173" spans="1:11" ht="19.5" customHeight="1" x14ac:dyDescent="0.25">
      <c r="A173" s="19"/>
      <c r="B173" s="245"/>
      <c r="C173" s="246"/>
      <c r="D173" s="248"/>
      <c r="E173" s="247"/>
      <c r="F173" s="19"/>
      <c r="G173" s="245"/>
      <c r="H173" s="246"/>
      <c r="I173" s="126"/>
      <c r="J173" s="247"/>
      <c r="K173" s="19"/>
    </row>
    <row r="174" spans="1:11" ht="19.5" customHeight="1" x14ac:dyDescent="0.25">
      <c r="A174" s="19"/>
      <c r="B174" s="245"/>
      <c r="C174" s="246"/>
      <c r="D174" s="248"/>
      <c r="E174" s="247"/>
      <c r="F174" s="19"/>
      <c r="G174" s="245"/>
      <c r="H174" s="246"/>
      <c r="I174" s="126"/>
      <c r="J174" s="247"/>
      <c r="K174" s="19"/>
    </row>
    <row r="175" spans="1:11" ht="19.5" customHeight="1" x14ac:dyDescent="0.25">
      <c r="A175" s="19"/>
      <c r="B175" s="245"/>
      <c r="C175" s="246"/>
      <c r="D175" s="248"/>
      <c r="E175" s="247"/>
      <c r="F175" s="19"/>
      <c r="G175" s="245"/>
      <c r="H175" s="246"/>
      <c r="I175" s="126"/>
      <c r="J175" s="247"/>
      <c r="K175" s="19"/>
    </row>
    <row r="176" spans="1:11" ht="19.5" customHeight="1" x14ac:dyDescent="0.25">
      <c r="A176" s="19"/>
      <c r="B176" s="245"/>
      <c r="C176" s="246"/>
      <c r="D176" s="248"/>
      <c r="E176" s="247"/>
      <c r="F176" s="19"/>
      <c r="G176" s="245"/>
      <c r="H176" s="246"/>
      <c r="I176" s="126"/>
      <c r="J176" s="247"/>
      <c r="K176" s="19"/>
    </row>
    <row r="177" spans="1:11" ht="19.5" customHeight="1" x14ac:dyDescent="0.25">
      <c r="A177" s="19"/>
      <c r="B177" s="245"/>
      <c r="C177" s="246"/>
      <c r="D177" s="248"/>
      <c r="E177" s="247"/>
      <c r="F177" s="19"/>
      <c r="G177" s="245"/>
      <c r="H177" s="246"/>
      <c r="I177" s="126"/>
      <c r="J177" s="247"/>
      <c r="K177" s="19"/>
    </row>
    <row r="178" spans="1:11" ht="19.5" customHeight="1" x14ac:dyDescent="0.25">
      <c r="A178" s="19"/>
      <c r="B178" s="245"/>
      <c r="C178" s="246"/>
      <c r="D178" s="248"/>
      <c r="E178" s="247"/>
      <c r="F178" s="19"/>
      <c r="G178" s="245"/>
      <c r="H178" s="246"/>
      <c r="I178" s="126"/>
      <c r="J178" s="247"/>
      <c r="K178" s="19"/>
    </row>
    <row r="179" spans="1:11" ht="19.5" customHeight="1" x14ac:dyDescent="0.25">
      <c r="A179" s="19"/>
      <c r="B179" s="245"/>
      <c r="C179" s="246"/>
      <c r="D179" s="248"/>
      <c r="E179" s="247"/>
      <c r="F179" s="19"/>
      <c r="G179" s="245"/>
      <c r="H179" s="246"/>
      <c r="I179" s="126"/>
      <c r="J179" s="247"/>
      <c r="K179" s="19"/>
    </row>
    <row r="180" spans="1:11" ht="19.5" customHeight="1" x14ac:dyDescent="0.25">
      <c r="A180" s="19"/>
      <c r="B180" s="245"/>
      <c r="C180" s="246"/>
      <c r="D180" s="248"/>
      <c r="E180" s="247"/>
      <c r="F180" s="19"/>
      <c r="G180" s="245"/>
      <c r="H180" s="246"/>
      <c r="I180" s="126"/>
      <c r="J180" s="247"/>
      <c r="K180" s="19"/>
    </row>
    <row r="181" spans="1:11" ht="19.5" customHeight="1" x14ac:dyDescent="0.25">
      <c r="A181" s="19"/>
      <c r="B181" s="245"/>
      <c r="C181" s="246"/>
      <c r="D181" s="248"/>
      <c r="E181" s="247"/>
      <c r="F181" s="19"/>
      <c r="G181" s="245"/>
      <c r="H181" s="246"/>
      <c r="I181" s="126"/>
      <c r="J181" s="247"/>
      <c r="K181" s="19"/>
    </row>
    <row r="182" spans="1:11" ht="19.5" customHeight="1" x14ac:dyDescent="0.25">
      <c r="A182" s="19"/>
      <c r="B182" s="245"/>
      <c r="C182" s="246"/>
      <c r="D182" s="248"/>
      <c r="E182" s="247"/>
      <c r="F182" s="19"/>
      <c r="G182" s="245"/>
      <c r="H182" s="246"/>
      <c r="I182" s="126"/>
      <c r="J182" s="247"/>
      <c r="K182" s="19"/>
    </row>
    <row r="183" spans="1:11" ht="19.5" customHeight="1" x14ac:dyDescent="0.25">
      <c r="A183" s="19"/>
      <c r="B183" s="245"/>
      <c r="C183" s="246"/>
      <c r="D183" s="248"/>
      <c r="E183" s="247"/>
      <c r="F183" s="19"/>
      <c r="G183" s="245"/>
      <c r="H183" s="246"/>
      <c r="I183" s="126"/>
      <c r="J183" s="247"/>
      <c r="K183" s="19"/>
    </row>
    <row r="184" spans="1:11" ht="19.5" customHeight="1" x14ac:dyDescent="0.25">
      <c r="A184" s="19"/>
      <c r="B184" s="245"/>
      <c r="C184" s="246"/>
      <c r="D184" s="248"/>
      <c r="E184" s="247"/>
      <c r="F184" s="19"/>
      <c r="G184" s="245"/>
      <c r="H184" s="246"/>
      <c r="I184" s="126"/>
      <c r="J184" s="247"/>
      <c r="K184" s="19"/>
    </row>
    <row r="185" spans="1:11" ht="19.5" customHeight="1" x14ac:dyDescent="0.25">
      <c r="A185" s="19"/>
      <c r="B185" s="245"/>
      <c r="C185" s="246"/>
      <c r="D185" s="248"/>
      <c r="E185" s="247"/>
      <c r="F185" s="19"/>
      <c r="G185" s="245"/>
      <c r="H185" s="246"/>
      <c r="I185" s="126"/>
      <c r="J185" s="247"/>
      <c r="K185" s="19"/>
    </row>
    <row r="186" spans="1:11" ht="19.5" customHeight="1" x14ac:dyDescent="0.25">
      <c r="A186" s="19"/>
      <c r="B186" s="245"/>
      <c r="C186" s="246"/>
      <c r="D186" s="248"/>
      <c r="E186" s="247"/>
      <c r="F186" s="19"/>
      <c r="G186" s="245"/>
      <c r="H186" s="246"/>
      <c r="I186" s="126"/>
      <c r="J186" s="247"/>
      <c r="K186" s="19"/>
    </row>
    <row r="187" spans="1:11" ht="19.5" customHeight="1" x14ac:dyDescent="0.25">
      <c r="A187" s="19"/>
      <c r="B187" s="245"/>
      <c r="C187" s="246"/>
      <c r="D187" s="248"/>
      <c r="E187" s="247"/>
      <c r="F187" s="19"/>
      <c r="G187" s="245"/>
      <c r="H187" s="246"/>
      <c r="I187" s="126"/>
      <c r="J187" s="247"/>
      <c r="K187" s="19"/>
    </row>
    <row r="188" spans="1:11" ht="19.5" customHeight="1" x14ac:dyDescent="0.25">
      <c r="A188" s="19"/>
      <c r="B188" s="245"/>
      <c r="C188" s="246"/>
      <c r="D188" s="248"/>
      <c r="E188" s="247"/>
      <c r="F188" s="19"/>
      <c r="G188" s="245"/>
      <c r="H188" s="246"/>
      <c r="I188" s="126"/>
      <c r="J188" s="247"/>
      <c r="K188" s="19"/>
    </row>
    <row r="189" spans="1:11" ht="19.5" customHeight="1" x14ac:dyDescent="0.25">
      <c r="A189" s="19"/>
      <c r="B189" s="245"/>
      <c r="C189" s="246"/>
      <c r="D189" s="248"/>
      <c r="E189" s="247"/>
      <c r="F189" s="19"/>
      <c r="G189" s="245"/>
      <c r="H189" s="246"/>
      <c r="I189" s="126"/>
      <c r="J189" s="247"/>
      <c r="K189" s="19"/>
    </row>
    <row r="190" spans="1:11" ht="19.5" customHeight="1" x14ac:dyDescent="0.25">
      <c r="A190" s="19"/>
      <c r="B190" s="245"/>
      <c r="C190" s="246"/>
      <c r="D190" s="248"/>
      <c r="E190" s="247"/>
      <c r="F190" s="19"/>
      <c r="G190" s="245"/>
      <c r="H190" s="246"/>
      <c r="I190" s="126"/>
      <c r="J190" s="247"/>
      <c r="K190" s="19"/>
    </row>
    <row r="191" spans="1:11" ht="19.5" customHeight="1" x14ac:dyDescent="0.25">
      <c r="A191" s="19"/>
      <c r="B191" s="245"/>
      <c r="C191" s="246"/>
      <c r="D191" s="248"/>
      <c r="E191" s="247"/>
      <c r="F191" s="19"/>
      <c r="G191" s="245"/>
      <c r="H191" s="246"/>
      <c r="I191" s="126"/>
      <c r="J191" s="247"/>
      <c r="K191" s="19"/>
    </row>
    <row r="192" spans="1:11" ht="19.5" customHeight="1" x14ac:dyDescent="0.25">
      <c r="A192" s="19"/>
      <c r="B192" s="245"/>
      <c r="C192" s="246"/>
      <c r="D192" s="248"/>
      <c r="E192" s="247"/>
      <c r="F192" s="19"/>
      <c r="G192" s="245"/>
      <c r="H192" s="246"/>
      <c r="I192" s="126"/>
      <c r="J192" s="247"/>
      <c r="K192" s="19"/>
    </row>
    <row r="193" spans="1:11" ht="19.5" customHeight="1" x14ac:dyDescent="0.25">
      <c r="A193" s="19"/>
      <c r="B193" s="245"/>
      <c r="C193" s="246"/>
      <c r="D193" s="248"/>
      <c r="E193" s="247"/>
      <c r="F193" s="19"/>
      <c r="G193" s="245"/>
      <c r="H193" s="246"/>
      <c r="I193" s="126"/>
      <c r="J193" s="247"/>
      <c r="K193" s="19"/>
    </row>
    <row r="194" spans="1:11" ht="19.5" customHeight="1" x14ac:dyDescent="0.25">
      <c r="A194" s="19"/>
      <c r="B194" s="245"/>
      <c r="C194" s="246"/>
      <c r="D194" s="248"/>
      <c r="E194" s="247"/>
      <c r="F194" s="19"/>
      <c r="G194" s="245"/>
      <c r="H194" s="246"/>
      <c r="I194" s="126"/>
      <c r="J194" s="247"/>
      <c r="K194" s="19"/>
    </row>
    <row r="195" spans="1:11" ht="19.5" customHeight="1" x14ac:dyDescent="0.25">
      <c r="A195" s="19"/>
      <c r="B195" s="245"/>
      <c r="C195" s="246"/>
      <c r="D195" s="248"/>
      <c r="E195" s="247"/>
      <c r="F195" s="19"/>
      <c r="G195" s="245"/>
      <c r="H195" s="246"/>
      <c r="I195" s="126"/>
      <c r="J195" s="247"/>
      <c r="K195" s="19"/>
    </row>
    <row r="196" spans="1:11" ht="19.5" customHeight="1" x14ac:dyDescent="0.25">
      <c r="A196" s="19"/>
      <c r="B196" s="245"/>
      <c r="C196" s="246"/>
      <c r="D196" s="248"/>
      <c r="E196" s="247"/>
      <c r="F196" s="19"/>
      <c r="G196" s="245"/>
      <c r="H196" s="246"/>
      <c r="I196" s="126"/>
      <c r="J196" s="247"/>
      <c r="K196" s="19"/>
    </row>
    <row r="197" spans="1:11" ht="19.5" customHeight="1" x14ac:dyDescent="0.25">
      <c r="A197" s="19"/>
      <c r="B197" s="245"/>
      <c r="C197" s="246"/>
      <c r="D197" s="248"/>
      <c r="E197" s="247"/>
      <c r="F197" s="19"/>
      <c r="G197" s="245"/>
      <c r="H197" s="246"/>
      <c r="I197" s="126"/>
      <c r="J197" s="247"/>
      <c r="K197" s="19"/>
    </row>
    <row r="198" spans="1:11" ht="19.5" customHeight="1" x14ac:dyDescent="0.25">
      <c r="A198" s="19"/>
      <c r="B198" s="245"/>
      <c r="C198" s="246"/>
      <c r="D198" s="248"/>
      <c r="E198" s="247"/>
      <c r="F198" s="19"/>
      <c r="G198" s="245"/>
      <c r="H198" s="246"/>
      <c r="I198" s="126"/>
      <c r="J198" s="247"/>
      <c r="K198" s="19"/>
    </row>
    <row r="199" spans="1:11" ht="19.5" customHeight="1" x14ac:dyDescent="0.25">
      <c r="A199" s="19"/>
      <c r="B199" s="245"/>
      <c r="C199" s="246"/>
      <c r="D199" s="248"/>
      <c r="E199" s="247"/>
      <c r="F199" s="19"/>
      <c r="G199" s="245"/>
      <c r="H199" s="246"/>
      <c r="I199" s="126"/>
      <c r="J199" s="247"/>
      <c r="K199" s="19"/>
    </row>
    <row r="200" spans="1:11" ht="19.5" customHeight="1" x14ac:dyDescent="0.25">
      <c r="A200" s="19"/>
      <c r="B200" s="245"/>
      <c r="C200" s="246"/>
      <c r="D200" s="248"/>
      <c r="E200" s="247"/>
      <c r="F200" s="19"/>
      <c r="G200" s="245"/>
      <c r="H200" s="246"/>
      <c r="I200" s="126"/>
      <c r="J200" s="247"/>
      <c r="K200" s="19"/>
    </row>
    <row r="201" spans="1:11" ht="19.5" customHeight="1" x14ac:dyDescent="0.25">
      <c r="A201" s="19"/>
      <c r="B201" s="245"/>
      <c r="C201" s="246"/>
      <c r="D201" s="248"/>
      <c r="E201" s="247"/>
      <c r="F201" s="19"/>
      <c r="G201" s="245"/>
      <c r="H201" s="246"/>
      <c r="I201" s="126"/>
      <c r="J201" s="247"/>
      <c r="K201" s="19"/>
    </row>
    <row r="202" spans="1:11" ht="19.5" customHeight="1" x14ac:dyDescent="0.25">
      <c r="A202" s="19"/>
      <c r="B202" s="245"/>
      <c r="C202" s="246"/>
      <c r="D202" s="248"/>
      <c r="E202" s="247"/>
      <c r="F202" s="19"/>
      <c r="G202" s="245"/>
      <c r="H202" s="246"/>
      <c r="I202" s="126"/>
      <c r="J202" s="247"/>
      <c r="K202" s="19"/>
    </row>
    <row r="203" spans="1:11" ht="19.5" customHeight="1" x14ac:dyDescent="0.25">
      <c r="A203" s="19"/>
      <c r="B203" s="245"/>
      <c r="C203" s="246"/>
      <c r="D203" s="248"/>
      <c r="E203" s="247"/>
      <c r="F203" s="19"/>
      <c r="G203" s="245"/>
      <c r="H203" s="246"/>
      <c r="I203" s="126"/>
      <c r="J203" s="247"/>
      <c r="K203" s="19"/>
    </row>
    <row r="204" spans="1:11" ht="19.5" customHeight="1" x14ac:dyDescent="0.25">
      <c r="A204" s="19"/>
      <c r="B204" s="245"/>
      <c r="C204" s="246"/>
      <c r="D204" s="248"/>
      <c r="E204" s="247"/>
      <c r="F204" s="19"/>
      <c r="G204" s="245"/>
      <c r="H204" s="246"/>
      <c r="I204" s="126"/>
      <c r="J204" s="247"/>
      <c r="K204" s="19"/>
    </row>
    <row r="205" spans="1:11" ht="19.5" customHeight="1" x14ac:dyDescent="0.25">
      <c r="A205" s="19"/>
      <c r="B205" s="245"/>
      <c r="C205" s="246"/>
      <c r="D205" s="248"/>
      <c r="E205" s="247"/>
      <c r="F205" s="19"/>
      <c r="G205" s="245"/>
      <c r="H205" s="246"/>
      <c r="I205" s="126"/>
      <c r="J205" s="247"/>
      <c r="K205" s="19"/>
    </row>
    <row r="206" spans="1:11" ht="19.5" customHeight="1" x14ac:dyDescent="0.25">
      <c r="A206" s="19"/>
      <c r="B206" s="245"/>
      <c r="C206" s="246"/>
      <c r="D206" s="248"/>
      <c r="E206" s="247"/>
      <c r="F206" s="19"/>
      <c r="G206" s="245"/>
      <c r="H206" s="246"/>
      <c r="I206" s="126"/>
      <c r="J206" s="247"/>
      <c r="K206" s="19"/>
    </row>
    <row r="207" spans="1:11" ht="19.5" customHeight="1" x14ac:dyDescent="0.25">
      <c r="A207" s="19"/>
      <c r="B207" s="245"/>
      <c r="C207" s="246"/>
      <c r="D207" s="248"/>
      <c r="E207" s="247"/>
      <c r="F207" s="19"/>
      <c r="G207" s="245"/>
      <c r="H207" s="246"/>
      <c r="I207" s="126"/>
      <c r="J207" s="247"/>
      <c r="K207" s="19"/>
    </row>
    <row r="208" spans="1:11" ht="19.5" customHeight="1" x14ac:dyDescent="0.25">
      <c r="A208" s="19"/>
      <c r="B208" s="245"/>
      <c r="C208" s="246"/>
      <c r="D208" s="248"/>
      <c r="E208" s="247"/>
      <c r="F208" s="19"/>
      <c r="G208" s="245"/>
      <c r="H208" s="246"/>
      <c r="I208" s="126"/>
      <c r="J208" s="247"/>
      <c r="K208" s="19"/>
    </row>
    <row r="209" spans="1:11" ht="19.5" customHeight="1" x14ac:dyDescent="0.25">
      <c r="A209" s="19"/>
      <c r="B209" s="245"/>
      <c r="C209" s="246"/>
      <c r="D209" s="248"/>
      <c r="E209" s="247"/>
      <c r="F209" s="19"/>
      <c r="G209" s="245"/>
      <c r="H209" s="246"/>
      <c r="I209" s="126"/>
      <c r="J209" s="247"/>
      <c r="K209" s="19"/>
    </row>
    <row r="210" spans="1:11" ht="19.5" customHeight="1" x14ac:dyDescent="0.25">
      <c r="A210" s="19"/>
      <c r="B210" s="245"/>
      <c r="C210" s="246"/>
      <c r="D210" s="248"/>
      <c r="E210" s="247"/>
      <c r="F210" s="19"/>
      <c r="G210" s="245"/>
      <c r="H210" s="246"/>
      <c r="I210" s="126"/>
      <c r="J210" s="247"/>
      <c r="K210" s="19"/>
    </row>
    <row r="211" spans="1:11" ht="19.5" customHeight="1" x14ac:dyDescent="0.25">
      <c r="A211" s="19"/>
      <c r="B211" s="245"/>
      <c r="C211" s="246"/>
      <c r="D211" s="248"/>
      <c r="E211" s="247"/>
      <c r="F211" s="19"/>
      <c r="G211" s="245"/>
      <c r="H211" s="246"/>
      <c r="I211" s="126"/>
      <c r="J211" s="247"/>
      <c r="K211" s="19"/>
    </row>
    <row r="212" spans="1:11" ht="19.5" customHeight="1" x14ac:dyDescent="0.25">
      <c r="A212" s="19"/>
      <c r="B212" s="245"/>
      <c r="C212" s="246"/>
      <c r="D212" s="248"/>
      <c r="E212" s="247"/>
      <c r="F212" s="19"/>
      <c r="G212" s="245"/>
      <c r="H212" s="246"/>
      <c r="I212" s="126"/>
      <c r="J212" s="247"/>
      <c r="K212" s="19"/>
    </row>
    <row r="213" spans="1:11" ht="19.5" customHeight="1" x14ac:dyDescent="0.25">
      <c r="A213" s="19"/>
      <c r="B213" s="245"/>
      <c r="C213" s="246"/>
      <c r="D213" s="248"/>
      <c r="E213" s="247"/>
      <c r="F213" s="19"/>
      <c r="G213" s="245"/>
      <c r="H213" s="246"/>
      <c r="I213" s="126"/>
      <c r="J213" s="247"/>
      <c r="K213" s="19"/>
    </row>
    <row r="214" spans="1:11" ht="19.5" customHeight="1" x14ac:dyDescent="0.25">
      <c r="A214" s="19"/>
      <c r="B214" s="245"/>
      <c r="C214" s="246"/>
      <c r="D214" s="248"/>
      <c r="E214" s="247"/>
      <c r="F214" s="19"/>
      <c r="G214" s="245"/>
      <c r="H214" s="246"/>
      <c r="I214" s="126"/>
      <c r="J214" s="247"/>
      <c r="K214" s="19"/>
    </row>
    <row r="215" spans="1:11" ht="19.5" customHeight="1" x14ac:dyDescent="0.25">
      <c r="A215" s="19"/>
      <c r="B215" s="245"/>
      <c r="C215" s="246"/>
      <c r="D215" s="248"/>
      <c r="E215" s="247"/>
      <c r="F215" s="19"/>
      <c r="G215" s="245"/>
      <c r="H215" s="246"/>
      <c r="I215" s="126"/>
      <c r="J215" s="247"/>
      <c r="K215" s="19"/>
    </row>
    <row r="216" spans="1:11" ht="19.5" customHeight="1" x14ac:dyDescent="0.25">
      <c r="A216" s="19"/>
      <c r="B216" s="245"/>
      <c r="C216" s="246"/>
      <c r="D216" s="248"/>
      <c r="E216" s="247"/>
      <c r="F216" s="19"/>
      <c r="G216" s="245"/>
      <c r="H216" s="246"/>
      <c r="I216" s="126"/>
      <c r="J216" s="247"/>
      <c r="K216" s="19"/>
    </row>
    <row r="217" spans="1:11" ht="19.5" customHeight="1" x14ac:dyDescent="0.25">
      <c r="A217" s="19"/>
      <c r="B217" s="245"/>
      <c r="C217" s="246"/>
      <c r="D217" s="248"/>
      <c r="E217" s="247"/>
      <c r="F217" s="19"/>
      <c r="G217" s="245"/>
      <c r="H217" s="246"/>
      <c r="I217" s="126"/>
      <c r="J217" s="247"/>
      <c r="K217" s="19"/>
    </row>
    <row r="218" spans="1:11" ht="19.5" customHeight="1" x14ac:dyDescent="0.25">
      <c r="A218" s="19"/>
      <c r="B218" s="245"/>
      <c r="C218" s="246"/>
      <c r="D218" s="248"/>
      <c r="E218" s="247"/>
      <c r="F218" s="19"/>
      <c r="G218" s="245"/>
      <c r="H218" s="246"/>
      <c r="I218" s="126"/>
      <c r="J218" s="247"/>
      <c r="K218" s="19"/>
    </row>
    <row r="219" spans="1:11" ht="19.5" customHeight="1" x14ac:dyDescent="0.25">
      <c r="A219" s="19"/>
      <c r="B219" s="245"/>
      <c r="C219" s="246"/>
      <c r="D219" s="248"/>
      <c r="E219" s="247"/>
      <c r="F219" s="19"/>
      <c r="G219" s="245"/>
      <c r="H219" s="246"/>
      <c r="I219" s="126"/>
      <c r="J219" s="247"/>
      <c r="K219" s="19"/>
    </row>
    <row r="220" spans="1:11" ht="19.5" customHeight="1" x14ac:dyDescent="0.25">
      <c r="A220" s="19"/>
      <c r="B220" s="245"/>
      <c r="C220" s="246"/>
      <c r="D220" s="248"/>
      <c r="E220" s="247"/>
      <c r="F220" s="19"/>
      <c r="G220" s="245"/>
      <c r="H220" s="246"/>
      <c r="I220" s="126"/>
      <c r="J220" s="247"/>
      <c r="K220" s="19"/>
    </row>
    <row r="221" spans="1:11" ht="15.75" customHeight="1" x14ac:dyDescent="0.25">
      <c r="E221" s="139"/>
      <c r="J221" s="139"/>
    </row>
    <row r="222" spans="1:11" ht="15.75" customHeight="1" x14ac:dyDescent="0.25">
      <c r="E222" s="139"/>
      <c r="J222" s="139"/>
    </row>
    <row r="223" spans="1:11" ht="15.75" customHeight="1" x14ac:dyDescent="0.25">
      <c r="E223" s="139"/>
      <c r="J223" s="139"/>
    </row>
    <row r="224" spans="1:11" ht="15.75" customHeight="1" x14ac:dyDescent="0.25">
      <c r="E224" s="139"/>
      <c r="J224" s="139"/>
    </row>
    <row r="225" spans="5:10" ht="15.75" customHeight="1" x14ac:dyDescent="0.25">
      <c r="E225" s="139"/>
      <c r="J225" s="139"/>
    </row>
    <row r="226" spans="5:10" ht="15.75" customHeight="1" x14ac:dyDescent="0.25">
      <c r="E226" s="139"/>
      <c r="J226" s="139"/>
    </row>
    <row r="227" spans="5:10" ht="15.75" customHeight="1" x14ac:dyDescent="0.25">
      <c r="E227" s="139"/>
      <c r="J227" s="139"/>
    </row>
    <row r="228" spans="5:10" ht="15.75" customHeight="1" x14ac:dyDescent="0.25">
      <c r="E228" s="139"/>
      <c r="J228" s="139"/>
    </row>
    <row r="229" spans="5:10" ht="15.75" customHeight="1" x14ac:dyDescent="0.25">
      <c r="E229" s="139"/>
      <c r="J229" s="139"/>
    </row>
    <row r="230" spans="5:10" ht="15.75" customHeight="1" x14ac:dyDescent="0.25">
      <c r="E230" s="139"/>
      <c r="J230" s="139"/>
    </row>
    <row r="231" spans="5:10" ht="15.75" customHeight="1" x14ac:dyDescent="0.25">
      <c r="E231" s="139"/>
      <c r="J231" s="139"/>
    </row>
    <row r="232" spans="5:10" ht="15.75" customHeight="1" x14ac:dyDescent="0.25">
      <c r="E232" s="139"/>
      <c r="J232" s="139"/>
    </row>
    <row r="233" spans="5:10" ht="15.75" customHeight="1" x14ac:dyDescent="0.25">
      <c r="E233" s="139"/>
      <c r="J233" s="139"/>
    </row>
    <row r="234" spans="5:10" ht="15.75" customHeight="1" x14ac:dyDescent="0.25">
      <c r="E234" s="139"/>
      <c r="J234" s="139"/>
    </row>
    <row r="235" spans="5:10" ht="15.75" customHeight="1" x14ac:dyDescent="0.25">
      <c r="E235" s="139"/>
      <c r="J235" s="139"/>
    </row>
    <row r="236" spans="5:10" ht="15.75" customHeight="1" x14ac:dyDescent="0.25">
      <c r="E236" s="139"/>
      <c r="J236" s="139"/>
    </row>
    <row r="237" spans="5:10" ht="15.75" customHeight="1" x14ac:dyDescent="0.25">
      <c r="E237" s="139"/>
      <c r="J237" s="139"/>
    </row>
    <row r="238" spans="5:10" ht="15.75" customHeight="1" x14ac:dyDescent="0.25">
      <c r="E238" s="139"/>
      <c r="J238" s="139"/>
    </row>
    <row r="239" spans="5:10" ht="15.75" customHeight="1" x14ac:dyDescent="0.25">
      <c r="E239" s="139"/>
      <c r="J239" s="139"/>
    </row>
    <row r="240" spans="5:10" ht="15.75" customHeight="1" x14ac:dyDescent="0.25">
      <c r="E240" s="139"/>
      <c r="J240" s="139"/>
    </row>
    <row r="241" spans="5:10" ht="15.75" customHeight="1" x14ac:dyDescent="0.25">
      <c r="E241" s="139"/>
      <c r="J241" s="139"/>
    </row>
    <row r="242" spans="5:10" ht="15.75" customHeight="1" x14ac:dyDescent="0.25">
      <c r="E242" s="139"/>
      <c r="J242" s="139"/>
    </row>
    <row r="243" spans="5:10" ht="15.75" customHeight="1" x14ac:dyDescent="0.25">
      <c r="E243" s="139"/>
      <c r="J243" s="139"/>
    </row>
    <row r="244" spans="5:10" ht="15.75" customHeight="1" x14ac:dyDescent="0.25">
      <c r="E244" s="139"/>
      <c r="J244" s="139"/>
    </row>
    <row r="245" spans="5:10" ht="15.75" customHeight="1" x14ac:dyDescent="0.25">
      <c r="E245" s="139"/>
      <c r="J245" s="139"/>
    </row>
    <row r="246" spans="5:10" ht="15.75" customHeight="1" x14ac:dyDescent="0.25">
      <c r="E246" s="139"/>
      <c r="J246" s="139"/>
    </row>
    <row r="247" spans="5:10" ht="15.75" customHeight="1" x14ac:dyDescent="0.25">
      <c r="E247" s="139"/>
      <c r="J247" s="139"/>
    </row>
    <row r="248" spans="5:10" ht="15.75" customHeight="1" x14ac:dyDescent="0.25">
      <c r="E248" s="139"/>
      <c r="J248" s="139"/>
    </row>
    <row r="249" spans="5:10" ht="15.75" customHeight="1" x14ac:dyDescent="0.25">
      <c r="E249" s="139"/>
      <c r="J249" s="139"/>
    </row>
    <row r="250" spans="5:10" ht="15.75" customHeight="1" x14ac:dyDescent="0.25">
      <c r="E250" s="139"/>
      <c r="J250" s="139"/>
    </row>
    <row r="251" spans="5:10" ht="15.75" customHeight="1" x14ac:dyDescent="0.25">
      <c r="E251" s="139"/>
      <c r="J251" s="139"/>
    </row>
    <row r="252" spans="5:10" ht="15.75" customHeight="1" x14ac:dyDescent="0.25">
      <c r="E252" s="139"/>
      <c r="J252" s="139"/>
    </row>
    <row r="253" spans="5:10" ht="15.75" customHeight="1" x14ac:dyDescent="0.25">
      <c r="E253" s="139"/>
      <c r="J253" s="139"/>
    </row>
    <row r="254" spans="5:10" ht="15.75" customHeight="1" x14ac:dyDescent="0.25">
      <c r="E254" s="139"/>
      <c r="J254" s="139"/>
    </row>
    <row r="255" spans="5:10" ht="15.75" customHeight="1" x14ac:dyDescent="0.25">
      <c r="E255" s="139"/>
      <c r="J255" s="139"/>
    </row>
    <row r="256" spans="5:10" ht="15.75" customHeight="1" x14ac:dyDescent="0.25">
      <c r="E256" s="139"/>
      <c r="J256" s="139"/>
    </row>
    <row r="257" spans="5:10" ht="15.75" customHeight="1" x14ac:dyDescent="0.25">
      <c r="E257" s="139"/>
      <c r="J257" s="139"/>
    </row>
    <row r="258" spans="5:10" ht="15.75" customHeight="1" x14ac:dyDescent="0.25">
      <c r="E258" s="139"/>
      <c r="J258" s="139"/>
    </row>
    <row r="259" spans="5:10" ht="15.75" customHeight="1" x14ac:dyDescent="0.25">
      <c r="E259" s="139"/>
      <c r="J259" s="139"/>
    </row>
    <row r="260" spans="5:10" ht="15.75" customHeight="1" x14ac:dyDescent="0.25">
      <c r="E260" s="139"/>
      <c r="J260" s="139"/>
    </row>
    <row r="261" spans="5:10" ht="15.75" customHeight="1" x14ac:dyDescent="0.25">
      <c r="E261" s="139"/>
      <c r="J261" s="139"/>
    </row>
    <row r="262" spans="5:10" ht="15.75" customHeight="1" x14ac:dyDescent="0.25">
      <c r="E262" s="139"/>
      <c r="J262" s="139"/>
    </row>
    <row r="263" spans="5:10" ht="15.75" customHeight="1" x14ac:dyDescent="0.25">
      <c r="E263" s="139"/>
      <c r="J263" s="139"/>
    </row>
    <row r="264" spans="5:10" ht="15.75" customHeight="1" x14ac:dyDescent="0.25">
      <c r="E264" s="139"/>
      <c r="J264" s="139"/>
    </row>
    <row r="265" spans="5:10" ht="15.75" customHeight="1" x14ac:dyDescent="0.25">
      <c r="E265" s="139"/>
      <c r="J265" s="139"/>
    </row>
    <row r="266" spans="5:10" ht="15.75" customHeight="1" x14ac:dyDescent="0.25">
      <c r="E266" s="139"/>
      <c r="J266" s="139"/>
    </row>
    <row r="267" spans="5:10" ht="15.75" customHeight="1" x14ac:dyDescent="0.25">
      <c r="E267" s="139"/>
      <c r="J267" s="139"/>
    </row>
    <row r="268" spans="5:10" ht="15.75" customHeight="1" x14ac:dyDescent="0.25">
      <c r="E268" s="139"/>
      <c r="J268" s="139"/>
    </row>
    <row r="269" spans="5:10" ht="15.75" customHeight="1" x14ac:dyDescent="0.25">
      <c r="E269" s="139"/>
      <c r="J269" s="139"/>
    </row>
    <row r="270" spans="5:10" ht="15.75" customHeight="1" x14ac:dyDescent="0.25">
      <c r="E270" s="139"/>
      <c r="J270" s="139"/>
    </row>
    <row r="271" spans="5:10" ht="15.75" customHeight="1" x14ac:dyDescent="0.25">
      <c r="E271" s="139"/>
      <c r="J271" s="139"/>
    </row>
    <row r="272" spans="5:10" ht="15.75" customHeight="1" x14ac:dyDescent="0.25">
      <c r="E272" s="139"/>
      <c r="J272" s="139"/>
    </row>
    <row r="273" spans="5:10" ht="15.75" customHeight="1" x14ac:dyDescent="0.25">
      <c r="E273" s="139"/>
      <c r="J273" s="139"/>
    </row>
    <row r="274" spans="5:10" ht="15.75" customHeight="1" x14ac:dyDescent="0.25">
      <c r="E274" s="139"/>
      <c r="J274" s="139"/>
    </row>
    <row r="275" spans="5:10" ht="15.75" customHeight="1" x14ac:dyDescent="0.25">
      <c r="E275" s="139"/>
      <c r="J275" s="139"/>
    </row>
    <row r="276" spans="5:10" ht="15.75" customHeight="1" x14ac:dyDescent="0.25">
      <c r="E276" s="139"/>
      <c r="J276" s="139"/>
    </row>
    <row r="277" spans="5:10" ht="15.75" customHeight="1" x14ac:dyDescent="0.25">
      <c r="E277" s="139"/>
      <c r="J277" s="139"/>
    </row>
    <row r="278" spans="5:10" ht="15.75" customHeight="1" x14ac:dyDescent="0.25">
      <c r="E278" s="139"/>
      <c r="J278" s="139"/>
    </row>
    <row r="279" spans="5:10" ht="15.75" customHeight="1" x14ac:dyDescent="0.25">
      <c r="E279" s="139"/>
      <c r="J279" s="139"/>
    </row>
    <row r="280" spans="5:10" ht="15.75" customHeight="1" x14ac:dyDescent="0.25">
      <c r="E280" s="139"/>
      <c r="J280" s="139"/>
    </row>
    <row r="281" spans="5:10" ht="15.75" customHeight="1" x14ac:dyDescent="0.25">
      <c r="E281" s="139"/>
      <c r="J281" s="139"/>
    </row>
    <row r="282" spans="5:10" ht="15.75" customHeight="1" x14ac:dyDescent="0.25">
      <c r="E282" s="139"/>
      <c r="J282" s="139"/>
    </row>
    <row r="283" spans="5:10" ht="15.75" customHeight="1" x14ac:dyDescent="0.25">
      <c r="E283" s="139"/>
      <c r="J283" s="139"/>
    </row>
    <row r="284" spans="5:10" ht="15.75" customHeight="1" x14ac:dyDescent="0.25">
      <c r="E284" s="139"/>
      <c r="J284" s="139"/>
    </row>
    <row r="285" spans="5:10" ht="15.75" customHeight="1" x14ac:dyDescent="0.25">
      <c r="E285" s="139"/>
      <c r="J285" s="139"/>
    </row>
    <row r="286" spans="5:10" ht="15.75" customHeight="1" x14ac:dyDescent="0.25">
      <c r="E286" s="139"/>
      <c r="J286" s="139"/>
    </row>
    <row r="287" spans="5:10" ht="15.75" customHeight="1" x14ac:dyDescent="0.25">
      <c r="E287" s="139"/>
      <c r="J287" s="139"/>
    </row>
    <row r="288" spans="5:10" ht="15.75" customHeight="1" x14ac:dyDescent="0.25">
      <c r="E288" s="139"/>
      <c r="J288" s="139"/>
    </row>
    <row r="289" spans="5:10" ht="15.75" customHeight="1" x14ac:dyDescent="0.25">
      <c r="E289" s="139"/>
      <c r="J289" s="139"/>
    </row>
    <row r="290" spans="5:10" ht="15.75" customHeight="1" x14ac:dyDescent="0.25">
      <c r="E290" s="139"/>
      <c r="J290" s="139"/>
    </row>
    <row r="291" spans="5:10" ht="15.75" customHeight="1" x14ac:dyDescent="0.25">
      <c r="E291" s="139"/>
      <c r="J291" s="139"/>
    </row>
    <row r="292" spans="5:10" ht="15.75" customHeight="1" x14ac:dyDescent="0.25">
      <c r="E292" s="139"/>
      <c r="J292" s="139"/>
    </row>
    <row r="293" spans="5:10" ht="15.75" customHeight="1" x14ac:dyDescent="0.25">
      <c r="E293" s="139"/>
      <c r="J293" s="139"/>
    </row>
    <row r="294" spans="5:10" ht="15.75" customHeight="1" x14ac:dyDescent="0.25">
      <c r="E294" s="139"/>
      <c r="J294" s="139"/>
    </row>
    <row r="295" spans="5:10" ht="15.75" customHeight="1" x14ac:dyDescent="0.25">
      <c r="E295" s="139"/>
      <c r="J295" s="139"/>
    </row>
    <row r="296" spans="5:10" ht="15.75" customHeight="1" x14ac:dyDescent="0.25">
      <c r="E296" s="139"/>
      <c r="J296" s="139"/>
    </row>
    <row r="297" spans="5:10" ht="15.75" customHeight="1" x14ac:dyDescent="0.25">
      <c r="E297" s="139"/>
      <c r="J297" s="139"/>
    </row>
    <row r="298" spans="5:10" ht="15.75" customHeight="1" x14ac:dyDescent="0.25">
      <c r="E298" s="139"/>
      <c r="J298" s="139"/>
    </row>
    <row r="299" spans="5:10" ht="15.75" customHeight="1" x14ac:dyDescent="0.25">
      <c r="E299" s="139"/>
      <c r="J299" s="139"/>
    </row>
    <row r="300" spans="5:10" ht="15.75" customHeight="1" x14ac:dyDescent="0.25">
      <c r="E300" s="139"/>
      <c r="J300" s="139"/>
    </row>
    <row r="301" spans="5:10" ht="15.75" customHeight="1" x14ac:dyDescent="0.25">
      <c r="E301" s="139"/>
      <c r="J301" s="139"/>
    </row>
    <row r="302" spans="5:10" ht="15.75" customHeight="1" x14ac:dyDescent="0.25">
      <c r="E302" s="139"/>
      <c r="J302" s="139"/>
    </row>
    <row r="303" spans="5:10" ht="15.75" customHeight="1" x14ac:dyDescent="0.25">
      <c r="E303" s="139"/>
      <c r="J303" s="139"/>
    </row>
    <row r="304" spans="5:10" ht="15.75" customHeight="1" x14ac:dyDescent="0.25">
      <c r="E304" s="139"/>
      <c r="J304" s="139"/>
    </row>
    <row r="305" spans="5:10" ht="15.75" customHeight="1" x14ac:dyDescent="0.25">
      <c r="E305" s="139"/>
      <c r="J305" s="139"/>
    </row>
    <row r="306" spans="5:10" ht="15.75" customHeight="1" x14ac:dyDescent="0.25">
      <c r="E306" s="139"/>
      <c r="J306" s="139"/>
    </row>
    <row r="307" spans="5:10" ht="15.75" customHeight="1" x14ac:dyDescent="0.25">
      <c r="E307" s="139"/>
      <c r="J307" s="139"/>
    </row>
    <row r="308" spans="5:10" ht="15.75" customHeight="1" x14ac:dyDescent="0.25">
      <c r="E308" s="139"/>
      <c r="J308" s="139"/>
    </row>
    <row r="309" spans="5:10" ht="15.75" customHeight="1" x14ac:dyDescent="0.25">
      <c r="E309" s="139"/>
      <c r="J309" s="139"/>
    </row>
    <row r="310" spans="5:10" ht="15.75" customHeight="1" x14ac:dyDescent="0.25">
      <c r="E310" s="139"/>
      <c r="J310" s="139"/>
    </row>
    <row r="311" spans="5:10" ht="15.75" customHeight="1" x14ac:dyDescent="0.25">
      <c r="E311" s="139"/>
      <c r="J311" s="139"/>
    </row>
    <row r="312" spans="5:10" ht="15.75" customHeight="1" x14ac:dyDescent="0.25">
      <c r="E312" s="139"/>
      <c r="J312" s="139"/>
    </row>
    <row r="313" spans="5:10" ht="15.75" customHeight="1" x14ac:dyDescent="0.25">
      <c r="E313" s="139"/>
      <c r="J313" s="139"/>
    </row>
    <row r="314" spans="5:10" ht="15.75" customHeight="1" x14ac:dyDescent="0.25">
      <c r="E314" s="139"/>
      <c r="J314" s="139"/>
    </row>
    <row r="315" spans="5:10" ht="15.75" customHeight="1" x14ac:dyDescent="0.25">
      <c r="E315" s="139"/>
      <c r="J315" s="139"/>
    </row>
    <row r="316" spans="5:10" ht="15.75" customHeight="1" x14ac:dyDescent="0.25">
      <c r="E316" s="139"/>
      <c r="J316" s="139"/>
    </row>
    <row r="317" spans="5:10" ht="15.75" customHeight="1" x14ac:dyDescent="0.25">
      <c r="E317" s="139"/>
      <c r="J317" s="139"/>
    </row>
    <row r="318" spans="5:10" ht="15.75" customHeight="1" x14ac:dyDescent="0.25">
      <c r="E318" s="139"/>
      <c r="J318" s="139"/>
    </row>
    <row r="319" spans="5:10" ht="15.75" customHeight="1" x14ac:dyDescent="0.25">
      <c r="E319" s="139"/>
      <c r="J319" s="139"/>
    </row>
    <row r="320" spans="5:10" ht="15.75" customHeight="1" x14ac:dyDescent="0.25">
      <c r="E320" s="139"/>
      <c r="J320" s="139"/>
    </row>
    <row r="321" spans="5:10" ht="15.75" customHeight="1" x14ac:dyDescent="0.25">
      <c r="E321" s="139"/>
      <c r="J321" s="139"/>
    </row>
    <row r="322" spans="5:10" ht="15.75" customHeight="1" x14ac:dyDescent="0.25">
      <c r="E322" s="139"/>
      <c r="J322" s="139"/>
    </row>
    <row r="323" spans="5:10" ht="15.75" customHeight="1" x14ac:dyDescent="0.25">
      <c r="E323" s="139"/>
      <c r="J323" s="139"/>
    </row>
    <row r="324" spans="5:10" ht="15.75" customHeight="1" x14ac:dyDescent="0.25">
      <c r="E324" s="139"/>
      <c r="J324" s="139"/>
    </row>
    <row r="325" spans="5:10" ht="15.75" customHeight="1" x14ac:dyDescent="0.25">
      <c r="E325" s="139"/>
      <c r="J325" s="139"/>
    </row>
    <row r="326" spans="5:10" ht="15.75" customHeight="1" x14ac:dyDescent="0.25">
      <c r="E326" s="139"/>
      <c r="J326" s="139"/>
    </row>
    <row r="327" spans="5:10" ht="15.75" customHeight="1" x14ac:dyDescent="0.25">
      <c r="E327" s="139"/>
      <c r="J327" s="139"/>
    </row>
    <row r="328" spans="5:10" ht="15.75" customHeight="1" x14ac:dyDescent="0.25">
      <c r="E328" s="139"/>
      <c r="J328" s="139"/>
    </row>
    <row r="329" spans="5:10" ht="15.75" customHeight="1" x14ac:dyDescent="0.25">
      <c r="E329" s="139"/>
      <c r="J329" s="139"/>
    </row>
    <row r="330" spans="5:10" ht="15.75" customHeight="1" x14ac:dyDescent="0.25">
      <c r="E330" s="139"/>
      <c r="J330" s="139"/>
    </row>
    <row r="331" spans="5:10" ht="15.75" customHeight="1" x14ac:dyDescent="0.25">
      <c r="E331" s="139"/>
      <c r="J331" s="139"/>
    </row>
    <row r="332" spans="5:10" ht="15.75" customHeight="1" x14ac:dyDescent="0.25">
      <c r="E332" s="139"/>
      <c r="J332" s="139"/>
    </row>
    <row r="333" spans="5:10" ht="15.75" customHeight="1" x14ac:dyDescent="0.25">
      <c r="E333" s="139"/>
      <c r="J333" s="139"/>
    </row>
    <row r="334" spans="5:10" ht="15.75" customHeight="1" x14ac:dyDescent="0.25">
      <c r="E334" s="139"/>
      <c r="J334" s="139"/>
    </row>
    <row r="335" spans="5:10" ht="15.75" customHeight="1" x14ac:dyDescent="0.25">
      <c r="E335" s="139"/>
      <c r="J335" s="139"/>
    </row>
    <row r="336" spans="5:10" ht="15.75" customHeight="1" x14ac:dyDescent="0.25">
      <c r="E336" s="139"/>
      <c r="J336" s="139"/>
    </row>
    <row r="337" spans="5:10" ht="15.75" customHeight="1" x14ac:dyDescent="0.25">
      <c r="E337" s="139"/>
      <c r="J337" s="139"/>
    </row>
    <row r="338" spans="5:10" ht="15.75" customHeight="1" x14ac:dyDescent="0.25">
      <c r="E338" s="139"/>
      <c r="J338" s="139"/>
    </row>
    <row r="339" spans="5:10" ht="15.75" customHeight="1" x14ac:dyDescent="0.25">
      <c r="E339" s="139"/>
      <c r="J339" s="139"/>
    </row>
    <row r="340" spans="5:10" ht="15.75" customHeight="1" x14ac:dyDescent="0.25">
      <c r="E340" s="139"/>
      <c r="J340" s="139"/>
    </row>
    <row r="341" spans="5:10" ht="15.75" customHeight="1" x14ac:dyDescent="0.25">
      <c r="E341" s="139"/>
      <c r="J341" s="139"/>
    </row>
    <row r="342" spans="5:10" ht="15.75" customHeight="1" x14ac:dyDescent="0.25">
      <c r="E342" s="139"/>
      <c r="J342" s="139"/>
    </row>
    <row r="343" spans="5:10" ht="15.75" customHeight="1" x14ac:dyDescent="0.25">
      <c r="E343" s="139"/>
      <c r="J343" s="139"/>
    </row>
    <row r="344" spans="5:10" ht="15.75" customHeight="1" x14ac:dyDescent="0.25">
      <c r="E344" s="139"/>
      <c r="J344" s="139"/>
    </row>
    <row r="345" spans="5:10" ht="15.75" customHeight="1" x14ac:dyDescent="0.25">
      <c r="E345" s="139"/>
      <c r="J345" s="139"/>
    </row>
    <row r="346" spans="5:10" ht="15.75" customHeight="1" x14ac:dyDescent="0.25">
      <c r="E346" s="139"/>
      <c r="J346" s="139"/>
    </row>
    <row r="347" spans="5:10" ht="15.75" customHeight="1" x14ac:dyDescent="0.25">
      <c r="E347" s="139"/>
      <c r="J347" s="139"/>
    </row>
    <row r="348" spans="5:10" ht="15.75" customHeight="1" x14ac:dyDescent="0.25">
      <c r="E348" s="139"/>
      <c r="J348" s="139"/>
    </row>
    <row r="349" spans="5:10" ht="15.75" customHeight="1" x14ac:dyDescent="0.25">
      <c r="E349" s="139"/>
      <c r="J349" s="139"/>
    </row>
    <row r="350" spans="5:10" ht="15.75" customHeight="1" x14ac:dyDescent="0.25">
      <c r="E350" s="139"/>
      <c r="J350" s="139"/>
    </row>
    <row r="351" spans="5:10" ht="15.75" customHeight="1" x14ac:dyDescent="0.25">
      <c r="E351" s="139"/>
      <c r="J351" s="139"/>
    </row>
    <row r="352" spans="5:10" ht="15.75" customHeight="1" x14ac:dyDescent="0.25">
      <c r="E352" s="139"/>
      <c r="J352" s="139"/>
    </row>
    <row r="353" spans="5:10" ht="15.75" customHeight="1" x14ac:dyDescent="0.25">
      <c r="E353" s="139"/>
      <c r="J353" s="139"/>
    </row>
    <row r="354" spans="5:10" ht="15.75" customHeight="1" x14ac:dyDescent="0.25">
      <c r="E354" s="139"/>
      <c r="J354" s="139"/>
    </row>
    <row r="355" spans="5:10" ht="15.75" customHeight="1" x14ac:dyDescent="0.25">
      <c r="E355" s="139"/>
      <c r="J355" s="139"/>
    </row>
    <row r="356" spans="5:10" ht="15.75" customHeight="1" x14ac:dyDescent="0.25">
      <c r="E356" s="139"/>
      <c r="J356" s="139"/>
    </row>
    <row r="357" spans="5:10" ht="15.75" customHeight="1" x14ac:dyDescent="0.25">
      <c r="E357" s="139"/>
      <c r="J357" s="139"/>
    </row>
    <row r="358" spans="5:10" ht="15.75" customHeight="1" x14ac:dyDescent="0.25">
      <c r="E358" s="139"/>
      <c r="J358" s="139"/>
    </row>
    <row r="359" spans="5:10" ht="15.75" customHeight="1" x14ac:dyDescent="0.25">
      <c r="E359" s="139"/>
      <c r="J359" s="139"/>
    </row>
    <row r="360" spans="5:10" ht="15.75" customHeight="1" x14ac:dyDescent="0.25">
      <c r="E360" s="139"/>
      <c r="J360" s="139"/>
    </row>
    <row r="361" spans="5:10" ht="15.75" customHeight="1" x14ac:dyDescent="0.25">
      <c r="E361" s="139"/>
      <c r="J361" s="139"/>
    </row>
    <row r="362" spans="5:10" ht="15.75" customHeight="1" x14ac:dyDescent="0.25">
      <c r="E362" s="139"/>
      <c r="J362" s="139"/>
    </row>
    <row r="363" spans="5:10" ht="15.75" customHeight="1" x14ac:dyDescent="0.25">
      <c r="E363" s="139"/>
      <c r="J363" s="139"/>
    </row>
    <row r="364" spans="5:10" ht="15.75" customHeight="1" x14ac:dyDescent="0.25">
      <c r="E364" s="139"/>
      <c r="J364" s="139"/>
    </row>
    <row r="365" spans="5:10" ht="15.75" customHeight="1" x14ac:dyDescent="0.25">
      <c r="E365" s="139"/>
      <c r="J365" s="139"/>
    </row>
    <row r="366" spans="5:10" ht="15.75" customHeight="1" x14ac:dyDescent="0.25">
      <c r="E366" s="139"/>
      <c r="J366" s="139"/>
    </row>
    <row r="367" spans="5:10" ht="15.75" customHeight="1" x14ac:dyDescent="0.25">
      <c r="E367" s="139"/>
      <c r="J367" s="139"/>
    </row>
    <row r="368" spans="5:10" ht="15.75" customHeight="1" x14ac:dyDescent="0.25">
      <c r="E368" s="139"/>
      <c r="J368" s="139"/>
    </row>
    <row r="369" spans="5:10" ht="15.75" customHeight="1" x14ac:dyDescent="0.25">
      <c r="E369" s="139"/>
      <c r="J369" s="139"/>
    </row>
    <row r="370" spans="5:10" ht="15.75" customHeight="1" x14ac:dyDescent="0.25">
      <c r="E370" s="139"/>
      <c r="J370" s="139"/>
    </row>
    <row r="371" spans="5:10" ht="15.75" customHeight="1" x14ac:dyDescent="0.25">
      <c r="E371" s="139"/>
      <c r="J371" s="139"/>
    </row>
    <row r="372" spans="5:10" ht="15.75" customHeight="1" x14ac:dyDescent="0.25">
      <c r="E372" s="139"/>
      <c r="J372" s="139"/>
    </row>
    <row r="373" spans="5:10" ht="15.75" customHeight="1" x14ac:dyDescent="0.25">
      <c r="E373" s="139"/>
      <c r="J373" s="139"/>
    </row>
    <row r="374" spans="5:10" ht="15.75" customHeight="1" x14ac:dyDescent="0.25">
      <c r="E374" s="139"/>
      <c r="J374" s="139"/>
    </row>
    <row r="375" spans="5:10" ht="15.75" customHeight="1" x14ac:dyDescent="0.25">
      <c r="E375" s="139"/>
      <c r="J375" s="139"/>
    </row>
    <row r="376" spans="5:10" ht="15.75" customHeight="1" x14ac:dyDescent="0.25">
      <c r="E376" s="139"/>
      <c r="J376" s="139"/>
    </row>
    <row r="377" spans="5:10" ht="15.75" customHeight="1" x14ac:dyDescent="0.25">
      <c r="E377" s="139"/>
      <c r="J377" s="139"/>
    </row>
    <row r="378" spans="5:10" ht="15.75" customHeight="1" x14ac:dyDescent="0.25">
      <c r="E378" s="139"/>
      <c r="J378" s="139"/>
    </row>
    <row r="379" spans="5:10" ht="15.75" customHeight="1" x14ac:dyDescent="0.25">
      <c r="E379" s="139"/>
      <c r="J379" s="139"/>
    </row>
    <row r="380" spans="5:10" ht="15.75" customHeight="1" x14ac:dyDescent="0.25">
      <c r="E380" s="139"/>
      <c r="J380" s="139"/>
    </row>
    <row r="381" spans="5:10" ht="15.75" customHeight="1" x14ac:dyDescent="0.25">
      <c r="E381" s="139"/>
      <c r="J381" s="139"/>
    </row>
    <row r="382" spans="5:10" ht="15.75" customHeight="1" x14ac:dyDescent="0.25">
      <c r="E382" s="139"/>
      <c r="J382" s="139"/>
    </row>
    <row r="383" spans="5:10" ht="15.75" customHeight="1" x14ac:dyDescent="0.25">
      <c r="E383" s="139"/>
      <c r="J383" s="139"/>
    </row>
    <row r="384" spans="5:10" ht="15.75" customHeight="1" x14ac:dyDescent="0.25">
      <c r="E384" s="139"/>
      <c r="J384" s="139"/>
    </row>
    <row r="385" spans="5:10" ht="15.75" customHeight="1" x14ac:dyDescent="0.25">
      <c r="E385" s="139"/>
      <c r="J385" s="139"/>
    </row>
    <row r="386" spans="5:10" ht="15.75" customHeight="1" x14ac:dyDescent="0.25">
      <c r="E386" s="139"/>
      <c r="J386" s="139"/>
    </row>
    <row r="387" spans="5:10" ht="15.75" customHeight="1" x14ac:dyDescent="0.25">
      <c r="E387" s="139"/>
      <c r="J387" s="139"/>
    </row>
    <row r="388" spans="5:10" ht="15.75" customHeight="1" x14ac:dyDescent="0.25">
      <c r="E388" s="139"/>
      <c r="J388" s="139"/>
    </row>
    <row r="389" spans="5:10" ht="15.75" customHeight="1" x14ac:dyDescent="0.25">
      <c r="E389" s="139"/>
      <c r="J389" s="139"/>
    </row>
    <row r="390" spans="5:10" ht="15.75" customHeight="1" x14ac:dyDescent="0.25">
      <c r="E390" s="139"/>
      <c r="J390" s="139"/>
    </row>
    <row r="391" spans="5:10" ht="15.75" customHeight="1" x14ac:dyDescent="0.25">
      <c r="E391" s="139"/>
      <c r="J391" s="139"/>
    </row>
    <row r="392" spans="5:10" ht="15.75" customHeight="1" x14ac:dyDescent="0.25">
      <c r="E392" s="139"/>
      <c r="J392" s="139"/>
    </row>
    <row r="393" spans="5:10" ht="15.75" customHeight="1" x14ac:dyDescent="0.25">
      <c r="E393" s="139"/>
      <c r="J393" s="139"/>
    </row>
    <row r="394" spans="5:10" ht="15.75" customHeight="1" x14ac:dyDescent="0.25">
      <c r="E394" s="139"/>
      <c r="J394" s="139"/>
    </row>
    <row r="395" spans="5:10" ht="15.75" customHeight="1" x14ac:dyDescent="0.25">
      <c r="E395" s="139"/>
      <c r="J395" s="139"/>
    </row>
    <row r="396" spans="5:10" ht="15.75" customHeight="1" x14ac:dyDescent="0.25">
      <c r="E396" s="139"/>
      <c r="J396" s="139"/>
    </row>
    <row r="397" spans="5:10" ht="15.75" customHeight="1" x14ac:dyDescent="0.25">
      <c r="E397" s="139"/>
      <c r="J397" s="139"/>
    </row>
    <row r="398" spans="5:10" ht="15.75" customHeight="1" x14ac:dyDescent="0.25">
      <c r="E398" s="139"/>
      <c r="J398" s="139"/>
    </row>
    <row r="399" spans="5:10" ht="15.75" customHeight="1" x14ac:dyDescent="0.25">
      <c r="E399" s="139"/>
      <c r="J399" s="139"/>
    </row>
    <row r="400" spans="5:10" ht="15.75" customHeight="1" x14ac:dyDescent="0.25">
      <c r="E400" s="139"/>
      <c r="J400" s="139"/>
    </row>
    <row r="401" spans="5:10" ht="15.75" customHeight="1" x14ac:dyDescent="0.25">
      <c r="E401" s="139"/>
      <c r="J401" s="139"/>
    </row>
    <row r="402" spans="5:10" ht="15.75" customHeight="1" x14ac:dyDescent="0.25">
      <c r="E402" s="139"/>
      <c r="J402" s="139"/>
    </row>
    <row r="403" spans="5:10" ht="15.75" customHeight="1" x14ac:dyDescent="0.25">
      <c r="E403" s="139"/>
      <c r="J403" s="139"/>
    </row>
    <row r="404" spans="5:10" ht="15.75" customHeight="1" x14ac:dyDescent="0.25">
      <c r="E404" s="139"/>
      <c r="J404" s="139"/>
    </row>
    <row r="405" spans="5:10" ht="15.75" customHeight="1" x14ac:dyDescent="0.25">
      <c r="E405" s="139"/>
      <c r="J405" s="139"/>
    </row>
    <row r="406" spans="5:10" ht="15.75" customHeight="1" x14ac:dyDescent="0.25">
      <c r="E406" s="139"/>
      <c r="J406" s="139"/>
    </row>
    <row r="407" spans="5:10" ht="15.75" customHeight="1" x14ac:dyDescent="0.25">
      <c r="E407" s="139"/>
      <c r="J407" s="139"/>
    </row>
    <row r="408" spans="5:10" ht="15.75" customHeight="1" x14ac:dyDescent="0.25">
      <c r="E408" s="139"/>
      <c r="J408" s="139"/>
    </row>
    <row r="409" spans="5:10" ht="15.75" customHeight="1" x14ac:dyDescent="0.25">
      <c r="E409" s="139"/>
      <c r="J409" s="139"/>
    </row>
    <row r="410" spans="5:10" ht="15.75" customHeight="1" x14ac:dyDescent="0.25">
      <c r="E410" s="139"/>
      <c r="J410" s="139"/>
    </row>
    <row r="411" spans="5:10" ht="15.75" customHeight="1" x14ac:dyDescent="0.25">
      <c r="E411" s="139"/>
      <c r="J411" s="139"/>
    </row>
    <row r="412" spans="5:10" ht="15.75" customHeight="1" x14ac:dyDescent="0.25">
      <c r="E412" s="139"/>
      <c r="J412" s="139"/>
    </row>
    <row r="413" spans="5:10" ht="15.75" customHeight="1" x14ac:dyDescent="0.25">
      <c r="E413" s="139"/>
      <c r="J413" s="139"/>
    </row>
    <row r="414" spans="5:10" ht="15.75" customHeight="1" x14ac:dyDescent="0.25">
      <c r="E414" s="139"/>
      <c r="J414" s="139"/>
    </row>
    <row r="415" spans="5:10" ht="15.75" customHeight="1" x14ac:dyDescent="0.25">
      <c r="E415" s="139"/>
      <c r="J415" s="139"/>
    </row>
    <row r="416" spans="5:10" ht="15.75" customHeight="1" x14ac:dyDescent="0.25">
      <c r="E416" s="139"/>
      <c r="J416" s="139"/>
    </row>
    <row r="417" spans="5:10" ht="15.75" customHeight="1" x14ac:dyDescent="0.25">
      <c r="E417" s="139"/>
      <c r="J417" s="139"/>
    </row>
    <row r="418" spans="5:10" ht="15.75" customHeight="1" x14ac:dyDescent="0.25">
      <c r="E418" s="139"/>
      <c r="J418" s="139"/>
    </row>
    <row r="419" spans="5:10" ht="15.75" customHeight="1" x14ac:dyDescent="0.25">
      <c r="E419" s="139"/>
      <c r="J419" s="139"/>
    </row>
    <row r="420" spans="5:10" ht="15.75" customHeight="1" x14ac:dyDescent="0.25">
      <c r="E420" s="139"/>
      <c r="J420" s="139"/>
    </row>
    <row r="421" spans="5:10" ht="15.75" customHeight="1" x14ac:dyDescent="0.25">
      <c r="E421" s="139"/>
      <c r="J421" s="139"/>
    </row>
    <row r="422" spans="5:10" ht="15.75" customHeight="1" x14ac:dyDescent="0.25">
      <c r="E422" s="139"/>
      <c r="J422" s="139"/>
    </row>
    <row r="423" spans="5:10" ht="15.75" customHeight="1" x14ac:dyDescent="0.25">
      <c r="E423" s="139"/>
      <c r="J423" s="139"/>
    </row>
    <row r="424" spans="5:10" ht="15.75" customHeight="1" x14ac:dyDescent="0.25">
      <c r="E424" s="139"/>
      <c r="J424" s="139"/>
    </row>
    <row r="425" spans="5:10" ht="15.75" customHeight="1" x14ac:dyDescent="0.25">
      <c r="E425" s="139"/>
      <c r="J425" s="139"/>
    </row>
    <row r="426" spans="5:10" ht="15.75" customHeight="1" x14ac:dyDescent="0.25">
      <c r="E426" s="139"/>
      <c r="J426" s="139"/>
    </row>
    <row r="427" spans="5:10" ht="15.75" customHeight="1" x14ac:dyDescent="0.25">
      <c r="E427" s="139"/>
      <c r="J427" s="139"/>
    </row>
    <row r="428" spans="5:10" ht="15.75" customHeight="1" x14ac:dyDescent="0.25">
      <c r="E428" s="139"/>
      <c r="J428" s="139"/>
    </row>
    <row r="429" spans="5:10" ht="15.75" customHeight="1" x14ac:dyDescent="0.25">
      <c r="E429" s="139"/>
      <c r="J429" s="139"/>
    </row>
    <row r="430" spans="5:10" ht="15.75" customHeight="1" x14ac:dyDescent="0.25">
      <c r="E430" s="139"/>
      <c r="J430" s="139"/>
    </row>
    <row r="431" spans="5:10" ht="15.75" customHeight="1" x14ac:dyDescent="0.25">
      <c r="E431" s="139"/>
      <c r="J431" s="139"/>
    </row>
    <row r="432" spans="5:10" ht="15.75" customHeight="1" x14ac:dyDescent="0.25">
      <c r="E432" s="139"/>
      <c r="J432" s="139"/>
    </row>
    <row r="433" spans="5:10" ht="15.75" customHeight="1" x14ac:dyDescent="0.25">
      <c r="E433" s="139"/>
      <c r="J433" s="139"/>
    </row>
    <row r="434" spans="5:10" ht="15.75" customHeight="1" x14ac:dyDescent="0.25">
      <c r="E434" s="139"/>
      <c r="J434" s="139"/>
    </row>
    <row r="435" spans="5:10" ht="15.75" customHeight="1" x14ac:dyDescent="0.25">
      <c r="E435" s="139"/>
      <c r="J435" s="139"/>
    </row>
    <row r="436" spans="5:10" ht="15.75" customHeight="1" x14ac:dyDescent="0.25">
      <c r="E436" s="139"/>
      <c r="J436" s="139"/>
    </row>
    <row r="437" spans="5:10" ht="15.75" customHeight="1" x14ac:dyDescent="0.25">
      <c r="E437" s="139"/>
      <c r="J437" s="139"/>
    </row>
    <row r="438" spans="5:10" ht="15.75" customHeight="1" x14ac:dyDescent="0.25">
      <c r="E438" s="139"/>
      <c r="J438" s="139"/>
    </row>
    <row r="439" spans="5:10" ht="15.75" customHeight="1" x14ac:dyDescent="0.25">
      <c r="E439" s="139"/>
      <c r="J439" s="139"/>
    </row>
    <row r="440" spans="5:10" ht="15.75" customHeight="1" x14ac:dyDescent="0.25">
      <c r="E440" s="139"/>
      <c r="J440" s="139"/>
    </row>
    <row r="441" spans="5:10" ht="15.75" customHeight="1" x14ac:dyDescent="0.25">
      <c r="E441" s="139"/>
      <c r="J441" s="139"/>
    </row>
    <row r="442" spans="5:10" ht="15.75" customHeight="1" x14ac:dyDescent="0.25">
      <c r="E442" s="139"/>
      <c r="J442" s="139"/>
    </row>
    <row r="443" spans="5:10" ht="15.75" customHeight="1" x14ac:dyDescent="0.25">
      <c r="E443" s="139"/>
      <c r="J443" s="139"/>
    </row>
    <row r="444" spans="5:10" ht="15.75" customHeight="1" x14ac:dyDescent="0.25">
      <c r="E444" s="139"/>
      <c r="J444" s="139"/>
    </row>
    <row r="445" spans="5:10" ht="15.75" customHeight="1" x14ac:dyDescent="0.25">
      <c r="E445" s="139"/>
      <c r="J445" s="139"/>
    </row>
    <row r="446" spans="5:10" ht="15.75" customHeight="1" x14ac:dyDescent="0.25">
      <c r="E446" s="139"/>
      <c r="J446" s="139"/>
    </row>
    <row r="447" spans="5:10" ht="15.75" customHeight="1" x14ac:dyDescent="0.25">
      <c r="E447" s="139"/>
      <c r="J447" s="139"/>
    </row>
    <row r="448" spans="5:10" ht="15.75" customHeight="1" x14ac:dyDescent="0.25">
      <c r="E448" s="139"/>
      <c r="J448" s="139"/>
    </row>
    <row r="449" spans="5:10" ht="15.75" customHeight="1" x14ac:dyDescent="0.25">
      <c r="E449" s="139"/>
      <c r="J449" s="139"/>
    </row>
    <row r="450" spans="5:10" ht="15.75" customHeight="1" x14ac:dyDescent="0.25">
      <c r="E450" s="139"/>
      <c r="J450" s="139"/>
    </row>
    <row r="451" spans="5:10" ht="15.75" customHeight="1" x14ac:dyDescent="0.25">
      <c r="E451" s="139"/>
      <c r="J451" s="139"/>
    </row>
    <row r="452" spans="5:10" ht="15.75" customHeight="1" x14ac:dyDescent="0.25">
      <c r="E452" s="139"/>
      <c r="J452" s="139"/>
    </row>
    <row r="453" spans="5:10" ht="15.75" customHeight="1" x14ac:dyDescent="0.25">
      <c r="E453" s="139"/>
      <c r="J453" s="139"/>
    </row>
    <row r="454" spans="5:10" ht="15.75" customHeight="1" x14ac:dyDescent="0.25">
      <c r="E454" s="139"/>
      <c r="J454" s="139"/>
    </row>
    <row r="455" spans="5:10" ht="15.75" customHeight="1" x14ac:dyDescent="0.25">
      <c r="E455" s="139"/>
      <c r="J455" s="139"/>
    </row>
    <row r="456" spans="5:10" ht="15.75" customHeight="1" x14ac:dyDescent="0.25">
      <c r="E456" s="139"/>
      <c r="J456" s="139"/>
    </row>
    <row r="457" spans="5:10" ht="15.75" customHeight="1" x14ac:dyDescent="0.25">
      <c r="E457" s="139"/>
      <c r="J457" s="139"/>
    </row>
    <row r="458" spans="5:10" ht="15.75" customHeight="1" x14ac:dyDescent="0.25">
      <c r="E458" s="139"/>
      <c r="J458" s="139"/>
    </row>
    <row r="459" spans="5:10" ht="15.75" customHeight="1" x14ac:dyDescent="0.25">
      <c r="E459" s="139"/>
      <c r="J459" s="139"/>
    </row>
    <row r="460" spans="5:10" ht="15.75" customHeight="1" x14ac:dyDescent="0.25">
      <c r="E460" s="139"/>
      <c r="J460" s="139"/>
    </row>
    <row r="461" spans="5:10" ht="15.75" customHeight="1" x14ac:dyDescent="0.25">
      <c r="E461" s="139"/>
      <c r="J461" s="139"/>
    </row>
    <row r="462" spans="5:10" ht="15.75" customHeight="1" x14ac:dyDescent="0.25">
      <c r="E462" s="139"/>
      <c r="J462" s="139"/>
    </row>
    <row r="463" spans="5:10" ht="15.75" customHeight="1" x14ac:dyDescent="0.25">
      <c r="E463" s="139"/>
      <c r="J463" s="139"/>
    </row>
    <row r="464" spans="5:10" ht="15.75" customHeight="1" x14ac:dyDescent="0.25">
      <c r="E464" s="139"/>
      <c r="J464" s="139"/>
    </row>
    <row r="465" spans="5:10" ht="15.75" customHeight="1" x14ac:dyDescent="0.25">
      <c r="E465" s="139"/>
      <c r="J465" s="139"/>
    </row>
    <row r="466" spans="5:10" ht="15.75" customHeight="1" x14ac:dyDescent="0.25">
      <c r="E466" s="139"/>
      <c r="J466" s="139"/>
    </row>
    <row r="467" spans="5:10" ht="15.75" customHeight="1" x14ac:dyDescent="0.25">
      <c r="E467" s="139"/>
      <c r="J467" s="139"/>
    </row>
    <row r="468" spans="5:10" ht="15.75" customHeight="1" x14ac:dyDescent="0.25">
      <c r="E468" s="139"/>
      <c r="J468" s="139"/>
    </row>
    <row r="469" spans="5:10" ht="15.75" customHeight="1" x14ac:dyDescent="0.25">
      <c r="E469" s="139"/>
      <c r="J469" s="139"/>
    </row>
    <row r="470" spans="5:10" ht="15.75" customHeight="1" x14ac:dyDescent="0.25">
      <c r="E470" s="139"/>
      <c r="J470" s="139"/>
    </row>
    <row r="471" spans="5:10" ht="15.75" customHeight="1" x14ac:dyDescent="0.25">
      <c r="E471" s="139"/>
      <c r="J471" s="139"/>
    </row>
    <row r="472" spans="5:10" ht="15.75" customHeight="1" x14ac:dyDescent="0.25">
      <c r="E472" s="139"/>
      <c r="J472" s="139"/>
    </row>
    <row r="473" spans="5:10" ht="15.75" customHeight="1" x14ac:dyDescent="0.25">
      <c r="E473" s="139"/>
      <c r="J473" s="139"/>
    </row>
    <row r="474" spans="5:10" ht="15.75" customHeight="1" x14ac:dyDescent="0.25">
      <c r="E474" s="139"/>
      <c r="J474" s="139"/>
    </row>
    <row r="475" spans="5:10" ht="15.75" customHeight="1" x14ac:dyDescent="0.25">
      <c r="E475" s="139"/>
      <c r="J475" s="139"/>
    </row>
    <row r="476" spans="5:10" ht="15.75" customHeight="1" x14ac:dyDescent="0.25">
      <c r="E476" s="139"/>
      <c r="J476" s="139"/>
    </row>
    <row r="477" spans="5:10" ht="15.75" customHeight="1" x14ac:dyDescent="0.25">
      <c r="E477" s="139"/>
      <c r="J477" s="139"/>
    </row>
    <row r="478" spans="5:10" ht="15.75" customHeight="1" x14ac:dyDescent="0.25">
      <c r="E478" s="139"/>
      <c r="J478" s="139"/>
    </row>
    <row r="479" spans="5:10" ht="15.75" customHeight="1" x14ac:dyDescent="0.25">
      <c r="E479" s="139"/>
      <c r="J479" s="139"/>
    </row>
    <row r="480" spans="5:10" ht="15.75" customHeight="1" x14ac:dyDescent="0.25">
      <c r="E480" s="139"/>
      <c r="J480" s="139"/>
    </row>
    <row r="481" spans="5:10" ht="15.75" customHeight="1" x14ac:dyDescent="0.25">
      <c r="E481" s="139"/>
      <c r="J481" s="139"/>
    </row>
    <row r="482" spans="5:10" ht="15.75" customHeight="1" x14ac:dyDescent="0.25">
      <c r="E482" s="139"/>
      <c r="J482" s="139"/>
    </row>
    <row r="483" spans="5:10" ht="15.75" customHeight="1" x14ac:dyDescent="0.25">
      <c r="E483" s="139"/>
      <c r="J483" s="139"/>
    </row>
    <row r="484" spans="5:10" ht="15.75" customHeight="1" x14ac:dyDescent="0.25">
      <c r="E484" s="139"/>
      <c r="J484" s="139"/>
    </row>
    <row r="485" spans="5:10" ht="15.75" customHeight="1" x14ac:dyDescent="0.25">
      <c r="E485" s="139"/>
      <c r="J485" s="139"/>
    </row>
    <row r="486" spans="5:10" ht="15.75" customHeight="1" x14ac:dyDescent="0.25">
      <c r="E486" s="139"/>
      <c r="J486" s="139"/>
    </row>
    <row r="487" spans="5:10" ht="15.75" customHeight="1" x14ac:dyDescent="0.25">
      <c r="E487" s="139"/>
      <c r="J487" s="139"/>
    </row>
    <row r="488" spans="5:10" ht="15.75" customHeight="1" x14ac:dyDescent="0.25">
      <c r="E488" s="139"/>
      <c r="J488" s="139"/>
    </row>
    <row r="489" spans="5:10" ht="15.75" customHeight="1" x14ac:dyDescent="0.25">
      <c r="E489" s="139"/>
      <c r="J489" s="139"/>
    </row>
    <row r="490" spans="5:10" ht="15.75" customHeight="1" x14ac:dyDescent="0.25">
      <c r="E490" s="139"/>
      <c r="J490" s="139"/>
    </row>
    <row r="491" spans="5:10" ht="15.75" customHeight="1" x14ac:dyDescent="0.25">
      <c r="E491" s="139"/>
      <c r="J491" s="139"/>
    </row>
    <row r="492" spans="5:10" ht="15.75" customHeight="1" x14ac:dyDescent="0.25">
      <c r="E492" s="139"/>
      <c r="J492" s="139"/>
    </row>
    <row r="493" spans="5:10" ht="15.75" customHeight="1" x14ac:dyDescent="0.25">
      <c r="E493" s="139"/>
      <c r="J493" s="139"/>
    </row>
    <row r="494" spans="5:10" ht="15.75" customHeight="1" x14ac:dyDescent="0.25">
      <c r="E494" s="139"/>
      <c r="J494" s="139"/>
    </row>
    <row r="495" spans="5:10" ht="15.75" customHeight="1" x14ac:dyDescent="0.25">
      <c r="E495" s="139"/>
      <c r="J495" s="139"/>
    </row>
    <row r="496" spans="5:10" ht="15.75" customHeight="1" x14ac:dyDescent="0.25">
      <c r="E496" s="139"/>
      <c r="J496" s="139"/>
    </row>
    <row r="497" spans="5:10" ht="15.75" customHeight="1" x14ac:dyDescent="0.25">
      <c r="E497" s="139"/>
      <c r="J497" s="139"/>
    </row>
    <row r="498" spans="5:10" ht="15.75" customHeight="1" x14ac:dyDescent="0.25">
      <c r="E498" s="139"/>
      <c r="J498" s="139"/>
    </row>
    <row r="499" spans="5:10" ht="15.75" customHeight="1" x14ac:dyDescent="0.25">
      <c r="E499" s="139"/>
      <c r="J499" s="139"/>
    </row>
    <row r="500" spans="5:10" ht="15.75" customHeight="1" x14ac:dyDescent="0.25">
      <c r="E500" s="139"/>
      <c r="J500" s="139"/>
    </row>
    <row r="501" spans="5:10" ht="15.75" customHeight="1" x14ac:dyDescent="0.25">
      <c r="E501" s="139"/>
      <c r="J501" s="139"/>
    </row>
    <row r="502" spans="5:10" ht="15.75" customHeight="1" x14ac:dyDescent="0.25">
      <c r="E502" s="139"/>
      <c r="J502" s="139"/>
    </row>
    <row r="503" spans="5:10" ht="15.75" customHeight="1" x14ac:dyDescent="0.25">
      <c r="E503" s="139"/>
      <c r="J503" s="139"/>
    </row>
    <row r="504" spans="5:10" ht="15.75" customHeight="1" x14ac:dyDescent="0.25">
      <c r="E504" s="139"/>
      <c r="J504" s="139"/>
    </row>
    <row r="505" spans="5:10" ht="15.75" customHeight="1" x14ac:dyDescent="0.25">
      <c r="E505" s="139"/>
      <c r="J505" s="139"/>
    </row>
    <row r="506" spans="5:10" ht="15.75" customHeight="1" x14ac:dyDescent="0.25">
      <c r="E506" s="139"/>
      <c r="J506" s="139"/>
    </row>
    <row r="507" spans="5:10" ht="15.75" customHeight="1" x14ac:dyDescent="0.25">
      <c r="E507" s="139"/>
      <c r="J507" s="139"/>
    </row>
    <row r="508" spans="5:10" ht="15.75" customHeight="1" x14ac:dyDescent="0.25">
      <c r="E508" s="139"/>
      <c r="J508" s="139"/>
    </row>
    <row r="509" spans="5:10" ht="15.75" customHeight="1" x14ac:dyDescent="0.25">
      <c r="E509" s="139"/>
      <c r="J509" s="139"/>
    </row>
    <row r="510" spans="5:10" ht="15.75" customHeight="1" x14ac:dyDescent="0.25">
      <c r="E510" s="139"/>
      <c r="J510" s="139"/>
    </row>
    <row r="511" spans="5:10" ht="15.75" customHeight="1" x14ac:dyDescent="0.25">
      <c r="E511" s="139"/>
      <c r="J511" s="139"/>
    </row>
    <row r="512" spans="5:10" ht="15.75" customHeight="1" x14ac:dyDescent="0.25">
      <c r="E512" s="139"/>
      <c r="J512" s="139"/>
    </row>
    <row r="513" spans="5:10" ht="15.75" customHeight="1" x14ac:dyDescent="0.25">
      <c r="E513" s="139"/>
      <c r="J513" s="139"/>
    </row>
    <row r="514" spans="5:10" ht="15.75" customHeight="1" x14ac:dyDescent="0.25">
      <c r="E514" s="139"/>
      <c r="J514" s="139"/>
    </row>
    <row r="515" spans="5:10" ht="15.75" customHeight="1" x14ac:dyDescent="0.25">
      <c r="E515" s="139"/>
      <c r="J515" s="139"/>
    </row>
    <row r="516" spans="5:10" ht="15.75" customHeight="1" x14ac:dyDescent="0.25">
      <c r="E516" s="139"/>
      <c r="J516" s="139"/>
    </row>
    <row r="517" spans="5:10" ht="15.75" customHeight="1" x14ac:dyDescent="0.25">
      <c r="E517" s="139"/>
      <c r="J517" s="139"/>
    </row>
    <row r="518" spans="5:10" ht="15.75" customHeight="1" x14ac:dyDescent="0.25">
      <c r="E518" s="139"/>
      <c r="J518" s="139"/>
    </row>
    <row r="519" spans="5:10" ht="15.75" customHeight="1" x14ac:dyDescent="0.25">
      <c r="E519" s="139"/>
      <c r="J519" s="139"/>
    </row>
    <row r="520" spans="5:10" ht="15.75" customHeight="1" x14ac:dyDescent="0.25">
      <c r="E520" s="139"/>
      <c r="J520" s="139"/>
    </row>
    <row r="521" spans="5:10" ht="15.75" customHeight="1" x14ac:dyDescent="0.25">
      <c r="E521" s="139"/>
      <c r="J521" s="139"/>
    </row>
    <row r="522" spans="5:10" ht="15.75" customHeight="1" x14ac:dyDescent="0.25">
      <c r="E522" s="139"/>
      <c r="J522" s="139"/>
    </row>
    <row r="523" spans="5:10" ht="15.75" customHeight="1" x14ac:dyDescent="0.25">
      <c r="E523" s="139"/>
      <c r="J523" s="139"/>
    </row>
    <row r="524" spans="5:10" ht="15.75" customHeight="1" x14ac:dyDescent="0.25">
      <c r="E524" s="139"/>
      <c r="J524" s="139"/>
    </row>
    <row r="525" spans="5:10" ht="15.75" customHeight="1" x14ac:dyDescent="0.25">
      <c r="E525" s="139"/>
      <c r="J525" s="139"/>
    </row>
    <row r="526" spans="5:10" ht="15.75" customHeight="1" x14ac:dyDescent="0.25">
      <c r="E526" s="139"/>
      <c r="J526" s="139"/>
    </row>
    <row r="527" spans="5:10" ht="15.75" customHeight="1" x14ac:dyDescent="0.25">
      <c r="E527" s="139"/>
      <c r="J527" s="139"/>
    </row>
    <row r="528" spans="5:10" ht="15.75" customHeight="1" x14ac:dyDescent="0.25">
      <c r="E528" s="139"/>
      <c r="J528" s="139"/>
    </row>
    <row r="529" spans="5:10" ht="15.75" customHeight="1" x14ac:dyDescent="0.25">
      <c r="E529" s="139"/>
      <c r="J529" s="139"/>
    </row>
    <row r="530" spans="5:10" ht="15.75" customHeight="1" x14ac:dyDescent="0.25">
      <c r="E530" s="139"/>
      <c r="J530" s="139"/>
    </row>
    <row r="531" spans="5:10" ht="15.75" customHeight="1" x14ac:dyDescent="0.25">
      <c r="E531" s="139"/>
      <c r="J531" s="139"/>
    </row>
    <row r="532" spans="5:10" ht="15.75" customHeight="1" x14ac:dyDescent="0.25">
      <c r="E532" s="139"/>
      <c r="J532" s="139"/>
    </row>
    <row r="533" spans="5:10" ht="15.75" customHeight="1" x14ac:dyDescent="0.25">
      <c r="E533" s="139"/>
      <c r="J533" s="139"/>
    </row>
    <row r="534" spans="5:10" ht="15.75" customHeight="1" x14ac:dyDescent="0.25">
      <c r="E534" s="139"/>
      <c r="J534" s="139"/>
    </row>
    <row r="535" spans="5:10" ht="15.75" customHeight="1" x14ac:dyDescent="0.25">
      <c r="E535" s="139"/>
      <c r="J535" s="139"/>
    </row>
    <row r="536" spans="5:10" ht="15.75" customHeight="1" x14ac:dyDescent="0.25">
      <c r="E536" s="139"/>
      <c r="J536" s="139"/>
    </row>
    <row r="537" spans="5:10" ht="15.75" customHeight="1" x14ac:dyDescent="0.25">
      <c r="E537" s="139"/>
      <c r="J537" s="139"/>
    </row>
    <row r="538" spans="5:10" ht="15.75" customHeight="1" x14ac:dyDescent="0.25">
      <c r="E538" s="139"/>
      <c r="J538" s="139"/>
    </row>
    <row r="539" spans="5:10" ht="15.75" customHeight="1" x14ac:dyDescent="0.25">
      <c r="E539" s="139"/>
      <c r="J539" s="139"/>
    </row>
    <row r="540" spans="5:10" ht="15.75" customHeight="1" x14ac:dyDescent="0.25">
      <c r="E540" s="139"/>
      <c r="J540" s="139"/>
    </row>
    <row r="541" spans="5:10" ht="15.75" customHeight="1" x14ac:dyDescent="0.25">
      <c r="E541" s="139"/>
      <c r="J541" s="139"/>
    </row>
    <row r="542" spans="5:10" ht="15.75" customHeight="1" x14ac:dyDescent="0.25">
      <c r="E542" s="139"/>
      <c r="J542" s="139"/>
    </row>
    <row r="543" spans="5:10" ht="15.75" customHeight="1" x14ac:dyDescent="0.25">
      <c r="E543" s="139"/>
      <c r="J543" s="139"/>
    </row>
    <row r="544" spans="5:10" ht="15.75" customHeight="1" x14ac:dyDescent="0.25">
      <c r="E544" s="139"/>
      <c r="J544" s="139"/>
    </row>
    <row r="545" spans="5:10" ht="15.75" customHeight="1" x14ac:dyDescent="0.25">
      <c r="E545" s="139"/>
      <c r="J545" s="139"/>
    </row>
    <row r="546" spans="5:10" ht="15.75" customHeight="1" x14ac:dyDescent="0.25">
      <c r="E546" s="139"/>
      <c r="J546" s="139"/>
    </row>
    <row r="547" spans="5:10" ht="15.75" customHeight="1" x14ac:dyDescent="0.25">
      <c r="E547" s="139"/>
      <c r="J547" s="139"/>
    </row>
    <row r="548" spans="5:10" ht="15.75" customHeight="1" x14ac:dyDescent="0.25">
      <c r="E548" s="139"/>
      <c r="J548" s="139"/>
    </row>
    <row r="549" spans="5:10" ht="15.75" customHeight="1" x14ac:dyDescent="0.25">
      <c r="E549" s="139"/>
      <c r="J549" s="139"/>
    </row>
    <row r="550" spans="5:10" ht="15.75" customHeight="1" x14ac:dyDescent="0.25">
      <c r="E550" s="139"/>
      <c r="J550" s="139"/>
    </row>
    <row r="551" spans="5:10" ht="15.75" customHeight="1" x14ac:dyDescent="0.25">
      <c r="E551" s="139"/>
      <c r="J551" s="139"/>
    </row>
    <row r="552" spans="5:10" ht="15.75" customHeight="1" x14ac:dyDescent="0.25">
      <c r="E552" s="139"/>
      <c r="J552" s="139"/>
    </row>
    <row r="553" spans="5:10" ht="15.75" customHeight="1" x14ac:dyDescent="0.25">
      <c r="E553" s="139"/>
      <c r="J553" s="139"/>
    </row>
    <row r="554" spans="5:10" ht="15.75" customHeight="1" x14ac:dyDescent="0.25">
      <c r="E554" s="139"/>
      <c r="J554" s="139"/>
    </row>
    <row r="555" spans="5:10" ht="15.75" customHeight="1" x14ac:dyDescent="0.25">
      <c r="E555" s="139"/>
      <c r="J555" s="139"/>
    </row>
    <row r="556" spans="5:10" ht="15.75" customHeight="1" x14ac:dyDescent="0.25">
      <c r="E556" s="139"/>
      <c r="J556" s="139"/>
    </row>
    <row r="557" spans="5:10" ht="15.75" customHeight="1" x14ac:dyDescent="0.25">
      <c r="E557" s="139"/>
      <c r="J557" s="139"/>
    </row>
    <row r="558" spans="5:10" ht="15.75" customHeight="1" x14ac:dyDescent="0.25">
      <c r="E558" s="139"/>
      <c r="J558" s="139"/>
    </row>
    <row r="559" spans="5:10" ht="15.75" customHeight="1" x14ac:dyDescent="0.25">
      <c r="E559" s="139"/>
      <c r="J559" s="139"/>
    </row>
    <row r="560" spans="5:10" ht="15.75" customHeight="1" x14ac:dyDescent="0.25">
      <c r="E560" s="139"/>
      <c r="J560" s="139"/>
    </row>
    <row r="561" spans="5:10" ht="15.75" customHeight="1" x14ac:dyDescent="0.25">
      <c r="E561" s="139"/>
      <c r="J561" s="139"/>
    </row>
    <row r="562" spans="5:10" ht="15.75" customHeight="1" x14ac:dyDescent="0.25">
      <c r="E562" s="139"/>
      <c r="J562" s="139"/>
    </row>
    <row r="563" spans="5:10" ht="15.75" customHeight="1" x14ac:dyDescent="0.25">
      <c r="E563" s="139"/>
      <c r="J563" s="139"/>
    </row>
    <row r="564" spans="5:10" ht="15.75" customHeight="1" x14ac:dyDescent="0.25">
      <c r="E564" s="139"/>
      <c r="J564" s="139"/>
    </row>
    <row r="565" spans="5:10" ht="15.75" customHeight="1" x14ac:dyDescent="0.25">
      <c r="E565" s="139"/>
      <c r="J565" s="139"/>
    </row>
    <row r="566" spans="5:10" ht="15.75" customHeight="1" x14ac:dyDescent="0.25">
      <c r="E566" s="139"/>
      <c r="J566" s="139"/>
    </row>
    <row r="567" spans="5:10" ht="15.75" customHeight="1" x14ac:dyDescent="0.25">
      <c r="E567" s="139"/>
      <c r="J567" s="139"/>
    </row>
    <row r="568" spans="5:10" ht="15.75" customHeight="1" x14ac:dyDescent="0.25">
      <c r="E568" s="139"/>
      <c r="J568" s="139"/>
    </row>
    <row r="569" spans="5:10" ht="15.75" customHeight="1" x14ac:dyDescent="0.25">
      <c r="E569" s="139"/>
      <c r="J569" s="139"/>
    </row>
    <row r="570" spans="5:10" ht="15.75" customHeight="1" x14ac:dyDescent="0.25">
      <c r="E570" s="139"/>
      <c r="J570" s="139"/>
    </row>
    <row r="571" spans="5:10" ht="15.75" customHeight="1" x14ac:dyDescent="0.25">
      <c r="E571" s="139"/>
      <c r="J571" s="139"/>
    </row>
    <row r="572" spans="5:10" ht="15.75" customHeight="1" x14ac:dyDescent="0.25">
      <c r="E572" s="139"/>
      <c r="J572" s="139"/>
    </row>
    <row r="573" spans="5:10" ht="15.75" customHeight="1" x14ac:dyDescent="0.25">
      <c r="E573" s="139"/>
      <c r="J573" s="139"/>
    </row>
    <row r="574" spans="5:10" ht="15.75" customHeight="1" x14ac:dyDescent="0.25">
      <c r="E574" s="139"/>
      <c r="J574" s="139"/>
    </row>
    <row r="575" spans="5:10" ht="15.75" customHeight="1" x14ac:dyDescent="0.25">
      <c r="E575" s="139"/>
      <c r="J575" s="139"/>
    </row>
    <row r="576" spans="5:10" ht="15.75" customHeight="1" x14ac:dyDescent="0.25">
      <c r="E576" s="139"/>
      <c r="J576" s="139"/>
    </row>
    <row r="577" spans="5:10" ht="15.75" customHeight="1" x14ac:dyDescent="0.25">
      <c r="E577" s="139"/>
      <c r="J577" s="139"/>
    </row>
    <row r="578" spans="5:10" ht="15.75" customHeight="1" x14ac:dyDescent="0.25">
      <c r="E578" s="139"/>
      <c r="J578" s="139"/>
    </row>
    <row r="579" spans="5:10" ht="15.75" customHeight="1" x14ac:dyDescent="0.25">
      <c r="E579" s="139"/>
      <c r="J579" s="139"/>
    </row>
    <row r="580" spans="5:10" ht="15.75" customHeight="1" x14ac:dyDescent="0.25">
      <c r="E580" s="139"/>
      <c r="J580" s="139"/>
    </row>
    <row r="581" spans="5:10" ht="15.75" customHeight="1" x14ac:dyDescent="0.25">
      <c r="E581" s="139"/>
      <c r="J581" s="139"/>
    </row>
    <row r="582" spans="5:10" ht="15.75" customHeight="1" x14ac:dyDescent="0.25">
      <c r="E582" s="139"/>
      <c r="J582" s="139"/>
    </row>
    <row r="583" spans="5:10" ht="15.75" customHeight="1" x14ac:dyDescent="0.25">
      <c r="E583" s="139"/>
      <c r="J583" s="139"/>
    </row>
    <row r="584" spans="5:10" ht="15.75" customHeight="1" x14ac:dyDescent="0.25">
      <c r="E584" s="139"/>
      <c r="J584" s="139"/>
    </row>
    <row r="585" spans="5:10" ht="15.75" customHeight="1" x14ac:dyDescent="0.25">
      <c r="E585" s="139"/>
      <c r="J585" s="139"/>
    </row>
    <row r="586" spans="5:10" ht="15.75" customHeight="1" x14ac:dyDescent="0.25">
      <c r="E586" s="139"/>
      <c r="J586" s="139"/>
    </row>
    <row r="587" spans="5:10" ht="15.75" customHeight="1" x14ac:dyDescent="0.25">
      <c r="E587" s="139"/>
      <c r="J587" s="139"/>
    </row>
    <row r="588" spans="5:10" ht="15.75" customHeight="1" x14ac:dyDescent="0.25">
      <c r="E588" s="139"/>
      <c r="J588" s="139"/>
    </row>
    <row r="589" spans="5:10" ht="15.75" customHeight="1" x14ac:dyDescent="0.25">
      <c r="E589" s="139"/>
      <c r="J589" s="139"/>
    </row>
    <row r="590" spans="5:10" ht="15.75" customHeight="1" x14ac:dyDescent="0.25">
      <c r="E590" s="139"/>
      <c r="J590" s="139"/>
    </row>
    <row r="591" spans="5:10" ht="15.75" customHeight="1" x14ac:dyDescent="0.25">
      <c r="E591" s="139"/>
      <c r="J591" s="139"/>
    </row>
    <row r="592" spans="5:10" ht="15.75" customHeight="1" x14ac:dyDescent="0.25">
      <c r="E592" s="139"/>
      <c r="J592" s="139"/>
    </row>
    <row r="593" spans="5:10" ht="15.75" customHeight="1" x14ac:dyDescent="0.25">
      <c r="E593" s="139"/>
      <c r="J593" s="139"/>
    </row>
    <row r="594" spans="5:10" ht="15.75" customHeight="1" x14ac:dyDescent="0.25">
      <c r="E594" s="139"/>
      <c r="J594" s="139"/>
    </row>
    <row r="595" spans="5:10" ht="15.75" customHeight="1" x14ac:dyDescent="0.25">
      <c r="E595" s="139"/>
      <c r="J595" s="139"/>
    </row>
    <row r="596" spans="5:10" ht="15.75" customHeight="1" x14ac:dyDescent="0.25">
      <c r="E596" s="139"/>
      <c r="J596" s="139"/>
    </row>
    <row r="597" spans="5:10" ht="15.75" customHeight="1" x14ac:dyDescent="0.25">
      <c r="E597" s="139"/>
      <c r="J597" s="139"/>
    </row>
    <row r="598" spans="5:10" ht="15.75" customHeight="1" x14ac:dyDescent="0.25">
      <c r="E598" s="139"/>
      <c r="J598" s="139"/>
    </row>
    <row r="599" spans="5:10" ht="15.75" customHeight="1" x14ac:dyDescent="0.25">
      <c r="E599" s="139"/>
      <c r="J599" s="139"/>
    </row>
    <row r="600" spans="5:10" ht="15.75" customHeight="1" x14ac:dyDescent="0.25">
      <c r="E600" s="139"/>
      <c r="J600" s="139"/>
    </row>
    <row r="601" spans="5:10" ht="15.75" customHeight="1" x14ac:dyDescent="0.25">
      <c r="E601" s="139"/>
      <c r="J601" s="139"/>
    </row>
    <row r="602" spans="5:10" ht="15.75" customHeight="1" x14ac:dyDescent="0.25">
      <c r="E602" s="139"/>
      <c r="J602" s="139"/>
    </row>
    <row r="603" spans="5:10" ht="15.75" customHeight="1" x14ac:dyDescent="0.25">
      <c r="E603" s="139"/>
      <c r="J603" s="139"/>
    </row>
    <row r="604" spans="5:10" ht="15.75" customHeight="1" x14ac:dyDescent="0.25">
      <c r="E604" s="139"/>
      <c r="J604" s="139"/>
    </row>
    <row r="605" spans="5:10" ht="15.75" customHeight="1" x14ac:dyDescent="0.25">
      <c r="E605" s="139"/>
      <c r="J605" s="139"/>
    </row>
    <row r="606" spans="5:10" ht="15.75" customHeight="1" x14ac:dyDescent="0.25">
      <c r="E606" s="139"/>
      <c r="J606" s="139"/>
    </row>
    <row r="607" spans="5:10" ht="15.75" customHeight="1" x14ac:dyDescent="0.25">
      <c r="E607" s="139"/>
      <c r="J607" s="139"/>
    </row>
    <row r="608" spans="5:10" ht="15.75" customHeight="1" x14ac:dyDescent="0.25">
      <c r="E608" s="139"/>
      <c r="J608" s="139"/>
    </row>
    <row r="609" spans="5:10" ht="15.75" customHeight="1" x14ac:dyDescent="0.25">
      <c r="E609" s="139"/>
      <c r="J609" s="139"/>
    </row>
    <row r="610" spans="5:10" ht="15.75" customHeight="1" x14ac:dyDescent="0.25">
      <c r="E610" s="139"/>
      <c r="J610" s="139"/>
    </row>
    <row r="611" spans="5:10" ht="15.75" customHeight="1" x14ac:dyDescent="0.25">
      <c r="E611" s="139"/>
      <c r="J611" s="139"/>
    </row>
    <row r="612" spans="5:10" ht="15.75" customHeight="1" x14ac:dyDescent="0.25">
      <c r="E612" s="139"/>
      <c r="J612" s="139"/>
    </row>
    <row r="613" spans="5:10" ht="15.75" customHeight="1" x14ac:dyDescent="0.25">
      <c r="E613" s="139"/>
      <c r="J613" s="139"/>
    </row>
    <row r="614" spans="5:10" ht="15.75" customHeight="1" x14ac:dyDescent="0.25">
      <c r="E614" s="139"/>
      <c r="J614" s="139"/>
    </row>
    <row r="615" spans="5:10" ht="15.75" customHeight="1" x14ac:dyDescent="0.25">
      <c r="E615" s="139"/>
      <c r="J615" s="139"/>
    </row>
    <row r="616" spans="5:10" ht="15.75" customHeight="1" x14ac:dyDescent="0.25">
      <c r="E616" s="139"/>
      <c r="J616" s="139"/>
    </row>
    <row r="617" spans="5:10" ht="15.75" customHeight="1" x14ac:dyDescent="0.25">
      <c r="E617" s="139"/>
      <c r="J617" s="139"/>
    </row>
    <row r="618" spans="5:10" ht="15.75" customHeight="1" x14ac:dyDescent="0.25">
      <c r="E618" s="139"/>
      <c r="J618" s="139"/>
    </row>
    <row r="619" spans="5:10" ht="15.75" customHeight="1" x14ac:dyDescent="0.25">
      <c r="E619" s="139"/>
      <c r="J619" s="139"/>
    </row>
    <row r="620" spans="5:10" ht="15.75" customHeight="1" x14ac:dyDescent="0.25">
      <c r="E620" s="139"/>
      <c r="J620" s="139"/>
    </row>
    <row r="621" spans="5:10" ht="15.75" customHeight="1" x14ac:dyDescent="0.25">
      <c r="E621" s="139"/>
      <c r="J621" s="139"/>
    </row>
    <row r="622" spans="5:10" ht="15.75" customHeight="1" x14ac:dyDescent="0.25">
      <c r="E622" s="139"/>
      <c r="J622" s="139"/>
    </row>
    <row r="623" spans="5:10" ht="15.75" customHeight="1" x14ac:dyDescent="0.25">
      <c r="E623" s="139"/>
      <c r="J623" s="139"/>
    </row>
    <row r="624" spans="5:10" ht="15.75" customHeight="1" x14ac:dyDescent="0.25">
      <c r="E624" s="139"/>
      <c r="J624" s="139"/>
    </row>
    <row r="625" spans="5:10" ht="15.75" customHeight="1" x14ac:dyDescent="0.25">
      <c r="E625" s="139"/>
      <c r="J625" s="139"/>
    </row>
    <row r="626" spans="5:10" ht="15.75" customHeight="1" x14ac:dyDescent="0.25">
      <c r="E626" s="139"/>
      <c r="J626" s="139"/>
    </row>
    <row r="627" spans="5:10" ht="15.75" customHeight="1" x14ac:dyDescent="0.25">
      <c r="E627" s="139"/>
      <c r="J627" s="139"/>
    </row>
    <row r="628" spans="5:10" ht="15.75" customHeight="1" x14ac:dyDescent="0.25">
      <c r="E628" s="139"/>
      <c r="J628" s="139"/>
    </row>
    <row r="629" spans="5:10" ht="15.75" customHeight="1" x14ac:dyDescent="0.25">
      <c r="E629" s="139"/>
      <c r="J629" s="139"/>
    </row>
    <row r="630" spans="5:10" ht="15.75" customHeight="1" x14ac:dyDescent="0.25">
      <c r="E630" s="139"/>
      <c r="J630" s="139"/>
    </row>
    <row r="631" spans="5:10" ht="15.75" customHeight="1" x14ac:dyDescent="0.25">
      <c r="E631" s="139"/>
      <c r="J631" s="139"/>
    </row>
    <row r="632" spans="5:10" ht="15.75" customHeight="1" x14ac:dyDescent="0.25">
      <c r="E632" s="139"/>
      <c r="J632" s="139"/>
    </row>
    <row r="633" spans="5:10" ht="15.75" customHeight="1" x14ac:dyDescent="0.25">
      <c r="E633" s="139"/>
      <c r="J633" s="139"/>
    </row>
    <row r="634" spans="5:10" ht="15.75" customHeight="1" x14ac:dyDescent="0.25">
      <c r="E634" s="139"/>
      <c r="J634" s="139"/>
    </row>
    <row r="635" spans="5:10" ht="15.75" customHeight="1" x14ac:dyDescent="0.25">
      <c r="E635" s="139"/>
      <c r="J635" s="139"/>
    </row>
    <row r="636" spans="5:10" ht="15.75" customHeight="1" x14ac:dyDescent="0.25">
      <c r="E636" s="139"/>
      <c r="J636" s="139"/>
    </row>
    <row r="637" spans="5:10" ht="15.75" customHeight="1" x14ac:dyDescent="0.25">
      <c r="E637" s="139"/>
      <c r="J637" s="139"/>
    </row>
    <row r="638" spans="5:10" ht="15.75" customHeight="1" x14ac:dyDescent="0.25">
      <c r="E638" s="139"/>
      <c r="J638" s="139"/>
    </row>
    <row r="639" spans="5:10" ht="15.75" customHeight="1" x14ac:dyDescent="0.25">
      <c r="E639" s="139"/>
      <c r="J639" s="139"/>
    </row>
    <row r="640" spans="5:10" ht="15.75" customHeight="1" x14ac:dyDescent="0.25">
      <c r="E640" s="139"/>
      <c r="J640" s="139"/>
    </row>
    <row r="641" spans="5:10" ht="15.75" customHeight="1" x14ac:dyDescent="0.25">
      <c r="E641" s="139"/>
      <c r="J641" s="139"/>
    </row>
    <row r="642" spans="5:10" ht="15.75" customHeight="1" x14ac:dyDescent="0.25">
      <c r="E642" s="139"/>
      <c r="J642" s="139"/>
    </row>
    <row r="643" spans="5:10" ht="15.75" customHeight="1" x14ac:dyDescent="0.25">
      <c r="E643" s="139"/>
      <c r="J643" s="139"/>
    </row>
    <row r="644" spans="5:10" ht="15.75" customHeight="1" x14ac:dyDescent="0.25">
      <c r="E644" s="139"/>
      <c r="J644" s="139"/>
    </row>
    <row r="645" spans="5:10" ht="15.75" customHeight="1" x14ac:dyDescent="0.25">
      <c r="E645" s="139"/>
      <c r="J645" s="139"/>
    </row>
    <row r="646" spans="5:10" ht="15.75" customHeight="1" x14ac:dyDescent="0.25">
      <c r="E646" s="139"/>
      <c r="J646" s="139"/>
    </row>
    <row r="647" spans="5:10" ht="15.75" customHeight="1" x14ac:dyDescent="0.25">
      <c r="E647" s="139"/>
      <c r="J647" s="139"/>
    </row>
    <row r="648" spans="5:10" ht="15.75" customHeight="1" x14ac:dyDescent="0.25">
      <c r="E648" s="139"/>
      <c r="J648" s="139"/>
    </row>
    <row r="649" spans="5:10" ht="15.75" customHeight="1" x14ac:dyDescent="0.25">
      <c r="E649" s="139"/>
      <c r="J649" s="139"/>
    </row>
    <row r="650" spans="5:10" ht="15.75" customHeight="1" x14ac:dyDescent="0.25">
      <c r="E650" s="139"/>
      <c r="J650" s="139"/>
    </row>
    <row r="651" spans="5:10" ht="15.75" customHeight="1" x14ac:dyDescent="0.25">
      <c r="E651" s="139"/>
      <c r="J651" s="139"/>
    </row>
    <row r="652" spans="5:10" ht="15.75" customHeight="1" x14ac:dyDescent="0.25">
      <c r="E652" s="139"/>
      <c r="J652" s="139"/>
    </row>
    <row r="653" spans="5:10" ht="15.75" customHeight="1" x14ac:dyDescent="0.25">
      <c r="E653" s="139"/>
      <c r="J653" s="139"/>
    </row>
    <row r="654" spans="5:10" ht="15.75" customHeight="1" x14ac:dyDescent="0.25">
      <c r="E654" s="139"/>
      <c r="J654" s="139"/>
    </row>
    <row r="655" spans="5:10" ht="15.75" customHeight="1" x14ac:dyDescent="0.25">
      <c r="E655" s="139"/>
      <c r="J655" s="139"/>
    </row>
    <row r="656" spans="5:10" ht="15.75" customHeight="1" x14ac:dyDescent="0.25">
      <c r="E656" s="139"/>
      <c r="J656" s="139"/>
    </row>
    <row r="657" spans="5:10" ht="15.75" customHeight="1" x14ac:dyDescent="0.25">
      <c r="E657" s="139"/>
      <c r="J657" s="139"/>
    </row>
    <row r="658" spans="5:10" ht="15.75" customHeight="1" x14ac:dyDescent="0.25">
      <c r="E658" s="139"/>
      <c r="J658" s="139"/>
    </row>
    <row r="659" spans="5:10" ht="15.75" customHeight="1" x14ac:dyDescent="0.25">
      <c r="E659" s="139"/>
      <c r="J659" s="139"/>
    </row>
    <row r="660" spans="5:10" ht="15.75" customHeight="1" x14ac:dyDescent="0.25">
      <c r="E660" s="139"/>
      <c r="J660" s="139"/>
    </row>
    <row r="661" spans="5:10" ht="15.75" customHeight="1" x14ac:dyDescent="0.25">
      <c r="E661" s="139"/>
      <c r="J661" s="139"/>
    </row>
    <row r="662" spans="5:10" ht="15.75" customHeight="1" x14ac:dyDescent="0.25">
      <c r="E662" s="139"/>
      <c r="J662" s="139"/>
    </row>
    <row r="663" spans="5:10" ht="15.75" customHeight="1" x14ac:dyDescent="0.25">
      <c r="E663" s="139"/>
      <c r="J663" s="139"/>
    </row>
    <row r="664" spans="5:10" ht="15.75" customHeight="1" x14ac:dyDescent="0.25">
      <c r="E664" s="139"/>
      <c r="J664" s="139"/>
    </row>
    <row r="665" spans="5:10" ht="15.75" customHeight="1" x14ac:dyDescent="0.25">
      <c r="E665" s="139"/>
      <c r="J665" s="139"/>
    </row>
    <row r="666" spans="5:10" ht="15.75" customHeight="1" x14ac:dyDescent="0.25">
      <c r="E666" s="139"/>
      <c r="J666" s="139"/>
    </row>
    <row r="667" spans="5:10" ht="15.75" customHeight="1" x14ac:dyDescent="0.25">
      <c r="E667" s="139"/>
      <c r="J667" s="139"/>
    </row>
    <row r="668" spans="5:10" ht="15.75" customHeight="1" x14ac:dyDescent="0.25">
      <c r="E668" s="139"/>
      <c r="J668" s="139"/>
    </row>
    <row r="669" spans="5:10" ht="15.75" customHeight="1" x14ac:dyDescent="0.25">
      <c r="E669" s="139"/>
      <c r="J669" s="139"/>
    </row>
    <row r="670" spans="5:10" ht="15.75" customHeight="1" x14ac:dyDescent="0.25">
      <c r="E670" s="139"/>
      <c r="J670" s="139"/>
    </row>
    <row r="671" spans="5:10" ht="15.75" customHeight="1" x14ac:dyDescent="0.25">
      <c r="E671" s="139"/>
      <c r="J671" s="139"/>
    </row>
    <row r="672" spans="5:10" ht="15.75" customHeight="1" x14ac:dyDescent="0.25">
      <c r="E672" s="139"/>
      <c r="J672" s="139"/>
    </row>
    <row r="673" spans="5:10" ht="15.75" customHeight="1" x14ac:dyDescent="0.25">
      <c r="E673" s="139"/>
      <c r="J673" s="139"/>
    </row>
    <row r="674" spans="5:10" ht="15.75" customHeight="1" x14ac:dyDescent="0.25">
      <c r="E674" s="139"/>
      <c r="J674" s="139"/>
    </row>
    <row r="675" spans="5:10" ht="15.75" customHeight="1" x14ac:dyDescent="0.25">
      <c r="E675" s="139"/>
      <c r="J675" s="139"/>
    </row>
    <row r="676" spans="5:10" ht="15.75" customHeight="1" x14ac:dyDescent="0.25">
      <c r="E676" s="139"/>
      <c r="J676" s="139"/>
    </row>
    <row r="677" spans="5:10" ht="15.75" customHeight="1" x14ac:dyDescent="0.25">
      <c r="E677" s="139"/>
      <c r="J677" s="139"/>
    </row>
    <row r="678" spans="5:10" ht="15.75" customHeight="1" x14ac:dyDescent="0.25">
      <c r="E678" s="139"/>
      <c r="J678" s="139"/>
    </row>
    <row r="679" spans="5:10" ht="15.75" customHeight="1" x14ac:dyDescent="0.25">
      <c r="E679" s="139"/>
      <c r="J679" s="139"/>
    </row>
    <row r="680" spans="5:10" ht="15.75" customHeight="1" x14ac:dyDescent="0.25">
      <c r="E680" s="139"/>
      <c r="J680" s="139"/>
    </row>
    <row r="681" spans="5:10" ht="15.75" customHeight="1" x14ac:dyDescent="0.25">
      <c r="E681" s="139"/>
      <c r="J681" s="139"/>
    </row>
    <row r="682" spans="5:10" ht="15.75" customHeight="1" x14ac:dyDescent="0.25">
      <c r="E682" s="139"/>
      <c r="J682" s="139"/>
    </row>
    <row r="683" spans="5:10" ht="15.75" customHeight="1" x14ac:dyDescent="0.25">
      <c r="E683" s="139"/>
      <c r="J683" s="139"/>
    </row>
    <row r="684" spans="5:10" ht="15.75" customHeight="1" x14ac:dyDescent="0.25">
      <c r="E684" s="139"/>
      <c r="J684" s="139"/>
    </row>
    <row r="685" spans="5:10" ht="15.75" customHeight="1" x14ac:dyDescent="0.25">
      <c r="E685" s="139"/>
      <c r="J685" s="139"/>
    </row>
    <row r="686" spans="5:10" ht="15.75" customHeight="1" x14ac:dyDescent="0.25">
      <c r="E686" s="139"/>
      <c r="J686" s="139"/>
    </row>
    <row r="687" spans="5:10" ht="15.75" customHeight="1" x14ac:dyDescent="0.25">
      <c r="E687" s="139"/>
      <c r="J687" s="139"/>
    </row>
    <row r="688" spans="5:10" ht="15.75" customHeight="1" x14ac:dyDescent="0.25">
      <c r="E688" s="139"/>
      <c r="J688" s="139"/>
    </row>
    <row r="689" spans="5:10" ht="15.75" customHeight="1" x14ac:dyDescent="0.25">
      <c r="E689" s="139"/>
      <c r="J689" s="139"/>
    </row>
    <row r="690" spans="5:10" ht="15.75" customHeight="1" x14ac:dyDescent="0.25">
      <c r="E690" s="139"/>
      <c r="J690" s="139"/>
    </row>
    <row r="691" spans="5:10" ht="15.75" customHeight="1" x14ac:dyDescent="0.25">
      <c r="E691" s="139"/>
      <c r="J691" s="139"/>
    </row>
    <row r="692" spans="5:10" ht="15.75" customHeight="1" x14ac:dyDescent="0.25">
      <c r="E692" s="139"/>
      <c r="J692" s="139"/>
    </row>
    <row r="693" spans="5:10" ht="15.75" customHeight="1" x14ac:dyDescent="0.25">
      <c r="E693" s="139"/>
      <c r="J693" s="139"/>
    </row>
    <row r="694" spans="5:10" ht="15.75" customHeight="1" x14ac:dyDescent="0.25">
      <c r="E694" s="139"/>
      <c r="J694" s="139"/>
    </row>
    <row r="695" spans="5:10" ht="15.75" customHeight="1" x14ac:dyDescent="0.25">
      <c r="E695" s="139"/>
      <c r="J695" s="139"/>
    </row>
    <row r="696" spans="5:10" ht="15.75" customHeight="1" x14ac:dyDescent="0.25">
      <c r="E696" s="139"/>
      <c r="J696" s="139"/>
    </row>
    <row r="697" spans="5:10" ht="15.75" customHeight="1" x14ac:dyDescent="0.25">
      <c r="E697" s="139"/>
      <c r="J697" s="139"/>
    </row>
    <row r="698" spans="5:10" ht="15.75" customHeight="1" x14ac:dyDescent="0.25">
      <c r="E698" s="139"/>
      <c r="J698" s="139"/>
    </row>
    <row r="699" spans="5:10" ht="15.75" customHeight="1" x14ac:dyDescent="0.25">
      <c r="E699" s="139"/>
      <c r="J699" s="139"/>
    </row>
    <row r="700" spans="5:10" ht="15.75" customHeight="1" x14ac:dyDescent="0.25">
      <c r="E700" s="139"/>
      <c r="J700" s="139"/>
    </row>
    <row r="701" spans="5:10" ht="15.75" customHeight="1" x14ac:dyDescent="0.25">
      <c r="E701" s="139"/>
      <c r="J701" s="139"/>
    </row>
    <row r="702" spans="5:10" ht="15.75" customHeight="1" x14ac:dyDescent="0.25">
      <c r="E702" s="139"/>
      <c r="J702" s="139"/>
    </row>
    <row r="703" spans="5:10" ht="15.75" customHeight="1" x14ac:dyDescent="0.25">
      <c r="E703" s="139"/>
      <c r="J703" s="139"/>
    </row>
    <row r="704" spans="5:10" ht="15.75" customHeight="1" x14ac:dyDescent="0.25">
      <c r="E704" s="139"/>
      <c r="J704" s="139"/>
    </row>
    <row r="705" spans="5:10" ht="15.75" customHeight="1" x14ac:dyDescent="0.25">
      <c r="E705" s="139"/>
      <c r="J705" s="139"/>
    </row>
    <row r="706" spans="5:10" ht="15.75" customHeight="1" x14ac:dyDescent="0.25">
      <c r="E706" s="139"/>
      <c r="J706" s="139"/>
    </row>
    <row r="707" spans="5:10" ht="15.75" customHeight="1" x14ac:dyDescent="0.25">
      <c r="E707" s="139"/>
      <c r="J707" s="139"/>
    </row>
    <row r="708" spans="5:10" ht="15.75" customHeight="1" x14ac:dyDescent="0.25">
      <c r="E708" s="139"/>
      <c r="J708" s="139"/>
    </row>
    <row r="709" spans="5:10" ht="15.75" customHeight="1" x14ac:dyDescent="0.25">
      <c r="E709" s="139"/>
      <c r="J709" s="139"/>
    </row>
    <row r="710" spans="5:10" ht="15.75" customHeight="1" x14ac:dyDescent="0.25">
      <c r="E710" s="139"/>
      <c r="J710" s="139"/>
    </row>
    <row r="711" spans="5:10" ht="15.75" customHeight="1" x14ac:dyDescent="0.25">
      <c r="E711" s="139"/>
      <c r="J711" s="139"/>
    </row>
    <row r="712" spans="5:10" ht="15.75" customHeight="1" x14ac:dyDescent="0.25">
      <c r="E712" s="139"/>
      <c r="J712" s="139"/>
    </row>
    <row r="713" spans="5:10" ht="15.75" customHeight="1" x14ac:dyDescent="0.25">
      <c r="E713" s="139"/>
      <c r="J713" s="139"/>
    </row>
    <row r="714" spans="5:10" ht="15.75" customHeight="1" x14ac:dyDescent="0.25">
      <c r="E714" s="139"/>
      <c r="J714" s="139"/>
    </row>
    <row r="715" spans="5:10" ht="15.75" customHeight="1" x14ac:dyDescent="0.25">
      <c r="E715" s="139"/>
      <c r="J715" s="139"/>
    </row>
    <row r="716" spans="5:10" ht="15.75" customHeight="1" x14ac:dyDescent="0.25">
      <c r="E716" s="139"/>
      <c r="J716" s="139"/>
    </row>
    <row r="717" spans="5:10" ht="15.75" customHeight="1" x14ac:dyDescent="0.25">
      <c r="E717" s="139"/>
      <c r="J717" s="139"/>
    </row>
    <row r="718" spans="5:10" ht="15.75" customHeight="1" x14ac:dyDescent="0.25">
      <c r="E718" s="139"/>
      <c r="J718" s="139"/>
    </row>
    <row r="719" spans="5:10" ht="15.75" customHeight="1" x14ac:dyDescent="0.25">
      <c r="E719" s="139"/>
      <c r="J719" s="139"/>
    </row>
    <row r="720" spans="5:10" ht="15.75" customHeight="1" x14ac:dyDescent="0.25">
      <c r="E720" s="139"/>
      <c r="J720" s="139"/>
    </row>
    <row r="721" spans="5:10" ht="15.75" customHeight="1" x14ac:dyDescent="0.25">
      <c r="E721" s="139"/>
      <c r="J721" s="139"/>
    </row>
    <row r="722" spans="5:10" ht="15.75" customHeight="1" x14ac:dyDescent="0.25">
      <c r="E722" s="139"/>
      <c r="J722" s="139"/>
    </row>
    <row r="723" spans="5:10" ht="15.75" customHeight="1" x14ac:dyDescent="0.25">
      <c r="E723" s="139"/>
      <c r="J723" s="139"/>
    </row>
    <row r="724" spans="5:10" ht="15.75" customHeight="1" x14ac:dyDescent="0.25">
      <c r="E724" s="139"/>
      <c r="J724" s="139"/>
    </row>
    <row r="725" spans="5:10" ht="15.75" customHeight="1" x14ac:dyDescent="0.25">
      <c r="E725" s="139"/>
      <c r="J725" s="139"/>
    </row>
    <row r="726" spans="5:10" ht="15.75" customHeight="1" x14ac:dyDescent="0.25">
      <c r="E726" s="139"/>
      <c r="J726" s="139"/>
    </row>
    <row r="727" spans="5:10" ht="15.75" customHeight="1" x14ac:dyDescent="0.25">
      <c r="E727" s="139"/>
      <c r="J727" s="139"/>
    </row>
    <row r="728" spans="5:10" ht="15.75" customHeight="1" x14ac:dyDescent="0.25">
      <c r="E728" s="139"/>
      <c r="J728" s="139"/>
    </row>
    <row r="729" spans="5:10" ht="15.75" customHeight="1" x14ac:dyDescent="0.25">
      <c r="E729" s="139"/>
      <c r="J729" s="139"/>
    </row>
    <row r="730" spans="5:10" ht="15.75" customHeight="1" x14ac:dyDescent="0.25">
      <c r="E730" s="139"/>
      <c r="J730" s="139"/>
    </row>
    <row r="731" spans="5:10" ht="15.75" customHeight="1" x14ac:dyDescent="0.25">
      <c r="E731" s="139"/>
      <c r="J731" s="139"/>
    </row>
    <row r="732" spans="5:10" ht="15.75" customHeight="1" x14ac:dyDescent="0.25">
      <c r="E732" s="139"/>
      <c r="J732" s="139"/>
    </row>
    <row r="733" spans="5:10" ht="15.75" customHeight="1" x14ac:dyDescent="0.25">
      <c r="E733" s="139"/>
      <c r="J733" s="139"/>
    </row>
    <row r="734" spans="5:10" ht="15.75" customHeight="1" x14ac:dyDescent="0.25">
      <c r="E734" s="139"/>
      <c r="J734" s="139"/>
    </row>
    <row r="735" spans="5:10" ht="15.75" customHeight="1" x14ac:dyDescent="0.25">
      <c r="E735" s="139"/>
      <c r="J735" s="139"/>
    </row>
    <row r="736" spans="5:10" ht="15.75" customHeight="1" x14ac:dyDescent="0.25">
      <c r="E736" s="139"/>
      <c r="J736" s="139"/>
    </row>
    <row r="737" spans="5:10" ht="15.75" customHeight="1" x14ac:dyDescent="0.25">
      <c r="E737" s="139"/>
      <c r="J737" s="139"/>
    </row>
    <row r="738" spans="5:10" ht="15.75" customHeight="1" x14ac:dyDescent="0.25">
      <c r="E738" s="139"/>
      <c r="J738" s="139"/>
    </row>
    <row r="739" spans="5:10" ht="15.75" customHeight="1" x14ac:dyDescent="0.25">
      <c r="E739" s="139"/>
      <c r="J739" s="139"/>
    </row>
    <row r="740" spans="5:10" ht="15.75" customHeight="1" x14ac:dyDescent="0.25">
      <c r="E740" s="139"/>
      <c r="J740" s="139"/>
    </row>
    <row r="741" spans="5:10" ht="15.75" customHeight="1" x14ac:dyDescent="0.25">
      <c r="E741" s="139"/>
      <c r="J741" s="139"/>
    </row>
    <row r="742" spans="5:10" ht="15.75" customHeight="1" x14ac:dyDescent="0.25">
      <c r="E742" s="139"/>
      <c r="J742" s="139"/>
    </row>
    <row r="743" spans="5:10" ht="15.75" customHeight="1" x14ac:dyDescent="0.25">
      <c r="E743" s="139"/>
      <c r="J743" s="139"/>
    </row>
    <row r="744" spans="5:10" ht="15.75" customHeight="1" x14ac:dyDescent="0.25">
      <c r="E744" s="139"/>
      <c r="J744" s="139"/>
    </row>
    <row r="745" spans="5:10" ht="15.75" customHeight="1" x14ac:dyDescent="0.25">
      <c r="E745" s="139"/>
      <c r="J745" s="139"/>
    </row>
    <row r="746" spans="5:10" ht="15.75" customHeight="1" x14ac:dyDescent="0.25">
      <c r="E746" s="139"/>
      <c r="J746" s="139"/>
    </row>
    <row r="747" spans="5:10" ht="15.75" customHeight="1" x14ac:dyDescent="0.25">
      <c r="E747" s="139"/>
      <c r="J747" s="139"/>
    </row>
    <row r="748" spans="5:10" ht="15.75" customHeight="1" x14ac:dyDescent="0.25">
      <c r="E748" s="139"/>
      <c r="J748" s="139"/>
    </row>
    <row r="749" spans="5:10" ht="15.75" customHeight="1" x14ac:dyDescent="0.25">
      <c r="E749" s="139"/>
      <c r="J749" s="139"/>
    </row>
    <row r="750" spans="5:10" ht="15.75" customHeight="1" x14ac:dyDescent="0.25">
      <c r="E750" s="139"/>
      <c r="J750" s="139"/>
    </row>
    <row r="751" spans="5:10" ht="15.75" customHeight="1" x14ac:dyDescent="0.25">
      <c r="E751" s="139"/>
      <c r="J751" s="139"/>
    </row>
    <row r="752" spans="5:10" ht="15.75" customHeight="1" x14ac:dyDescent="0.25">
      <c r="E752" s="139"/>
      <c r="J752" s="139"/>
    </row>
    <row r="753" spans="5:10" ht="15.75" customHeight="1" x14ac:dyDescent="0.25">
      <c r="E753" s="139"/>
      <c r="J753" s="139"/>
    </row>
    <row r="754" spans="5:10" ht="15.75" customHeight="1" x14ac:dyDescent="0.25">
      <c r="E754" s="139"/>
      <c r="J754" s="139"/>
    </row>
    <row r="755" spans="5:10" ht="15.75" customHeight="1" x14ac:dyDescent="0.25">
      <c r="E755" s="139"/>
      <c r="J755" s="139"/>
    </row>
    <row r="756" spans="5:10" ht="15.75" customHeight="1" x14ac:dyDescent="0.25">
      <c r="E756" s="139"/>
      <c r="J756" s="139"/>
    </row>
    <row r="757" spans="5:10" ht="15.75" customHeight="1" x14ac:dyDescent="0.25">
      <c r="E757" s="139"/>
      <c r="J757" s="139"/>
    </row>
    <row r="758" spans="5:10" ht="15.75" customHeight="1" x14ac:dyDescent="0.25">
      <c r="E758" s="139"/>
      <c r="J758" s="139"/>
    </row>
    <row r="759" spans="5:10" ht="15.75" customHeight="1" x14ac:dyDescent="0.25">
      <c r="E759" s="139"/>
      <c r="J759" s="139"/>
    </row>
    <row r="760" spans="5:10" ht="15.75" customHeight="1" x14ac:dyDescent="0.25">
      <c r="E760" s="139"/>
      <c r="J760" s="139"/>
    </row>
    <row r="761" spans="5:10" ht="15.75" customHeight="1" x14ac:dyDescent="0.25">
      <c r="E761" s="139"/>
      <c r="J761" s="139"/>
    </row>
    <row r="762" spans="5:10" ht="15.75" customHeight="1" x14ac:dyDescent="0.25">
      <c r="E762" s="139"/>
      <c r="J762" s="139"/>
    </row>
    <row r="763" spans="5:10" ht="15.75" customHeight="1" x14ac:dyDescent="0.25">
      <c r="E763" s="139"/>
      <c r="J763" s="139"/>
    </row>
    <row r="764" spans="5:10" ht="15.75" customHeight="1" x14ac:dyDescent="0.25">
      <c r="E764" s="139"/>
      <c r="J764" s="139"/>
    </row>
    <row r="765" spans="5:10" ht="15.75" customHeight="1" x14ac:dyDescent="0.25">
      <c r="E765" s="139"/>
      <c r="J765" s="139"/>
    </row>
    <row r="766" spans="5:10" ht="15.75" customHeight="1" x14ac:dyDescent="0.25">
      <c r="E766" s="139"/>
      <c r="J766" s="139"/>
    </row>
    <row r="767" spans="5:10" ht="15.75" customHeight="1" x14ac:dyDescent="0.25">
      <c r="E767" s="139"/>
      <c r="J767" s="139"/>
    </row>
    <row r="768" spans="5:10" ht="15.75" customHeight="1" x14ac:dyDescent="0.25">
      <c r="E768" s="139"/>
      <c r="J768" s="139"/>
    </row>
    <row r="769" spans="5:10" ht="15.75" customHeight="1" x14ac:dyDescent="0.25">
      <c r="E769" s="139"/>
      <c r="J769" s="139"/>
    </row>
    <row r="770" spans="5:10" ht="15.75" customHeight="1" x14ac:dyDescent="0.25">
      <c r="E770" s="139"/>
      <c r="J770" s="139"/>
    </row>
    <row r="771" spans="5:10" ht="15.75" customHeight="1" x14ac:dyDescent="0.25">
      <c r="E771" s="139"/>
      <c r="J771" s="139"/>
    </row>
    <row r="772" spans="5:10" ht="15.75" customHeight="1" x14ac:dyDescent="0.25">
      <c r="E772" s="139"/>
      <c r="J772" s="139"/>
    </row>
    <row r="773" spans="5:10" ht="15.75" customHeight="1" x14ac:dyDescent="0.25">
      <c r="E773" s="139"/>
      <c r="J773" s="139"/>
    </row>
    <row r="774" spans="5:10" ht="15.75" customHeight="1" x14ac:dyDescent="0.25">
      <c r="E774" s="139"/>
      <c r="J774" s="139"/>
    </row>
    <row r="775" spans="5:10" ht="15.75" customHeight="1" x14ac:dyDescent="0.25">
      <c r="E775" s="139"/>
      <c r="J775" s="139"/>
    </row>
    <row r="776" spans="5:10" ht="15.75" customHeight="1" x14ac:dyDescent="0.25">
      <c r="E776" s="139"/>
      <c r="J776" s="139"/>
    </row>
    <row r="777" spans="5:10" ht="15.75" customHeight="1" x14ac:dyDescent="0.25">
      <c r="E777" s="139"/>
      <c r="J777" s="139"/>
    </row>
    <row r="778" spans="5:10" ht="15.75" customHeight="1" x14ac:dyDescent="0.25">
      <c r="E778" s="139"/>
      <c r="J778" s="139"/>
    </row>
    <row r="779" spans="5:10" ht="15.75" customHeight="1" x14ac:dyDescent="0.25">
      <c r="E779" s="139"/>
      <c r="J779" s="139"/>
    </row>
    <row r="780" spans="5:10" ht="15.75" customHeight="1" x14ac:dyDescent="0.25">
      <c r="E780" s="139"/>
      <c r="J780" s="139"/>
    </row>
    <row r="781" spans="5:10" ht="15.75" customHeight="1" x14ac:dyDescent="0.25">
      <c r="E781" s="139"/>
      <c r="J781" s="139"/>
    </row>
    <row r="782" spans="5:10" ht="15.75" customHeight="1" x14ac:dyDescent="0.25">
      <c r="E782" s="139"/>
      <c r="J782" s="139"/>
    </row>
    <row r="783" spans="5:10" ht="15.75" customHeight="1" x14ac:dyDescent="0.25">
      <c r="E783" s="139"/>
      <c r="J783" s="139"/>
    </row>
    <row r="784" spans="5:10" ht="15.75" customHeight="1" x14ac:dyDescent="0.25">
      <c r="E784" s="139"/>
      <c r="J784" s="139"/>
    </row>
    <row r="785" spans="5:10" ht="15.75" customHeight="1" x14ac:dyDescent="0.25">
      <c r="E785" s="139"/>
      <c r="J785" s="139"/>
    </row>
    <row r="786" spans="5:10" ht="15.75" customHeight="1" x14ac:dyDescent="0.25">
      <c r="E786" s="139"/>
      <c r="J786" s="139"/>
    </row>
    <row r="787" spans="5:10" ht="15.75" customHeight="1" x14ac:dyDescent="0.25">
      <c r="E787" s="139"/>
      <c r="J787" s="139"/>
    </row>
    <row r="788" spans="5:10" ht="15.75" customHeight="1" x14ac:dyDescent="0.25">
      <c r="E788" s="139"/>
      <c r="J788" s="139"/>
    </row>
    <row r="789" spans="5:10" ht="15.75" customHeight="1" x14ac:dyDescent="0.25">
      <c r="E789" s="139"/>
      <c r="J789" s="139"/>
    </row>
    <row r="790" spans="5:10" ht="15.75" customHeight="1" x14ac:dyDescent="0.25">
      <c r="E790" s="139"/>
      <c r="J790" s="139"/>
    </row>
    <row r="791" spans="5:10" ht="15.75" customHeight="1" x14ac:dyDescent="0.25">
      <c r="E791" s="139"/>
      <c r="J791" s="139"/>
    </row>
    <row r="792" spans="5:10" ht="15.75" customHeight="1" x14ac:dyDescent="0.25">
      <c r="E792" s="139"/>
      <c r="J792" s="139"/>
    </row>
    <row r="793" spans="5:10" ht="15.75" customHeight="1" x14ac:dyDescent="0.25">
      <c r="E793" s="139"/>
      <c r="J793" s="139"/>
    </row>
    <row r="794" spans="5:10" ht="15.75" customHeight="1" x14ac:dyDescent="0.25">
      <c r="E794" s="139"/>
      <c r="J794" s="139"/>
    </row>
    <row r="795" spans="5:10" ht="15.75" customHeight="1" x14ac:dyDescent="0.25">
      <c r="E795" s="139"/>
      <c r="J795" s="139"/>
    </row>
    <row r="796" spans="5:10" ht="15.75" customHeight="1" x14ac:dyDescent="0.25">
      <c r="E796" s="139"/>
      <c r="J796" s="139"/>
    </row>
    <row r="797" spans="5:10" ht="15.75" customHeight="1" x14ac:dyDescent="0.25">
      <c r="E797" s="139"/>
      <c r="J797" s="139"/>
    </row>
    <row r="798" spans="5:10" ht="15.75" customHeight="1" x14ac:dyDescent="0.25">
      <c r="E798" s="139"/>
      <c r="J798" s="139"/>
    </row>
    <row r="799" spans="5:10" ht="15.75" customHeight="1" x14ac:dyDescent="0.25">
      <c r="E799" s="139"/>
      <c r="J799" s="139"/>
    </row>
    <row r="800" spans="5:10" ht="15.75" customHeight="1" x14ac:dyDescent="0.25">
      <c r="E800" s="139"/>
      <c r="J800" s="139"/>
    </row>
    <row r="801" spans="5:10" ht="15.75" customHeight="1" x14ac:dyDescent="0.25">
      <c r="E801" s="139"/>
      <c r="J801" s="139"/>
    </row>
    <row r="802" spans="5:10" ht="15.75" customHeight="1" x14ac:dyDescent="0.25">
      <c r="E802" s="139"/>
      <c r="J802" s="139"/>
    </row>
    <row r="803" spans="5:10" ht="15.75" customHeight="1" x14ac:dyDescent="0.25">
      <c r="E803" s="139"/>
      <c r="J803" s="139"/>
    </row>
    <row r="804" spans="5:10" ht="15.75" customHeight="1" x14ac:dyDescent="0.25">
      <c r="E804" s="139"/>
      <c r="J804" s="139"/>
    </row>
    <row r="805" spans="5:10" ht="15.75" customHeight="1" x14ac:dyDescent="0.25">
      <c r="E805" s="139"/>
      <c r="J805" s="139"/>
    </row>
    <row r="806" spans="5:10" ht="15.75" customHeight="1" x14ac:dyDescent="0.25">
      <c r="E806" s="139"/>
      <c r="J806" s="139"/>
    </row>
    <row r="807" spans="5:10" ht="15.75" customHeight="1" x14ac:dyDescent="0.25">
      <c r="E807" s="139"/>
      <c r="J807" s="139"/>
    </row>
    <row r="808" spans="5:10" ht="15.75" customHeight="1" x14ac:dyDescent="0.25">
      <c r="E808" s="139"/>
      <c r="J808" s="139"/>
    </row>
    <row r="809" spans="5:10" ht="15.75" customHeight="1" x14ac:dyDescent="0.25">
      <c r="E809" s="139"/>
      <c r="J809" s="139"/>
    </row>
    <row r="810" spans="5:10" ht="15.75" customHeight="1" x14ac:dyDescent="0.25">
      <c r="E810" s="139"/>
      <c r="J810" s="139"/>
    </row>
    <row r="811" spans="5:10" ht="15.75" customHeight="1" x14ac:dyDescent="0.25">
      <c r="E811" s="139"/>
      <c r="J811" s="139"/>
    </row>
    <row r="812" spans="5:10" ht="15.75" customHeight="1" x14ac:dyDescent="0.25">
      <c r="E812" s="139"/>
      <c r="J812" s="139"/>
    </row>
    <row r="813" spans="5:10" ht="15.75" customHeight="1" x14ac:dyDescent="0.25">
      <c r="E813" s="139"/>
      <c r="J813" s="139"/>
    </row>
    <row r="814" spans="5:10" ht="15.75" customHeight="1" x14ac:dyDescent="0.25">
      <c r="E814" s="139"/>
      <c r="J814" s="139"/>
    </row>
    <row r="815" spans="5:10" ht="15.75" customHeight="1" x14ac:dyDescent="0.25">
      <c r="E815" s="139"/>
      <c r="J815" s="139"/>
    </row>
    <row r="816" spans="5:10" ht="15.75" customHeight="1" x14ac:dyDescent="0.25">
      <c r="E816" s="139"/>
      <c r="J816" s="139"/>
    </row>
    <row r="817" spans="5:10" ht="15.75" customHeight="1" x14ac:dyDescent="0.25">
      <c r="E817" s="139"/>
      <c r="J817" s="139"/>
    </row>
    <row r="818" spans="5:10" ht="15.75" customHeight="1" x14ac:dyDescent="0.25">
      <c r="E818" s="139"/>
      <c r="J818" s="139"/>
    </row>
    <row r="819" spans="5:10" ht="15.75" customHeight="1" x14ac:dyDescent="0.25">
      <c r="E819" s="139"/>
      <c r="J819" s="139"/>
    </row>
    <row r="820" spans="5:10" ht="15.75" customHeight="1" x14ac:dyDescent="0.25">
      <c r="E820" s="139"/>
      <c r="J820" s="139"/>
    </row>
    <row r="821" spans="5:10" ht="15.75" customHeight="1" x14ac:dyDescent="0.25">
      <c r="E821" s="139"/>
      <c r="J821" s="139"/>
    </row>
    <row r="822" spans="5:10" ht="15.75" customHeight="1" x14ac:dyDescent="0.25">
      <c r="E822" s="139"/>
      <c r="J822" s="139"/>
    </row>
    <row r="823" spans="5:10" ht="15.75" customHeight="1" x14ac:dyDescent="0.25">
      <c r="E823" s="139"/>
      <c r="J823" s="139"/>
    </row>
    <row r="824" spans="5:10" ht="15.75" customHeight="1" x14ac:dyDescent="0.25">
      <c r="E824" s="139"/>
      <c r="J824" s="139"/>
    </row>
    <row r="825" spans="5:10" ht="15.75" customHeight="1" x14ac:dyDescent="0.25">
      <c r="E825" s="139"/>
      <c r="J825" s="139"/>
    </row>
    <row r="826" spans="5:10" ht="15.75" customHeight="1" x14ac:dyDescent="0.25">
      <c r="E826" s="139"/>
      <c r="J826" s="139"/>
    </row>
    <row r="827" spans="5:10" ht="15.75" customHeight="1" x14ac:dyDescent="0.25">
      <c r="E827" s="139"/>
      <c r="J827" s="139"/>
    </row>
    <row r="828" spans="5:10" ht="15.75" customHeight="1" x14ac:dyDescent="0.25">
      <c r="E828" s="139"/>
      <c r="J828" s="139"/>
    </row>
    <row r="829" spans="5:10" ht="15.75" customHeight="1" x14ac:dyDescent="0.25">
      <c r="E829" s="139"/>
      <c r="J829" s="139"/>
    </row>
    <row r="830" spans="5:10" ht="15.75" customHeight="1" x14ac:dyDescent="0.25">
      <c r="E830" s="139"/>
      <c r="J830" s="139"/>
    </row>
    <row r="831" spans="5:10" ht="15.75" customHeight="1" x14ac:dyDescent="0.25">
      <c r="E831" s="139"/>
      <c r="J831" s="139"/>
    </row>
    <row r="832" spans="5:10" ht="15.75" customHeight="1" x14ac:dyDescent="0.25">
      <c r="E832" s="139"/>
      <c r="J832" s="139"/>
    </row>
    <row r="833" spans="5:10" ht="15.75" customHeight="1" x14ac:dyDescent="0.25">
      <c r="E833" s="139"/>
      <c r="J833" s="139"/>
    </row>
    <row r="834" spans="5:10" ht="15.75" customHeight="1" x14ac:dyDescent="0.25">
      <c r="E834" s="139"/>
      <c r="J834" s="139"/>
    </row>
    <row r="835" spans="5:10" ht="15.75" customHeight="1" x14ac:dyDescent="0.25">
      <c r="E835" s="139"/>
      <c r="J835" s="139"/>
    </row>
    <row r="836" spans="5:10" ht="15.75" customHeight="1" x14ac:dyDescent="0.25">
      <c r="E836" s="139"/>
      <c r="J836" s="139"/>
    </row>
    <row r="837" spans="5:10" ht="15.75" customHeight="1" x14ac:dyDescent="0.25">
      <c r="E837" s="139"/>
      <c r="J837" s="139"/>
    </row>
    <row r="838" spans="5:10" ht="15.75" customHeight="1" x14ac:dyDescent="0.25">
      <c r="E838" s="139"/>
      <c r="J838" s="139"/>
    </row>
    <row r="839" spans="5:10" ht="15.75" customHeight="1" x14ac:dyDescent="0.25">
      <c r="E839" s="139"/>
      <c r="J839" s="139"/>
    </row>
    <row r="840" spans="5:10" ht="15.75" customHeight="1" x14ac:dyDescent="0.25">
      <c r="E840" s="139"/>
      <c r="J840" s="139"/>
    </row>
    <row r="841" spans="5:10" ht="15.75" customHeight="1" x14ac:dyDescent="0.25">
      <c r="E841" s="139"/>
      <c r="J841" s="139"/>
    </row>
    <row r="842" spans="5:10" ht="15.75" customHeight="1" x14ac:dyDescent="0.25">
      <c r="E842" s="139"/>
      <c r="J842" s="139"/>
    </row>
    <row r="843" spans="5:10" ht="15.75" customHeight="1" x14ac:dyDescent="0.25">
      <c r="E843" s="139"/>
      <c r="J843" s="139"/>
    </row>
    <row r="844" spans="5:10" ht="15.75" customHeight="1" x14ac:dyDescent="0.25">
      <c r="E844" s="139"/>
      <c r="J844" s="139"/>
    </row>
    <row r="845" spans="5:10" ht="15.75" customHeight="1" x14ac:dyDescent="0.25">
      <c r="E845" s="139"/>
      <c r="J845" s="139"/>
    </row>
    <row r="846" spans="5:10" ht="15.75" customHeight="1" x14ac:dyDescent="0.25">
      <c r="E846" s="139"/>
      <c r="J846" s="139"/>
    </row>
    <row r="847" spans="5:10" ht="15.75" customHeight="1" x14ac:dyDescent="0.25">
      <c r="E847" s="139"/>
      <c r="J847" s="139"/>
    </row>
    <row r="848" spans="5:10" ht="15.75" customHeight="1" x14ac:dyDescent="0.25">
      <c r="E848" s="139"/>
      <c r="J848" s="139"/>
    </row>
    <row r="849" spans="5:10" ht="15.75" customHeight="1" x14ac:dyDescent="0.25">
      <c r="E849" s="139"/>
      <c r="J849" s="139"/>
    </row>
    <row r="850" spans="5:10" ht="15.75" customHeight="1" x14ac:dyDescent="0.25">
      <c r="E850" s="139"/>
      <c r="J850" s="139"/>
    </row>
    <row r="851" spans="5:10" ht="15.75" customHeight="1" x14ac:dyDescent="0.25">
      <c r="E851" s="139"/>
      <c r="J851" s="139"/>
    </row>
    <row r="852" spans="5:10" ht="15.75" customHeight="1" x14ac:dyDescent="0.25">
      <c r="E852" s="139"/>
      <c r="J852" s="139"/>
    </row>
    <row r="853" spans="5:10" ht="15.75" customHeight="1" x14ac:dyDescent="0.25">
      <c r="E853" s="139"/>
      <c r="J853" s="139"/>
    </row>
    <row r="854" spans="5:10" ht="15.75" customHeight="1" x14ac:dyDescent="0.25">
      <c r="E854" s="139"/>
      <c r="J854" s="139"/>
    </row>
    <row r="855" spans="5:10" ht="15.75" customHeight="1" x14ac:dyDescent="0.25">
      <c r="E855" s="139"/>
      <c r="J855" s="139"/>
    </row>
    <row r="856" spans="5:10" ht="15.75" customHeight="1" x14ac:dyDescent="0.25">
      <c r="E856" s="139"/>
      <c r="J856" s="139"/>
    </row>
    <row r="857" spans="5:10" ht="15.75" customHeight="1" x14ac:dyDescent="0.25">
      <c r="E857" s="139"/>
      <c r="J857" s="139"/>
    </row>
    <row r="858" spans="5:10" ht="15.75" customHeight="1" x14ac:dyDescent="0.25">
      <c r="E858" s="139"/>
      <c r="J858" s="139"/>
    </row>
    <row r="859" spans="5:10" ht="15.75" customHeight="1" x14ac:dyDescent="0.25">
      <c r="E859" s="139"/>
      <c r="J859" s="139"/>
    </row>
    <row r="860" spans="5:10" ht="15.75" customHeight="1" x14ac:dyDescent="0.25">
      <c r="E860" s="139"/>
      <c r="J860" s="139"/>
    </row>
    <row r="861" spans="5:10" ht="15.75" customHeight="1" x14ac:dyDescent="0.25">
      <c r="E861" s="139"/>
      <c r="J861" s="139"/>
    </row>
    <row r="862" spans="5:10" ht="15.75" customHeight="1" x14ac:dyDescent="0.25">
      <c r="E862" s="139"/>
      <c r="J862" s="139"/>
    </row>
    <row r="863" spans="5:10" ht="15.75" customHeight="1" x14ac:dyDescent="0.25">
      <c r="E863" s="139"/>
      <c r="J863" s="139"/>
    </row>
    <row r="864" spans="5:10" ht="15.75" customHeight="1" x14ac:dyDescent="0.25">
      <c r="E864" s="139"/>
      <c r="J864" s="139"/>
    </row>
    <row r="865" spans="5:10" ht="15.75" customHeight="1" x14ac:dyDescent="0.25">
      <c r="E865" s="139"/>
      <c r="J865" s="139"/>
    </row>
    <row r="866" spans="5:10" ht="15.75" customHeight="1" x14ac:dyDescent="0.25">
      <c r="E866" s="139"/>
      <c r="J866" s="139"/>
    </row>
    <row r="867" spans="5:10" ht="15.75" customHeight="1" x14ac:dyDescent="0.25">
      <c r="E867" s="139"/>
      <c r="J867" s="139"/>
    </row>
    <row r="868" spans="5:10" ht="15.75" customHeight="1" x14ac:dyDescent="0.25">
      <c r="E868" s="139"/>
      <c r="J868" s="139"/>
    </row>
    <row r="869" spans="5:10" ht="15.75" customHeight="1" x14ac:dyDescent="0.25">
      <c r="E869" s="139"/>
      <c r="J869" s="139"/>
    </row>
    <row r="870" spans="5:10" ht="15.75" customHeight="1" x14ac:dyDescent="0.25">
      <c r="E870" s="139"/>
      <c r="J870" s="139"/>
    </row>
    <row r="871" spans="5:10" ht="15.75" customHeight="1" x14ac:dyDescent="0.25">
      <c r="E871" s="139"/>
      <c r="J871" s="139"/>
    </row>
    <row r="872" spans="5:10" ht="15.75" customHeight="1" x14ac:dyDescent="0.25">
      <c r="E872" s="139"/>
      <c r="J872" s="139"/>
    </row>
    <row r="873" spans="5:10" ht="15.75" customHeight="1" x14ac:dyDescent="0.25">
      <c r="E873" s="139"/>
      <c r="J873" s="139"/>
    </row>
    <row r="874" spans="5:10" ht="15.75" customHeight="1" x14ac:dyDescent="0.25">
      <c r="E874" s="139"/>
      <c r="J874" s="139"/>
    </row>
    <row r="875" spans="5:10" ht="15.75" customHeight="1" x14ac:dyDescent="0.25">
      <c r="E875" s="139"/>
      <c r="J875" s="139"/>
    </row>
    <row r="876" spans="5:10" ht="15.75" customHeight="1" x14ac:dyDescent="0.25">
      <c r="E876" s="139"/>
      <c r="J876" s="139"/>
    </row>
    <row r="877" spans="5:10" ht="15.75" customHeight="1" x14ac:dyDescent="0.25">
      <c r="E877" s="139"/>
      <c r="J877" s="139"/>
    </row>
    <row r="878" spans="5:10" ht="15.75" customHeight="1" x14ac:dyDescent="0.25">
      <c r="E878" s="139"/>
      <c r="J878" s="139"/>
    </row>
    <row r="879" spans="5:10" ht="15.75" customHeight="1" x14ac:dyDescent="0.25">
      <c r="E879" s="139"/>
      <c r="J879" s="139"/>
    </row>
    <row r="880" spans="5:10" ht="15.75" customHeight="1" x14ac:dyDescent="0.25">
      <c r="E880" s="139"/>
      <c r="J880" s="139"/>
    </row>
    <row r="881" spans="5:10" ht="15.75" customHeight="1" x14ac:dyDescent="0.25">
      <c r="E881" s="139"/>
      <c r="J881" s="139"/>
    </row>
    <row r="882" spans="5:10" ht="15.75" customHeight="1" x14ac:dyDescent="0.25">
      <c r="E882" s="139"/>
      <c r="J882" s="139"/>
    </row>
    <row r="883" spans="5:10" ht="15.75" customHeight="1" x14ac:dyDescent="0.25">
      <c r="E883" s="139"/>
      <c r="J883" s="139"/>
    </row>
    <row r="884" spans="5:10" ht="15.75" customHeight="1" x14ac:dyDescent="0.25">
      <c r="E884" s="139"/>
      <c r="J884" s="139"/>
    </row>
    <row r="885" spans="5:10" ht="15.75" customHeight="1" x14ac:dyDescent="0.25">
      <c r="E885" s="139"/>
      <c r="J885" s="139"/>
    </row>
    <row r="886" spans="5:10" ht="15.75" customHeight="1" x14ac:dyDescent="0.25">
      <c r="E886" s="139"/>
      <c r="J886" s="139"/>
    </row>
    <row r="887" spans="5:10" ht="15.75" customHeight="1" x14ac:dyDescent="0.25">
      <c r="E887" s="139"/>
      <c r="J887" s="139"/>
    </row>
    <row r="888" spans="5:10" ht="15.75" customHeight="1" x14ac:dyDescent="0.25">
      <c r="E888" s="139"/>
      <c r="J888" s="139"/>
    </row>
    <row r="889" spans="5:10" ht="15.75" customHeight="1" x14ac:dyDescent="0.25">
      <c r="E889" s="139"/>
      <c r="J889" s="139"/>
    </row>
    <row r="890" spans="5:10" ht="15.75" customHeight="1" x14ac:dyDescent="0.25">
      <c r="E890" s="139"/>
      <c r="J890" s="139"/>
    </row>
    <row r="891" spans="5:10" ht="15.75" customHeight="1" x14ac:dyDescent="0.25">
      <c r="E891" s="139"/>
      <c r="J891" s="139"/>
    </row>
    <row r="892" spans="5:10" ht="15.75" customHeight="1" x14ac:dyDescent="0.25">
      <c r="E892" s="139"/>
      <c r="J892" s="139"/>
    </row>
    <row r="893" spans="5:10" ht="15.75" customHeight="1" x14ac:dyDescent="0.25">
      <c r="E893" s="139"/>
      <c r="J893" s="139"/>
    </row>
    <row r="894" spans="5:10" ht="15.75" customHeight="1" x14ac:dyDescent="0.25">
      <c r="E894" s="139"/>
      <c r="J894" s="139"/>
    </row>
    <row r="895" spans="5:10" ht="15.75" customHeight="1" x14ac:dyDescent="0.25">
      <c r="E895" s="139"/>
      <c r="J895" s="139"/>
    </row>
    <row r="896" spans="5:10" ht="15.75" customHeight="1" x14ac:dyDescent="0.25">
      <c r="E896" s="139"/>
      <c r="J896" s="139"/>
    </row>
    <row r="897" spans="5:10" ht="15.75" customHeight="1" x14ac:dyDescent="0.25">
      <c r="E897" s="139"/>
      <c r="J897" s="139"/>
    </row>
    <row r="898" spans="5:10" ht="15.75" customHeight="1" x14ac:dyDescent="0.25">
      <c r="E898" s="139"/>
      <c r="J898" s="139"/>
    </row>
    <row r="899" spans="5:10" ht="15.75" customHeight="1" x14ac:dyDescent="0.25">
      <c r="E899" s="139"/>
      <c r="J899" s="139"/>
    </row>
    <row r="900" spans="5:10" ht="15.75" customHeight="1" x14ac:dyDescent="0.25">
      <c r="E900" s="139"/>
      <c r="J900" s="139"/>
    </row>
    <row r="901" spans="5:10" ht="15.75" customHeight="1" x14ac:dyDescent="0.25">
      <c r="E901" s="139"/>
      <c r="J901" s="139"/>
    </row>
    <row r="902" spans="5:10" ht="15.75" customHeight="1" x14ac:dyDescent="0.25">
      <c r="E902" s="139"/>
      <c r="J902" s="139"/>
    </row>
    <row r="903" spans="5:10" ht="15.75" customHeight="1" x14ac:dyDescent="0.25">
      <c r="E903" s="139"/>
      <c r="J903" s="139"/>
    </row>
    <row r="904" spans="5:10" ht="15.75" customHeight="1" x14ac:dyDescent="0.25">
      <c r="E904" s="139"/>
      <c r="J904" s="139"/>
    </row>
    <row r="905" spans="5:10" ht="15.75" customHeight="1" x14ac:dyDescent="0.25">
      <c r="E905" s="139"/>
      <c r="J905" s="139"/>
    </row>
    <row r="906" spans="5:10" ht="15.75" customHeight="1" x14ac:dyDescent="0.25">
      <c r="E906" s="139"/>
      <c r="J906" s="139"/>
    </row>
    <row r="907" spans="5:10" ht="15.75" customHeight="1" x14ac:dyDescent="0.25">
      <c r="E907" s="139"/>
      <c r="J907" s="139"/>
    </row>
    <row r="908" spans="5:10" ht="15.75" customHeight="1" x14ac:dyDescent="0.25">
      <c r="E908" s="139"/>
      <c r="J908" s="139"/>
    </row>
    <row r="909" spans="5:10" ht="15.75" customHeight="1" x14ac:dyDescent="0.25">
      <c r="E909" s="139"/>
      <c r="J909" s="139"/>
    </row>
    <row r="910" spans="5:10" ht="15.75" customHeight="1" x14ac:dyDescent="0.25">
      <c r="E910" s="139"/>
      <c r="J910" s="139"/>
    </row>
    <row r="911" spans="5:10" ht="15.75" customHeight="1" x14ac:dyDescent="0.25">
      <c r="E911" s="139"/>
      <c r="J911" s="139"/>
    </row>
    <row r="912" spans="5:10" ht="15.75" customHeight="1" x14ac:dyDescent="0.25">
      <c r="E912" s="139"/>
      <c r="J912" s="139"/>
    </row>
    <row r="913" spans="5:10" ht="15.75" customHeight="1" x14ac:dyDescent="0.25">
      <c r="E913" s="139"/>
      <c r="J913" s="139"/>
    </row>
    <row r="914" spans="5:10" ht="15.75" customHeight="1" x14ac:dyDescent="0.25">
      <c r="E914" s="139"/>
      <c r="J914" s="139"/>
    </row>
    <row r="915" spans="5:10" ht="15.75" customHeight="1" x14ac:dyDescent="0.25">
      <c r="E915" s="139"/>
      <c r="J915" s="139"/>
    </row>
    <row r="916" spans="5:10" ht="15.75" customHeight="1" x14ac:dyDescent="0.25">
      <c r="E916" s="139"/>
      <c r="J916" s="139"/>
    </row>
    <row r="917" spans="5:10" ht="15.75" customHeight="1" x14ac:dyDescent="0.25">
      <c r="E917" s="139"/>
      <c r="J917" s="139"/>
    </row>
    <row r="918" spans="5:10" ht="15.75" customHeight="1" x14ac:dyDescent="0.25">
      <c r="E918" s="139"/>
      <c r="J918" s="139"/>
    </row>
    <row r="919" spans="5:10" ht="15.75" customHeight="1" x14ac:dyDescent="0.25">
      <c r="E919" s="139"/>
      <c r="J919" s="139"/>
    </row>
    <row r="920" spans="5:10" ht="15.75" customHeight="1" x14ac:dyDescent="0.25">
      <c r="E920" s="139"/>
      <c r="J920" s="139"/>
    </row>
    <row r="921" spans="5:10" ht="15.75" customHeight="1" x14ac:dyDescent="0.25">
      <c r="E921" s="139"/>
      <c r="J921" s="139"/>
    </row>
    <row r="922" spans="5:10" ht="15.75" customHeight="1" x14ac:dyDescent="0.25">
      <c r="E922" s="139"/>
      <c r="J922" s="139"/>
    </row>
    <row r="923" spans="5:10" ht="15.75" customHeight="1" x14ac:dyDescent="0.25">
      <c r="E923" s="139"/>
      <c r="J923" s="139"/>
    </row>
    <row r="924" spans="5:10" ht="15.75" customHeight="1" x14ac:dyDescent="0.25">
      <c r="E924" s="139"/>
      <c r="J924" s="139"/>
    </row>
    <row r="925" spans="5:10" ht="15.75" customHeight="1" x14ac:dyDescent="0.25">
      <c r="E925" s="139"/>
      <c r="J925" s="139"/>
    </row>
    <row r="926" spans="5:10" ht="15.75" customHeight="1" x14ac:dyDescent="0.25">
      <c r="E926" s="139"/>
      <c r="J926" s="139"/>
    </row>
    <row r="927" spans="5:10" ht="15.75" customHeight="1" x14ac:dyDescent="0.25">
      <c r="E927" s="139"/>
      <c r="J927" s="139"/>
    </row>
    <row r="928" spans="5:10" ht="15.75" customHeight="1" x14ac:dyDescent="0.25">
      <c r="E928" s="139"/>
      <c r="J928" s="139"/>
    </row>
    <row r="929" spans="5:10" ht="15.75" customHeight="1" x14ac:dyDescent="0.25">
      <c r="E929" s="139"/>
      <c r="J929" s="139"/>
    </row>
    <row r="930" spans="5:10" ht="15.75" customHeight="1" x14ac:dyDescent="0.25">
      <c r="E930" s="139"/>
      <c r="J930" s="139"/>
    </row>
    <row r="931" spans="5:10" ht="15.75" customHeight="1" x14ac:dyDescent="0.25">
      <c r="E931" s="139"/>
      <c r="J931" s="139"/>
    </row>
    <row r="932" spans="5:10" ht="15.75" customHeight="1" x14ac:dyDescent="0.25">
      <c r="E932" s="139"/>
      <c r="J932" s="139"/>
    </row>
    <row r="933" spans="5:10" ht="15.75" customHeight="1" x14ac:dyDescent="0.25">
      <c r="E933" s="139"/>
      <c r="J933" s="139"/>
    </row>
    <row r="934" spans="5:10" ht="15.75" customHeight="1" x14ac:dyDescent="0.25">
      <c r="E934" s="139"/>
      <c r="J934" s="139"/>
    </row>
    <row r="935" spans="5:10" ht="15.75" customHeight="1" x14ac:dyDescent="0.25">
      <c r="E935" s="139"/>
      <c r="J935" s="139"/>
    </row>
    <row r="936" spans="5:10" ht="15.75" customHeight="1" x14ac:dyDescent="0.25">
      <c r="E936" s="139"/>
      <c r="J936" s="139"/>
    </row>
    <row r="937" spans="5:10" ht="15.75" customHeight="1" x14ac:dyDescent="0.25">
      <c r="E937" s="139"/>
      <c r="J937" s="139"/>
    </row>
    <row r="938" spans="5:10" ht="15.75" customHeight="1" x14ac:dyDescent="0.25">
      <c r="E938" s="139"/>
      <c r="J938" s="139"/>
    </row>
    <row r="939" spans="5:10" ht="15.75" customHeight="1" x14ac:dyDescent="0.25">
      <c r="E939" s="139"/>
      <c r="J939" s="139"/>
    </row>
    <row r="940" spans="5:10" ht="15.75" customHeight="1" x14ac:dyDescent="0.25">
      <c r="E940" s="139"/>
      <c r="J940" s="139"/>
    </row>
    <row r="941" spans="5:10" ht="15.75" customHeight="1" x14ac:dyDescent="0.25">
      <c r="E941" s="139"/>
      <c r="J941" s="139"/>
    </row>
    <row r="942" spans="5:10" ht="15.75" customHeight="1" x14ac:dyDescent="0.25">
      <c r="E942" s="139"/>
      <c r="J942" s="139"/>
    </row>
    <row r="943" spans="5:10" ht="15.75" customHeight="1" x14ac:dyDescent="0.25">
      <c r="E943" s="139"/>
      <c r="J943" s="139"/>
    </row>
    <row r="944" spans="5:10" ht="15.75" customHeight="1" x14ac:dyDescent="0.25">
      <c r="E944" s="139"/>
      <c r="J944" s="139"/>
    </row>
    <row r="945" spans="5:10" ht="15.75" customHeight="1" x14ac:dyDescent="0.25">
      <c r="E945" s="139"/>
      <c r="J945" s="139"/>
    </row>
    <row r="946" spans="5:10" ht="15.75" customHeight="1" x14ac:dyDescent="0.25">
      <c r="E946" s="139"/>
      <c r="J946" s="139"/>
    </row>
    <row r="947" spans="5:10" ht="15.75" customHeight="1" x14ac:dyDescent="0.25">
      <c r="E947" s="139"/>
      <c r="J947" s="139"/>
    </row>
    <row r="948" spans="5:10" ht="15.75" customHeight="1" x14ac:dyDescent="0.25">
      <c r="E948" s="139"/>
      <c r="J948" s="139"/>
    </row>
    <row r="949" spans="5:10" ht="15.75" customHeight="1" x14ac:dyDescent="0.25">
      <c r="E949" s="139"/>
      <c r="J949" s="139"/>
    </row>
    <row r="950" spans="5:10" ht="15.75" customHeight="1" x14ac:dyDescent="0.25">
      <c r="E950" s="139"/>
      <c r="J950" s="139"/>
    </row>
    <row r="951" spans="5:10" ht="15.75" customHeight="1" x14ac:dyDescent="0.25">
      <c r="E951" s="139"/>
      <c r="J951" s="139"/>
    </row>
    <row r="952" spans="5:10" ht="15.75" customHeight="1" x14ac:dyDescent="0.25">
      <c r="E952" s="139"/>
      <c r="J952" s="139"/>
    </row>
    <row r="953" spans="5:10" ht="15.75" customHeight="1" x14ac:dyDescent="0.25">
      <c r="E953" s="139"/>
      <c r="J953" s="139"/>
    </row>
    <row r="954" spans="5:10" ht="15.75" customHeight="1" x14ac:dyDescent="0.25">
      <c r="E954" s="139"/>
      <c r="J954" s="139"/>
    </row>
    <row r="955" spans="5:10" ht="15.75" customHeight="1" x14ac:dyDescent="0.25">
      <c r="E955" s="139"/>
      <c r="J955" s="139"/>
    </row>
    <row r="956" spans="5:10" ht="15.75" customHeight="1" x14ac:dyDescent="0.25">
      <c r="E956" s="139"/>
      <c r="J956" s="139"/>
    </row>
    <row r="957" spans="5:10" ht="15.75" customHeight="1" x14ac:dyDescent="0.25">
      <c r="E957" s="139"/>
      <c r="J957" s="139"/>
    </row>
    <row r="958" spans="5:10" ht="15.75" customHeight="1" x14ac:dyDescent="0.25">
      <c r="E958" s="139"/>
      <c r="J958" s="139"/>
    </row>
    <row r="959" spans="5:10" ht="15.75" customHeight="1" x14ac:dyDescent="0.25">
      <c r="E959" s="139"/>
      <c r="J959" s="139"/>
    </row>
    <row r="960" spans="5:10" ht="15.75" customHeight="1" x14ac:dyDescent="0.25">
      <c r="E960" s="139"/>
      <c r="J960" s="139"/>
    </row>
    <row r="961" spans="5:10" ht="15.75" customHeight="1" x14ac:dyDescent="0.25">
      <c r="E961" s="139"/>
      <c r="J961" s="139"/>
    </row>
    <row r="962" spans="5:10" ht="15.75" customHeight="1" x14ac:dyDescent="0.25">
      <c r="E962" s="139"/>
      <c r="J962" s="139"/>
    </row>
    <row r="963" spans="5:10" ht="15.75" customHeight="1" x14ac:dyDescent="0.25">
      <c r="E963" s="139"/>
      <c r="J963" s="139"/>
    </row>
    <row r="964" spans="5:10" ht="15.75" customHeight="1" x14ac:dyDescent="0.25">
      <c r="E964" s="139"/>
      <c r="J964" s="139"/>
    </row>
    <row r="965" spans="5:10" ht="15.75" customHeight="1" x14ac:dyDescent="0.25">
      <c r="E965" s="139"/>
      <c r="J965" s="139"/>
    </row>
    <row r="966" spans="5:10" ht="15.75" customHeight="1" x14ac:dyDescent="0.25">
      <c r="E966" s="139"/>
      <c r="J966" s="139"/>
    </row>
    <row r="967" spans="5:10" ht="15.75" customHeight="1" x14ac:dyDescent="0.25">
      <c r="E967" s="139"/>
      <c r="J967" s="139"/>
    </row>
    <row r="968" spans="5:10" ht="15.75" customHeight="1" x14ac:dyDescent="0.25">
      <c r="E968" s="139"/>
      <c r="J968" s="139"/>
    </row>
    <row r="969" spans="5:10" ht="15.75" customHeight="1" x14ac:dyDescent="0.25">
      <c r="E969" s="139"/>
      <c r="J969" s="139"/>
    </row>
    <row r="970" spans="5:10" ht="15.75" customHeight="1" x14ac:dyDescent="0.25">
      <c r="E970" s="139"/>
      <c r="J970" s="139"/>
    </row>
    <row r="971" spans="5:10" ht="15.75" customHeight="1" x14ac:dyDescent="0.25">
      <c r="E971" s="139"/>
      <c r="J971" s="139"/>
    </row>
    <row r="972" spans="5:10" ht="15.75" customHeight="1" x14ac:dyDescent="0.25">
      <c r="E972" s="139"/>
      <c r="J972" s="139"/>
    </row>
    <row r="973" spans="5:10" ht="15.75" customHeight="1" x14ac:dyDescent="0.25">
      <c r="E973" s="139"/>
      <c r="J973" s="139"/>
    </row>
    <row r="974" spans="5:10" ht="15.75" customHeight="1" x14ac:dyDescent="0.25">
      <c r="E974" s="139"/>
      <c r="J974" s="139"/>
    </row>
    <row r="975" spans="5:10" ht="15.75" customHeight="1" x14ac:dyDescent="0.25">
      <c r="E975" s="139"/>
      <c r="J975" s="139"/>
    </row>
    <row r="976" spans="5:10" ht="15.75" customHeight="1" x14ac:dyDescent="0.25">
      <c r="E976" s="139"/>
      <c r="J976" s="139"/>
    </row>
    <row r="977" spans="5:10" ht="15.75" customHeight="1" x14ac:dyDescent="0.25">
      <c r="E977" s="139"/>
      <c r="J977" s="139"/>
    </row>
    <row r="978" spans="5:10" ht="15.75" customHeight="1" x14ac:dyDescent="0.25">
      <c r="E978" s="139"/>
      <c r="J978" s="139"/>
    </row>
    <row r="979" spans="5:10" ht="15.75" customHeight="1" x14ac:dyDescent="0.25">
      <c r="E979" s="139"/>
      <c r="J979" s="139"/>
    </row>
    <row r="980" spans="5:10" ht="15.75" customHeight="1" x14ac:dyDescent="0.25">
      <c r="E980" s="139"/>
      <c r="J980" s="139"/>
    </row>
    <row r="981" spans="5:10" ht="15.75" customHeight="1" x14ac:dyDescent="0.25">
      <c r="E981" s="139"/>
      <c r="J981" s="139"/>
    </row>
    <row r="982" spans="5:10" ht="15.75" customHeight="1" x14ac:dyDescent="0.25">
      <c r="E982" s="139"/>
      <c r="J982" s="139"/>
    </row>
    <row r="983" spans="5:10" ht="15.75" customHeight="1" x14ac:dyDescent="0.25">
      <c r="E983" s="139"/>
      <c r="J983" s="139"/>
    </row>
    <row r="984" spans="5:10" ht="15.75" customHeight="1" x14ac:dyDescent="0.25">
      <c r="E984" s="139"/>
      <c r="J984" s="139"/>
    </row>
    <row r="985" spans="5:10" ht="15.75" customHeight="1" x14ac:dyDescent="0.25">
      <c r="E985" s="139"/>
      <c r="J985" s="139"/>
    </row>
    <row r="986" spans="5:10" ht="15.75" customHeight="1" x14ac:dyDescent="0.25">
      <c r="E986" s="139"/>
      <c r="J986" s="139"/>
    </row>
    <row r="987" spans="5:10" ht="15.75" customHeight="1" x14ac:dyDescent="0.25">
      <c r="E987" s="139"/>
      <c r="J987" s="139"/>
    </row>
    <row r="988" spans="5:10" ht="15.75" customHeight="1" x14ac:dyDescent="0.25">
      <c r="E988" s="139"/>
      <c r="J988" s="139"/>
    </row>
    <row r="989" spans="5:10" ht="15.75" customHeight="1" x14ac:dyDescent="0.25">
      <c r="E989" s="139"/>
      <c r="J989" s="139"/>
    </row>
    <row r="990" spans="5:10" ht="15.75" customHeight="1" x14ac:dyDescent="0.25">
      <c r="E990" s="139"/>
      <c r="J990" s="139"/>
    </row>
    <row r="991" spans="5:10" ht="15.75" customHeight="1" x14ac:dyDescent="0.25">
      <c r="E991" s="139"/>
      <c r="J991" s="139"/>
    </row>
    <row r="992" spans="5:10" ht="15.75" customHeight="1" x14ac:dyDescent="0.25">
      <c r="E992" s="139"/>
      <c r="J992" s="139"/>
    </row>
    <row r="993" spans="5:10" ht="15.75" customHeight="1" x14ac:dyDescent="0.25">
      <c r="E993" s="139"/>
      <c r="J993" s="139"/>
    </row>
    <row r="994" spans="5:10" ht="15.75" customHeight="1" x14ac:dyDescent="0.25">
      <c r="E994" s="139"/>
      <c r="J994" s="139"/>
    </row>
    <row r="995" spans="5:10" ht="15.75" customHeight="1" x14ac:dyDescent="0.25">
      <c r="E995" s="139"/>
      <c r="J995" s="139"/>
    </row>
    <row r="996" spans="5:10" ht="15.75" customHeight="1" x14ac:dyDescent="0.25">
      <c r="E996" s="139"/>
      <c r="J996" s="139"/>
    </row>
    <row r="997" spans="5:10" ht="15.75" customHeight="1" x14ac:dyDescent="0.25">
      <c r="E997" s="139"/>
      <c r="J997" s="139"/>
    </row>
    <row r="998" spans="5:10" ht="15.75" customHeight="1" x14ac:dyDescent="0.25">
      <c r="E998" s="139"/>
      <c r="J998" s="139"/>
    </row>
    <row r="999" spans="5:10" ht="15.75" customHeight="1" x14ac:dyDescent="0.25">
      <c r="E999" s="139"/>
      <c r="J999" s="139"/>
    </row>
    <row r="1000" spans="5:10" ht="15.75" customHeight="1" x14ac:dyDescent="0.25">
      <c r="E1000" s="139"/>
      <c r="J1000" s="139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500-000000000000}">
          <x14:formula1>
            <xm:f>January!$B$27:$C$44</xm:f>
          </x14:formula1>
          <xm:sqref>E5:E1000</xm:sqref>
        </x14:dataValidation>
        <x14:dataValidation type="list" allowBlank="1" xr:uid="{00000000-0002-0000-0500-000001000000}">
          <x14:formula1>
            <xm:f>January!$H$27:$I$44</xm:f>
          </x14:formula1>
          <xm:sqref>J5:J1000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000"/>
  <sheetViews>
    <sheetView showGridLines="0" workbookViewId="0"/>
  </sheetViews>
  <sheetFormatPr defaultColWidth="12.6640625" defaultRowHeight="15" customHeight="1" x14ac:dyDescent="0.25"/>
  <cols>
    <col min="1" max="1" width="6.109375" customWidth="1"/>
    <col min="2" max="3" width="8.88671875" customWidth="1"/>
    <col min="4" max="4" width="19.6640625" customWidth="1"/>
    <col min="5" max="5" width="13.6640625" customWidth="1"/>
    <col min="6" max="6" width="11" customWidth="1"/>
    <col min="7" max="7" width="16.21875" customWidth="1"/>
    <col min="8" max="9" width="8.88671875" customWidth="1"/>
    <col min="10" max="10" width="12.6640625" customWidth="1"/>
    <col min="11" max="11" width="12.33203125" customWidth="1"/>
    <col min="12" max="12" width="13.77734375" customWidth="1"/>
    <col min="13" max="13" width="6.109375" customWidth="1"/>
  </cols>
  <sheetData>
    <row r="1" spans="1:13" ht="12" customHeight="1" x14ac:dyDescent="0.3">
      <c r="A1" s="142"/>
      <c r="B1" s="142"/>
      <c r="C1" s="142"/>
      <c r="D1" s="142"/>
      <c r="E1" s="142"/>
      <c r="F1" s="142"/>
      <c r="G1" s="143"/>
      <c r="H1" s="142"/>
      <c r="I1" s="142"/>
      <c r="J1" s="142"/>
      <c r="K1" s="142"/>
      <c r="L1" s="142"/>
      <c r="M1" s="142"/>
    </row>
    <row r="2" spans="1:13" ht="21" customHeight="1" x14ac:dyDescent="0.25">
      <c r="A2" s="144"/>
      <c r="B2" s="269" t="s">
        <v>28</v>
      </c>
      <c r="C2" s="266"/>
      <c r="D2" s="266"/>
      <c r="E2" s="266"/>
      <c r="F2" s="266"/>
      <c r="G2" s="266"/>
      <c r="H2" s="266"/>
      <c r="I2" s="270" t="s">
        <v>1</v>
      </c>
      <c r="J2" s="266"/>
      <c r="K2" s="266"/>
      <c r="L2" s="266"/>
      <c r="M2" s="144"/>
    </row>
    <row r="3" spans="1:13" ht="16.5" customHeight="1" x14ac:dyDescent="0.25">
      <c r="A3" s="145"/>
      <c r="B3" s="271" t="s">
        <v>29</v>
      </c>
      <c r="C3" s="266"/>
      <c r="D3" s="266"/>
      <c r="E3" s="266"/>
      <c r="F3" s="266"/>
      <c r="G3" s="266"/>
      <c r="H3" s="146"/>
      <c r="I3" s="272" t="s">
        <v>30</v>
      </c>
      <c r="J3" s="266"/>
      <c r="K3" s="266"/>
      <c r="L3" s="266"/>
      <c r="M3" s="147"/>
    </row>
    <row r="4" spans="1:13" ht="10.5" customHeight="1" x14ac:dyDescent="0.25">
      <c r="A4" s="145"/>
      <c r="B4" s="266"/>
      <c r="C4" s="266"/>
      <c r="D4" s="266"/>
      <c r="E4" s="266"/>
      <c r="F4" s="266"/>
      <c r="G4" s="266"/>
      <c r="H4" s="146"/>
      <c r="I4" s="273" t="s">
        <v>31</v>
      </c>
      <c r="J4" s="266"/>
      <c r="K4" s="266"/>
      <c r="L4" s="266"/>
      <c r="M4" s="266"/>
    </row>
    <row r="5" spans="1:13" ht="15.75" customHeight="1" x14ac:dyDescent="0.25">
      <c r="A5" s="145"/>
      <c r="B5" s="271" t="s">
        <v>32</v>
      </c>
      <c r="C5" s="266"/>
      <c r="D5" s="266"/>
      <c r="E5" s="266"/>
      <c r="F5" s="266"/>
      <c r="G5" s="266"/>
      <c r="H5" s="146"/>
      <c r="I5" s="266"/>
      <c r="J5" s="266"/>
      <c r="K5" s="266"/>
      <c r="L5" s="266"/>
      <c r="M5" s="266"/>
    </row>
    <row r="6" spans="1:13" ht="23.25" customHeight="1" x14ac:dyDescent="0.3">
      <c r="A6" s="148"/>
      <c r="B6" s="266"/>
      <c r="C6" s="266"/>
      <c r="D6" s="266"/>
      <c r="E6" s="266"/>
      <c r="F6" s="266"/>
      <c r="G6" s="266"/>
      <c r="H6" s="149"/>
      <c r="I6" s="142"/>
      <c r="J6" s="142"/>
      <c r="K6" s="142"/>
      <c r="L6" s="142"/>
      <c r="M6" s="142"/>
    </row>
    <row r="7" spans="1:13" ht="30" customHeight="1" x14ac:dyDescent="0.3">
      <c r="A7" s="150"/>
      <c r="B7" s="151"/>
      <c r="C7" s="151"/>
      <c r="D7" s="151"/>
      <c r="E7" s="152"/>
      <c r="F7" s="153"/>
      <c r="G7" s="154"/>
      <c r="H7" s="155"/>
      <c r="I7" s="155"/>
      <c r="J7" s="153"/>
      <c r="K7" s="153"/>
      <c r="L7" s="153"/>
      <c r="M7" s="153"/>
    </row>
    <row r="8" spans="1:13" ht="18" customHeight="1" x14ac:dyDescent="0.3">
      <c r="A8" s="156"/>
      <c r="B8" s="275" t="s">
        <v>65</v>
      </c>
      <c r="C8" s="266"/>
      <c r="D8" s="266"/>
      <c r="E8" s="266"/>
      <c r="F8" s="153"/>
      <c r="G8" s="157"/>
      <c r="H8" s="153"/>
      <c r="I8" s="158"/>
      <c r="J8" s="274" t="s">
        <v>34</v>
      </c>
      <c r="K8" s="266"/>
      <c r="L8" s="159">
        <f>January!E17</f>
        <v>3000000</v>
      </c>
      <c r="M8" s="153"/>
    </row>
    <row r="9" spans="1:13" ht="18" customHeight="1" x14ac:dyDescent="0.25">
      <c r="A9" s="156"/>
      <c r="B9" s="266"/>
      <c r="C9" s="266"/>
      <c r="D9" s="266"/>
      <c r="E9" s="266"/>
      <c r="F9" s="153"/>
      <c r="G9" s="157"/>
      <c r="H9" s="153"/>
      <c r="I9" s="160"/>
      <c r="J9" s="153"/>
      <c r="K9" s="153"/>
      <c r="L9" s="157"/>
      <c r="M9" s="153"/>
    </row>
    <row r="10" spans="1:13" ht="18" customHeight="1" x14ac:dyDescent="0.25">
      <c r="A10" s="153"/>
      <c r="B10" s="161"/>
      <c r="C10" s="161"/>
      <c r="D10" s="161"/>
      <c r="E10" s="161"/>
      <c r="F10" s="153"/>
      <c r="G10" s="157"/>
      <c r="H10" s="153"/>
      <c r="I10" s="160"/>
      <c r="J10" s="153"/>
      <c r="K10" s="153"/>
      <c r="L10" s="157"/>
      <c r="M10" s="153"/>
    </row>
    <row r="11" spans="1:13" ht="12" customHeight="1" x14ac:dyDescent="0.3">
      <c r="A11" s="150"/>
      <c r="B11" s="162"/>
      <c r="C11" s="162"/>
      <c r="D11" s="163"/>
      <c r="E11" s="150"/>
      <c r="F11" s="150"/>
      <c r="G11" s="158"/>
      <c r="H11" s="164"/>
      <c r="I11" s="165"/>
      <c r="J11" s="165"/>
      <c r="K11" s="165"/>
      <c r="L11" s="166"/>
      <c r="M11" s="150"/>
    </row>
    <row r="12" spans="1:13" ht="18" customHeight="1" x14ac:dyDescent="0.3">
      <c r="A12" s="158"/>
      <c r="B12" s="150"/>
      <c r="C12" s="158"/>
      <c r="D12" s="276" t="str">
        <f ca="1">IFERROR(__xludf.DUMMYFUNCTION("SPARKLINE(D17,{""charttype"",""column"";""ymin"", 0; ""ymax"",MAX(D17:E17);""firstcolor"",""#334960""})"),"")</f>
        <v/>
      </c>
      <c r="E12" s="278" t="str">
        <f ca="1">IFERROR(__xludf.DUMMYFUNCTION("SPARKLINE(E17,{""charttype"",""column"";""ymin"", 0; ""ymax"",max(D17:E17);""firstcolor"",""#f46524""})"),"")</f>
        <v/>
      </c>
      <c r="F12" s="150"/>
      <c r="G12" s="150"/>
      <c r="H12" s="167"/>
      <c r="I12" s="168"/>
      <c r="J12" s="168"/>
      <c r="K12" s="168"/>
      <c r="L12" s="169"/>
      <c r="M12" s="158"/>
    </row>
    <row r="13" spans="1:13" ht="18" customHeight="1" x14ac:dyDescent="0.6">
      <c r="A13" s="158"/>
      <c r="B13" s="150"/>
      <c r="C13" s="150"/>
      <c r="D13" s="277"/>
      <c r="E13" s="266"/>
      <c r="F13" s="150"/>
      <c r="G13" s="150"/>
      <c r="H13" s="167"/>
      <c r="I13" s="279">
        <f>IFERROR(E17/D17-1, "")</f>
        <v>0</v>
      </c>
      <c r="J13" s="266"/>
      <c r="K13" s="266"/>
      <c r="L13" s="169"/>
      <c r="M13" s="170"/>
    </row>
    <row r="14" spans="1:13" ht="24" customHeight="1" x14ac:dyDescent="0.6">
      <c r="A14" s="150"/>
      <c r="B14" s="150"/>
      <c r="C14" s="150"/>
      <c r="D14" s="277"/>
      <c r="E14" s="266"/>
      <c r="F14" s="150"/>
      <c r="G14" s="150"/>
      <c r="H14" s="167"/>
      <c r="I14" s="280" t="str">
        <f>IF(I13 &lt; 0, "Decrease in total savings", "Increase in total savings")</f>
        <v>Increase in total savings</v>
      </c>
      <c r="J14" s="281"/>
      <c r="K14" s="281"/>
      <c r="L14" s="169"/>
      <c r="M14" s="170"/>
    </row>
    <row r="15" spans="1:13" ht="39.75" customHeight="1" x14ac:dyDescent="0.6">
      <c r="A15" s="150"/>
      <c r="B15" s="150"/>
      <c r="C15" s="150"/>
      <c r="D15" s="277"/>
      <c r="E15" s="266"/>
      <c r="F15" s="150"/>
      <c r="G15" s="150"/>
      <c r="H15" s="167"/>
      <c r="I15" s="279">
        <f>IFERROR(E17-D17, 0)</f>
        <v>0</v>
      </c>
      <c r="J15" s="266"/>
      <c r="K15" s="266"/>
      <c r="L15" s="169"/>
      <c r="M15" s="170"/>
    </row>
    <row r="16" spans="1:13" ht="18" customHeight="1" x14ac:dyDescent="0.35">
      <c r="A16" s="150"/>
      <c r="B16" s="162"/>
      <c r="C16" s="171"/>
      <c r="D16" s="172" t="s">
        <v>35</v>
      </c>
      <c r="E16" s="173" t="s">
        <v>36</v>
      </c>
      <c r="F16" s="171"/>
      <c r="G16" s="162"/>
      <c r="H16" s="167"/>
      <c r="I16" s="282" t="str">
        <f>IF(J15&lt;0, "Spent this month", "Saved this month")</f>
        <v>Saved this month</v>
      </c>
      <c r="J16" s="266"/>
      <c r="K16" s="266"/>
      <c r="L16" s="169"/>
      <c r="M16" s="174"/>
    </row>
    <row r="17" spans="1:13" ht="18" customHeight="1" x14ac:dyDescent="0.3">
      <c r="A17" s="158"/>
      <c r="B17" s="150"/>
      <c r="C17" s="158"/>
      <c r="D17" s="175">
        <f>IF(ISBLANK(L8),0,L8)</f>
        <v>3000000</v>
      </c>
      <c r="E17" s="176">
        <f>D17+(I22-C22)</f>
        <v>3000000</v>
      </c>
      <c r="F17" s="158"/>
      <c r="G17" s="150"/>
      <c r="H17" s="167"/>
      <c r="I17" s="283"/>
      <c r="J17" s="266"/>
      <c r="K17" s="266"/>
      <c r="L17" s="169"/>
      <c r="M17" s="158"/>
    </row>
    <row r="18" spans="1:13" ht="12" customHeight="1" x14ac:dyDescent="0.3">
      <c r="A18" s="158"/>
      <c r="B18" s="177"/>
      <c r="C18" s="177"/>
      <c r="D18" s="177"/>
      <c r="E18" s="177"/>
      <c r="F18" s="177"/>
      <c r="G18" s="158"/>
      <c r="H18" s="178"/>
      <c r="I18" s="179"/>
      <c r="J18" s="180"/>
      <c r="K18" s="179"/>
      <c r="L18" s="181"/>
      <c r="M18" s="158"/>
    </row>
    <row r="19" spans="1:13" ht="24" customHeight="1" x14ac:dyDescent="0.3">
      <c r="A19" s="158"/>
      <c r="B19" s="177"/>
      <c r="C19" s="177"/>
      <c r="D19" s="177"/>
      <c r="E19" s="177"/>
      <c r="F19" s="177"/>
      <c r="G19" s="158"/>
      <c r="H19" s="158"/>
      <c r="I19" s="158"/>
      <c r="J19" s="151"/>
      <c r="K19" s="158"/>
      <c r="L19" s="158"/>
      <c r="M19" s="158"/>
    </row>
    <row r="20" spans="1:13" ht="24" customHeight="1" x14ac:dyDescent="0.25">
      <c r="A20" s="182"/>
      <c r="B20" s="284" t="s">
        <v>10</v>
      </c>
      <c r="C20" s="266"/>
      <c r="D20" s="266"/>
      <c r="E20" s="266"/>
      <c r="F20" s="266"/>
      <c r="G20" s="182"/>
      <c r="H20" s="183" t="s">
        <v>9</v>
      </c>
      <c r="I20" s="183"/>
      <c r="J20" s="184"/>
      <c r="K20" s="182"/>
      <c r="L20" s="182"/>
      <c r="M20" s="182"/>
    </row>
    <row r="21" spans="1:13" ht="19.5" customHeight="1" x14ac:dyDescent="0.25">
      <c r="A21" s="185"/>
      <c r="B21" s="186" t="s">
        <v>37</v>
      </c>
      <c r="C21" s="187">
        <f>D26</f>
        <v>22450000</v>
      </c>
      <c r="D21" s="285" t="str">
        <f ca="1">IFERROR(__xludf.DUMMYFUNCTION("SPARKLINE(C21,{""charttype"",""bar"";""max"",max(C21:C22);""color1"",""#AEB7C0""})"),"")</f>
        <v/>
      </c>
      <c r="E21" s="266"/>
      <c r="F21" s="266"/>
      <c r="G21" s="185"/>
      <c r="H21" s="186" t="s">
        <v>37</v>
      </c>
      <c r="I21" s="187">
        <f>J26</f>
        <v>0</v>
      </c>
      <c r="J21" s="285" t="str">
        <f ca="1">IFERROR(__xludf.DUMMYFUNCTION("SPARKLINE(I21,{""charttype"",""bar"";""max"",max(I21:I22);""color1"",""#AEB7C0""})"),"")</f>
        <v/>
      </c>
      <c r="K21" s="266"/>
      <c r="L21" s="266"/>
      <c r="M21" s="185"/>
    </row>
    <row r="22" spans="1:13" ht="19.5" customHeight="1" x14ac:dyDescent="0.25">
      <c r="A22" s="188"/>
      <c r="B22" s="189" t="s">
        <v>38</v>
      </c>
      <c r="C22" s="190">
        <f>E26</f>
        <v>0</v>
      </c>
      <c r="D22" s="286" t="str">
        <f ca="1">IFERROR(__xludf.DUMMYFUNCTION("SPARKLINE(C22,{""charttype"",""bar"";""max"",max(C21:C22);""color1"",""#334960""})"),"")</f>
        <v/>
      </c>
      <c r="E22" s="266"/>
      <c r="F22" s="266"/>
      <c r="G22" s="177"/>
      <c r="H22" s="189" t="s">
        <v>38</v>
      </c>
      <c r="I22" s="190">
        <f>K26</f>
        <v>0</v>
      </c>
      <c r="J22" s="286" t="str">
        <f ca="1">IFERROR(__xludf.DUMMYFUNCTION("SPARKLINE(I22,{""charttype"",""bar"";""max"",max(I21:I22);""color1"",""#334960""})"),"")</f>
        <v/>
      </c>
      <c r="K22" s="266"/>
      <c r="L22" s="266"/>
      <c r="M22" s="188"/>
    </row>
    <row r="23" spans="1:13" ht="30" customHeight="1" x14ac:dyDescent="0.3">
      <c r="A23" s="150"/>
      <c r="B23" s="191"/>
      <c r="C23" s="192"/>
      <c r="D23" s="287"/>
      <c r="E23" s="266"/>
      <c r="F23" s="266"/>
      <c r="G23" s="150"/>
      <c r="H23" s="191"/>
      <c r="I23" s="192"/>
      <c r="J23" s="287"/>
      <c r="K23" s="266"/>
      <c r="L23" s="266"/>
      <c r="M23" s="188"/>
    </row>
    <row r="24" spans="1:13" ht="29.25" customHeight="1" x14ac:dyDescent="0.25">
      <c r="A24" s="193"/>
      <c r="B24" s="288" t="s">
        <v>10</v>
      </c>
      <c r="C24" s="266"/>
      <c r="D24" s="194"/>
      <c r="E24" s="194"/>
      <c r="F24" s="194"/>
      <c r="G24" s="195"/>
      <c r="H24" s="196" t="s">
        <v>9</v>
      </c>
      <c r="I24" s="197"/>
      <c r="J24" s="194"/>
      <c r="K24" s="194"/>
      <c r="L24" s="194"/>
      <c r="M24" s="193"/>
    </row>
    <row r="25" spans="1:13" ht="19.5" customHeight="1" x14ac:dyDescent="0.45">
      <c r="A25" s="198"/>
      <c r="B25" s="199"/>
      <c r="C25" s="200"/>
      <c r="D25" s="199" t="s">
        <v>37</v>
      </c>
      <c r="E25" s="199" t="s">
        <v>38</v>
      </c>
      <c r="F25" s="199" t="s">
        <v>39</v>
      </c>
      <c r="G25" s="201"/>
      <c r="H25" s="202"/>
      <c r="I25" s="203"/>
      <c r="J25" s="199" t="s">
        <v>37</v>
      </c>
      <c r="K25" s="199" t="s">
        <v>38</v>
      </c>
      <c r="L25" s="199" t="s">
        <v>39</v>
      </c>
      <c r="M25" s="198"/>
    </row>
    <row r="26" spans="1:13" ht="17.25" customHeight="1" x14ac:dyDescent="0.25">
      <c r="A26" s="204"/>
      <c r="B26" s="205" t="s">
        <v>40</v>
      </c>
      <c r="C26" s="205"/>
      <c r="D26" s="206">
        <f t="shared" ref="D26:F26" si="0">SUM(D27:D1044)</f>
        <v>22450000</v>
      </c>
      <c r="E26" s="206">
        <f t="shared" si="0"/>
        <v>0</v>
      </c>
      <c r="F26" s="206">
        <f t="shared" si="0"/>
        <v>22450000</v>
      </c>
      <c r="G26" s="207"/>
      <c r="H26" s="208" t="s">
        <v>40</v>
      </c>
      <c r="I26" s="206"/>
      <c r="J26" s="206">
        <f t="shared" ref="J26:L26" si="1">SUM(J27:J44)</f>
        <v>0</v>
      </c>
      <c r="K26" s="206">
        <f t="shared" si="1"/>
        <v>0</v>
      </c>
      <c r="L26" s="206">
        <f t="shared" si="1"/>
        <v>0</v>
      </c>
      <c r="M26" s="204"/>
    </row>
    <row r="27" spans="1:13" ht="18" hidden="1" customHeight="1" x14ac:dyDescent="0.25">
      <c r="A27" s="209"/>
      <c r="B27" s="289"/>
      <c r="C27" s="290"/>
      <c r="D27" s="210"/>
      <c r="E27" s="211" t="str">
        <f>IF(ISBLANK($B27), "", SUMIF('Trans Feb'!$E:$E,$B27,'Trans Feb'!$C:$C))</f>
        <v/>
      </c>
      <c r="F27" s="211" t="str">
        <f t="shared" ref="F27:F43" si="2">IF(ISBLANK($B27), "", D27-E27)</f>
        <v/>
      </c>
      <c r="G27" s="190"/>
      <c r="H27" s="291"/>
      <c r="I27" s="292"/>
      <c r="J27" s="212"/>
      <c r="K27" s="211" t="str">
        <f>IF(ISBLANK($H27), "", SUMIF('Trans Feb'!$J:$J,$H27,'Trans Feb'!$H:$H))</f>
        <v/>
      </c>
      <c r="L27" s="211" t="str">
        <f t="shared" ref="L27:L44" si="3">IF(ISBLANK($H27), "", K27-J27)</f>
        <v/>
      </c>
      <c r="M27" s="209"/>
    </row>
    <row r="28" spans="1:13" ht="18" customHeight="1" x14ac:dyDescent="0.25">
      <c r="A28" s="209"/>
      <c r="B28" s="267" t="s">
        <v>15</v>
      </c>
      <c r="C28" s="268"/>
      <c r="D28" s="213">
        <v>7000000</v>
      </c>
      <c r="E28" s="214">
        <f>IF(ISBLANK($B28), "", SUMIF('Trans Feb'!$E:$E,$B28,'Trans Feb'!$C:$C))</f>
        <v>0</v>
      </c>
      <c r="F28" s="214">
        <f t="shared" si="2"/>
        <v>7000000</v>
      </c>
      <c r="G28" s="215"/>
      <c r="H28" s="267" t="s">
        <v>41</v>
      </c>
      <c r="I28" s="268"/>
      <c r="J28" s="213"/>
      <c r="K28" s="211">
        <f>IF(ISBLANK($H28), "", SUMIF('Trans Feb'!$J:$J,$H28,'Trans Feb'!$H:$H))</f>
        <v>0</v>
      </c>
      <c r="L28" s="214">
        <f t="shared" si="3"/>
        <v>0</v>
      </c>
      <c r="M28" s="209"/>
    </row>
    <row r="29" spans="1:13" ht="18" customHeight="1" x14ac:dyDescent="0.25">
      <c r="A29" s="209"/>
      <c r="B29" s="267" t="s">
        <v>23</v>
      </c>
      <c r="C29" s="268"/>
      <c r="D29" s="213">
        <v>500000</v>
      </c>
      <c r="E29" s="214">
        <f>IF(ISBLANK($B29), "", SUMIF('Trans Feb'!$E:$E,$B29,'Trans Feb'!$C:$C))</f>
        <v>0</v>
      </c>
      <c r="F29" s="214">
        <f t="shared" si="2"/>
        <v>500000</v>
      </c>
      <c r="G29" s="190"/>
      <c r="H29" s="267" t="s">
        <v>42</v>
      </c>
      <c r="I29" s="268"/>
      <c r="J29" s="213"/>
      <c r="K29" s="211">
        <f>IF(ISBLANK($H29), "", SUMIF('Trans Feb'!$J:$J,$H29,'Trans Feb'!$H:$H))</f>
        <v>0</v>
      </c>
      <c r="L29" s="214">
        <f t="shared" si="3"/>
        <v>0</v>
      </c>
      <c r="M29" s="209"/>
    </row>
    <row r="30" spans="1:13" ht="18" customHeight="1" x14ac:dyDescent="0.25">
      <c r="A30" s="188"/>
      <c r="B30" s="267" t="s">
        <v>24</v>
      </c>
      <c r="C30" s="268"/>
      <c r="D30" s="213">
        <v>600000</v>
      </c>
      <c r="E30" s="214">
        <f>IF(ISBLANK($B30), "", SUMIF('Trans Feb'!$E:$E,$B30,'Trans Feb'!$C:$C))</f>
        <v>0</v>
      </c>
      <c r="F30" s="214">
        <f t="shared" si="2"/>
        <v>600000</v>
      </c>
      <c r="G30" s="216"/>
      <c r="H30" s="267" t="s">
        <v>43</v>
      </c>
      <c r="I30" s="268"/>
      <c r="J30" s="213"/>
      <c r="K30" s="211">
        <f>IF(ISBLANK($H30), "", SUMIF('Trans Feb'!$J:$J,$H30,'Trans Feb'!$H:$H))</f>
        <v>0</v>
      </c>
      <c r="L30" s="214">
        <f t="shared" si="3"/>
        <v>0</v>
      </c>
      <c r="M30" s="188"/>
    </row>
    <row r="31" spans="1:13" ht="18" customHeight="1" x14ac:dyDescent="0.25">
      <c r="A31" s="188"/>
      <c r="B31" s="267" t="s">
        <v>44</v>
      </c>
      <c r="C31" s="268"/>
      <c r="D31" s="213">
        <v>5000000</v>
      </c>
      <c r="E31" s="214">
        <f>IF(ISBLANK($B31), "", SUMIF('Trans Feb'!$E:$E,$B31,'Trans Feb'!$C:$C))</f>
        <v>0</v>
      </c>
      <c r="F31" s="214">
        <f t="shared" si="2"/>
        <v>5000000</v>
      </c>
      <c r="G31" s="216"/>
      <c r="H31" s="267" t="s">
        <v>45</v>
      </c>
      <c r="I31" s="268"/>
      <c r="J31" s="213"/>
      <c r="K31" s="211">
        <f>IF(ISBLANK($H31), "", SUMIF('Trans Feb'!$J:$J,$H31,'Trans Feb'!$H:$H))</f>
        <v>0</v>
      </c>
      <c r="L31" s="214">
        <f t="shared" si="3"/>
        <v>0</v>
      </c>
      <c r="M31" s="188"/>
    </row>
    <row r="32" spans="1:13" ht="18" customHeight="1" x14ac:dyDescent="0.25">
      <c r="A32" s="188"/>
      <c r="B32" s="267" t="s">
        <v>46</v>
      </c>
      <c r="C32" s="268"/>
      <c r="D32" s="213">
        <v>4000000</v>
      </c>
      <c r="E32" s="214">
        <f>IF(ISBLANK($B32), "", SUMIF('Trans Feb'!$E:$E,$B32,'Trans Feb'!$C:$C))</f>
        <v>0</v>
      </c>
      <c r="F32" s="214">
        <f t="shared" si="2"/>
        <v>4000000</v>
      </c>
      <c r="G32" s="216"/>
      <c r="H32" s="267" t="s">
        <v>47</v>
      </c>
      <c r="I32" s="268"/>
      <c r="J32" s="213"/>
      <c r="K32" s="211">
        <f>IF(ISBLANK($H32), "", SUMIF('Trans Feb'!$J:$J,$H32,'Trans Feb'!$H:$H))</f>
        <v>0</v>
      </c>
      <c r="L32" s="214">
        <f t="shared" si="3"/>
        <v>0</v>
      </c>
      <c r="M32" s="188"/>
    </row>
    <row r="33" spans="1:13" ht="18" customHeight="1" x14ac:dyDescent="0.25">
      <c r="A33" s="188"/>
      <c r="B33" s="267" t="s">
        <v>48</v>
      </c>
      <c r="C33" s="268"/>
      <c r="D33" s="213">
        <v>1500000</v>
      </c>
      <c r="E33" s="214">
        <f>IF(ISBLANK($B33), "", SUMIF('Trans Feb'!$E:$E,$B33,'Trans Feb'!$C:$C))</f>
        <v>0</v>
      </c>
      <c r="F33" s="214">
        <f t="shared" si="2"/>
        <v>1500000</v>
      </c>
      <c r="G33" s="217"/>
      <c r="H33" s="267" t="s">
        <v>49</v>
      </c>
      <c r="I33" s="268"/>
      <c r="J33" s="218"/>
      <c r="K33" s="211">
        <f>IF(ISBLANK($H33), "", SUMIF('Trans Feb'!$J:$J,$H33,'Trans Feb'!$H:$H))</f>
        <v>0</v>
      </c>
      <c r="L33" s="214">
        <f t="shared" si="3"/>
        <v>0</v>
      </c>
      <c r="M33" s="188"/>
    </row>
    <row r="34" spans="1:13" ht="18" customHeight="1" x14ac:dyDescent="0.25">
      <c r="A34" s="188"/>
      <c r="B34" s="267" t="s">
        <v>50</v>
      </c>
      <c r="C34" s="268"/>
      <c r="D34" s="213">
        <v>500000</v>
      </c>
      <c r="E34" s="214">
        <f>IF(ISBLANK($B34), "", SUMIF('Trans Feb'!$E:$E,$B34,'Trans Feb'!$C:$C))</f>
        <v>0</v>
      </c>
      <c r="F34" s="214">
        <f t="shared" si="2"/>
        <v>500000</v>
      </c>
      <c r="G34" s="216"/>
      <c r="H34" s="267" t="s">
        <v>51</v>
      </c>
      <c r="I34" s="268"/>
      <c r="J34" s="218"/>
      <c r="K34" s="211">
        <f>IF(ISBLANK($H34), "", SUMIF('Trans Feb'!$J:$J,$H34,'Trans Feb'!$H:$H))</f>
        <v>0</v>
      </c>
      <c r="L34" s="214">
        <f t="shared" si="3"/>
        <v>0</v>
      </c>
      <c r="M34" s="188"/>
    </row>
    <row r="35" spans="1:13" ht="18" customHeight="1" x14ac:dyDescent="0.3">
      <c r="A35" s="188"/>
      <c r="B35" s="267" t="s">
        <v>52</v>
      </c>
      <c r="C35" s="268"/>
      <c r="D35" s="213">
        <v>500000</v>
      </c>
      <c r="E35" s="214">
        <f>IF(ISBLANK($B35), "", SUMIF('Trans Feb'!$E:$E,$B35,'Trans Feb'!$C:$C))</f>
        <v>0</v>
      </c>
      <c r="F35" s="214">
        <f t="shared" si="2"/>
        <v>500000</v>
      </c>
      <c r="G35" s="217"/>
      <c r="H35" s="293"/>
      <c r="I35" s="268"/>
      <c r="J35" s="219"/>
      <c r="K35" s="211" t="str">
        <f>IF(ISBLANK($H35), "", SUMIF('Trans Feb'!$J:$J,$H35,'Trans Feb'!$H:$H))</f>
        <v/>
      </c>
      <c r="L35" s="214" t="str">
        <f t="shared" si="3"/>
        <v/>
      </c>
      <c r="M35" s="188"/>
    </row>
    <row r="36" spans="1:13" ht="18" customHeight="1" x14ac:dyDescent="0.3">
      <c r="A36" s="188"/>
      <c r="B36" s="267" t="s">
        <v>53</v>
      </c>
      <c r="C36" s="268"/>
      <c r="D36" s="213">
        <v>500000</v>
      </c>
      <c r="E36" s="214">
        <f>IF(ISBLANK($B36), "", SUMIF('Trans Feb'!$E:$E,$B36,'Trans Feb'!$C:$C))</f>
        <v>0</v>
      </c>
      <c r="F36" s="214">
        <f t="shared" si="2"/>
        <v>500000</v>
      </c>
      <c r="G36" s="216"/>
      <c r="H36" s="293"/>
      <c r="I36" s="268"/>
      <c r="J36" s="219"/>
      <c r="K36" s="211" t="str">
        <f>IF(ISBLANK($H36), "", SUMIF('Trans Feb'!$J:$J,$H36,'Trans Feb'!$H:$H))</f>
        <v/>
      </c>
      <c r="L36" s="214" t="str">
        <f t="shared" si="3"/>
        <v/>
      </c>
      <c r="M36" s="188"/>
    </row>
    <row r="37" spans="1:13" ht="18" customHeight="1" x14ac:dyDescent="0.3">
      <c r="A37" s="188"/>
      <c r="B37" s="267" t="s">
        <v>54</v>
      </c>
      <c r="C37" s="268"/>
      <c r="D37" s="213">
        <v>500000</v>
      </c>
      <c r="E37" s="214">
        <f>IF(ISBLANK($B37), "", SUMIF('Trans Feb'!$E:$E,$B37,'Trans Feb'!$C:$C))</f>
        <v>0</v>
      </c>
      <c r="F37" s="214">
        <f t="shared" si="2"/>
        <v>500000</v>
      </c>
      <c r="G37" s="216"/>
      <c r="H37" s="293"/>
      <c r="I37" s="268"/>
      <c r="J37" s="219"/>
      <c r="K37" s="211" t="str">
        <f>IF(ISBLANK($H37), "", SUMIF('Trans Feb'!$J:$J,$H37,'Trans Feb'!$H:$H))</f>
        <v/>
      </c>
      <c r="L37" s="214" t="str">
        <f t="shared" si="3"/>
        <v/>
      </c>
      <c r="M37" s="188"/>
    </row>
    <row r="38" spans="1:13" ht="18" customHeight="1" x14ac:dyDescent="0.3">
      <c r="A38" s="188"/>
      <c r="B38" s="267" t="s">
        <v>55</v>
      </c>
      <c r="C38" s="268"/>
      <c r="D38" s="213">
        <v>200000</v>
      </c>
      <c r="E38" s="214">
        <f>IF(ISBLANK($B38), "", SUMIF('Trans Feb'!$E:$E,$B38,'Trans Feb'!$C:$C))</f>
        <v>0</v>
      </c>
      <c r="F38" s="214">
        <f t="shared" si="2"/>
        <v>200000</v>
      </c>
      <c r="G38" s="216"/>
      <c r="H38" s="293"/>
      <c r="I38" s="268"/>
      <c r="J38" s="219"/>
      <c r="K38" s="211" t="str">
        <f>IF(ISBLANK($H38), "", SUMIF('Trans Feb'!$J:$J,$H38,'Trans Feb'!$H:$H))</f>
        <v/>
      </c>
      <c r="L38" s="214" t="str">
        <f t="shared" si="3"/>
        <v/>
      </c>
      <c r="M38" s="188"/>
    </row>
    <row r="39" spans="1:13" ht="18" customHeight="1" x14ac:dyDescent="0.3">
      <c r="A39" s="188"/>
      <c r="B39" s="267" t="s">
        <v>56</v>
      </c>
      <c r="C39" s="268"/>
      <c r="D39" s="213">
        <v>150000</v>
      </c>
      <c r="E39" s="214">
        <f>IF(ISBLANK($B39), "", SUMIF('Trans Feb'!$E:$E,$B39,'Trans Feb'!$C:$C))</f>
        <v>0</v>
      </c>
      <c r="F39" s="214">
        <f t="shared" si="2"/>
        <v>150000</v>
      </c>
      <c r="G39" s="216"/>
      <c r="H39" s="293"/>
      <c r="I39" s="268"/>
      <c r="J39" s="219"/>
      <c r="K39" s="211" t="str">
        <f>IF(ISBLANK($H39), "", SUMIF('Trans Feb'!$J:$J,$H39,'Trans Feb'!$H:$H))</f>
        <v/>
      </c>
      <c r="L39" s="214" t="str">
        <f t="shared" si="3"/>
        <v/>
      </c>
      <c r="M39" s="188"/>
    </row>
    <row r="40" spans="1:13" ht="18" customHeight="1" x14ac:dyDescent="0.3">
      <c r="A40" s="188"/>
      <c r="B40" s="267" t="s">
        <v>57</v>
      </c>
      <c r="C40" s="268"/>
      <c r="D40" s="213">
        <v>1500000</v>
      </c>
      <c r="E40" s="214">
        <f>IF(ISBLANK($B40), "", SUMIF('Trans Feb'!$E:$E,$B40,'Trans Feb'!$C:$C))</f>
        <v>0</v>
      </c>
      <c r="F40" s="214">
        <f t="shared" si="2"/>
        <v>1500000</v>
      </c>
      <c r="G40" s="217"/>
      <c r="H40" s="293"/>
      <c r="I40" s="268"/>
      <c r="J40" s="219"/>
      <c r="K40" s="211" t="str">
        <f>IF(ISBLANK($H40), "", SUMIF('Trans Feb'!$J:$J,$H40,'Trans Feb'!$H:$H))</f>
        <v/>
      </c>
      <c r="L40" s="214" t="str">
        <f t="shared" si="3"/>
        <v/>
      </c>
      <c r="M40" s="188"/>
    </row>
    <row r="41" spans="1:13" ht="18" customHeight="1" x14ac:dyDescent="0.3">
      <c r="A41" s="188"/>
      <c r="B41" s="267" t="s">
        <v>58</v>
      </c>
      <c r="C41" s="268"/>
      <c r="D41" s="220">
        <v>0</v>
      </c>
      <c r="E41" s="214">
        <f>IF(ISBLANK($B41), "", SUMIF('Trans Feb'!$E:$E,$B41,'Trans Feb'!$C:$C))</f>
        <v>0</v>
      </c>
      <c r="F41" s="214">
        <f t="shared" si="2"/>
        <v>0</v>
      </c>
      <c r="G41" s="216"/>
      <c r="H41" s="293"/>
      <c r="I41" s="268"/>
      <c r="J41" s="219"/>
      <c r="K41" s="211" t="str">
        <f>IF(ISBLANK($H41), "", SUMIF('Trans Feb'!$J:$J,$H41,'Trans Feb'!$H:$H))</f>
        <v/>
      </c>
      <c r="L41" s="214" t="str">
        <f t="shared" si="3"/>
        <v/>
      </c>
      <c r="M41" s="188"/>
    </row>
    <row r="42" spans="1:13" ht="19.5" customHeight="1" x14ac:dyDescent="0.3">
      <c r="A42" s="188"/>
      <c r="B42" s="267" t="s">
        <v>59</v>
      </c>
      <c r="C42" s="268"/>
      <c r="D42" s="213">
        <v>0</v>
      </c>
      <c r="E42" s="214">
        <f>IF(ISBLANK($B42), "", SUMIF('Trans Feb'!$E:$E,$B42,'Trans Feb'!$C:$C))</f>
        <v>0</v>
      </c>
      <c r="F42" s="214">
        <f t="shared" si="2"/>
        <v>0</v>
      </c>
      <c r="G42" s="216"/>
      <c r="H42" s="293"/>
      <c r="I42" s="268"/>
      <c r="J42" s="219"/>
      <c r="K42" s="211" t="str">
        <f>IF(ISBLANK($H42), "", SUMIF('Trans Feb'!$J:$J,$H42,'Trans Feb'!$H:$H))</f>
        <v/>
      </c>
      <c r="L42" s="214" t="str">
        <f t="shared" si="3"/>
        <v/>
      </c>
      <c r="M42" s="188"/>
    </row>
    <row r="43" spans="1:13" ht="18" customHeight="1" x14ac:dyDescent="0.3">
      <c r="A43" s="188"/>
      <c r="B43" s="267"/>
      <c r="C43" s="268"/>
      <c r="D43" s="220"/>
      <c r="E43" s="211"/>
      <c r="F43" s="214" t="str">
        <f t="shared" si="2"/>
        <v/>
      </c>
      <c r="G43" s="216"/>
      <c r="H43" s="267"/>
      <c r="I43" s="268"/>
      <c r="J43" s="218"/>
      <c r="K43" s="211" t="str">
        <f>IF(ISBLANK($H43), "", SUMIF('Trans Feb'!$J:$J,$H43,'Trans Feb'!$H:$H))</f>
        <v/>
      </c>
      <c r="L43" s="214" t="str">
        <f t="shared" si="3"/>
        <v/>
      </c>
      <c r="M43" s="188"/>
    </row>
    <row r="44" spans="1:13" ht="18" customHeight="1" x14ac:dyDescent="0.25">
      <c r="A44" s="188"/>
      <c r="B44" s="267"/>
      <c r="C44" s="268"/>
      <c r="D44" s="218"/>
      <c r="E44" s="211" t="str">
        <f>IF(ISBLANK($B44), "", SUMIF('Trans Feb'!$E:$E,$B44,'Trans Feb'!$C:$C))</f>
        <v/>
      </c>
      <c r="F44" s="214"/>
      <c r="G44" s="216"/>
      <c r="H44" s="267"/>
      <c r="I44" s="268"/>
      <c r="J44" s="218"/>
      <c r="K44" s="211" t="str">
        <f>IF(ISBLANK($H44), "", SUMIF('Trans Feb'!$J:$J,$H44,'Trans Feb'!$H:$H))</f>
        <v/>
      </c>
      <c r="L44" s="214" t="str">
        <f t="shared" si="3"/>
        <v/>
      </c>
      <c r="M44" s="188"/>
    </row>
    <row r="45" spans="1:13" ht="18" customHeight="1" x14ac:dyDescent="0.25">
      <c r="A45" s="188"/>
      <c r="B45" s="221"/>
      <c r="C45" s="221"/>
      <c r="D45" s="222"/>
      <c r="E45" s="211"/>
      <c r="F45" s="214"/>
      <c r="G45" s="216"/>
      <c r="H45" s="221"/>
      <c r="I45" s="221"/>
      <c r="J45" s="222"/>
      <c r="K45" s="211"/>
      <c r="L45" s="214"/>
      <c r="M45" s="188"/>
    </row>
    <row r="46" spans="1:13" ht="18" customHeight="1" x14ac:dyDescent="0.25">
      <c r="A46" s="188"/>
      <c r="B46" s="221"/>
      <c r="C46" s="221"/>
      <c r="D46" s="222"/>
      <c r="E46" s="211"/>
      <c r="F46" s="214"/>
      <c r="G46" s="216"/>
      <c r="H46" s="221"/>
      <c r="I46" s="221"/>
      <c r="J46" s="222"/>
      <c r="K46" s="211"/>
      <c r="L46" s="214"/>
      <c r="M46" s="188"/>
    </row>
    <row r="47" spans="1:13" ht="18" customHeight="1" x14ac:dyDescent="0.25">
      <c r="A47" s="188"/>
      <c r="B47" s="221"/>
      <c r="C47" s="221"/>
      <c r="D47" s="222"/>
      <c r="E47" s="211"/>
      <c r="F47" s="214"/>
      <c r="G47" s="216"/>
      <c r="H47" s="221"/>
      <c r="I47" s="221"/>
      <c r="J47" s="222"/>
      <c r="K47" s="211"/>
      <c r="L47" s="214"/>
      <c r="M47" s="188"/>
    </row>
    <row r="48" spans="1:13" ht="18" customHeight="1" x14ac:dyDescent="0.25">
      <c r="A48" s="188"/>
      <c r="B48" s="221"/>
      <c r="C48" s="221"/>
      <c r="D48" s="222"/>
      <c r="E48" s="211"/>
      <c r="F48" s="214"/>
      <c r="G48" s="216"/>
      <c r="H48" s="221"/>
      <c r="I48" s="221"/>
      <c r="J48" s="222"/>
      <c r="K48" s="211"/>
      <c r="L48" s="214"/>
      <c r="M48" s="188"/>
    </row>
    <row r="49" spans="1:13" ht="18" customHeight="1" x14ac:dyDescent="0.25">
      <c r="A49" s="188"/>
      <c r="B49" s="221"/>
      <c r="C49" s="221"/>
      <c r="D49" s="222"/>
      <c r="E49" s="211"/>
      <c r="F49" s="214"/>
      <c r="G49" s="216"/>
      <c r="H49" s="221"/>
      <c r="I49" s="221"/>
      <c r="J49" s="222"/>
      <c r="K49" s="211"/>
      <c r="L49" s="214"/>
      <c r="M49" s="188"/>
    </row>
    <row r="50" spans="1:13" ht="18" customHeight="1" x14ac:dyDescent="0.25">
      <c r="A50" s="188"/>
      <c r="B50" s="221"/>
      <c r="C50" s="221"/>
      <c r="D50" s="222"/>
      <c r="E50" s="211"/>
      <c r="F50" s="214"/>
      <c r="G50" s="216"/>
      <c r="H50" s="221"/>
      <c r="I50" s="221"/>
      <c r="J50" s="222"/>
      <c r="K50" s="211"/>
      <c r="L50" s="214"/>
      <c r="M50" s="188"/>
    </row>
    <row r="51" spans="1:13" ht="18" customHeight="1" x14ac:dyDescent="0.25">
      <c r="A51" s="188"/>
      <c r="B51" s="221"/>
      <c r="C51" s="221"/>
      <c r="D51" s="222"/>
      <c r="E51" s="211"/>
      <c r="F51" s="214"/>
      <c r="G51" s="216"/>
      <c r="H51" s="221"/>
      <c r="I51" s="221"/>
      <c r="J51" s="222"/>
      <c r="K51" s="211"/>
      <c r="L51" s="214"/>
      <c r="M51" s="188"/>
    </row>
    <row r="52" spans="1:13" ht="18" customHeight="1" x14ac:dyDescent="0.25">
      <c r="A52" s="188"/>
      <c r="B52" s="221"/>
      <c r="C52" s="221"/>
      <c r="D52" s="222"/>
      <c r="E52" s="211"/>
      <c r="F52" s="214"/>
      <c r="G52" s="216"/>
      <c r="H52" s="221"/>
      <c r="I52" s="221"/>
      <c r="J52" s="222"/>
      <c r="K52" s="211"/>
      <c r="L52" s="214"/>
      <c r="M52" s="188"/>
    </row>
    <row r="53" spans="1:13" ht="18" customHeight="1" x14ac:dyDescent="0.25">
      <c r="A53" s="188"/>
      <c r="B53" s="221"/>
      <c r="C53" s="221"/>
      <c r="D53" s="222"/>
      <c r="E53" s="211"/>
      <c r="F53" s="214"/>
      <c r="G53" s="216"/>
      <c r="H53" s="221"/>
      <c r="I53" s="221"/>
      <c r="J53" s="222"/>
      <c r="K53" s="211"/>
      <c r="L53" s="214"/>
      <c r="M53" s="188"/>
    </row>
    <row r="54" spans="1:13" ht="18" customHeight="1" x14ac:dyDescent="0.25">
      <c r="A54" s="188"/>
      <c r="B54" s="221"/>
      <c r="C54" s="221"/>
      <c r="D54" s="222"/>
      <c r="E54" s="211"/>
      <c r="F54" s="214"/>
      <c r="G54" s="216"/>
      <c r="H54" s="221"/>
      <c r="I54" s="221"/>
      <c r="J54" s="222"/>
      <c r="K54" s="211"/>
      <c r="L54" s="214"/>
      <c r="M54" s="188"/>
    </row>
    <row r="55" spans="1:13" ht="18" customHeight="1" x14ac:dyDescent="0.25">
      <c r="A55" s="188"/>
      <c r="B55" s="221"/>
      <c r="C55" s="221"/>
      <c r="D55" s="222"/>
      <c r="E55" s="211"/>
      <c r="F55" s="214"/>
      <c r="G55" s="216"/>
      <c r="H55" s="221"/>
      <c r="I55" s="221"/>
      <c r="J55" s="222"/>
      <c r="K55" s="211"/>
      <c r="L55" s="214"/>
      <c r="M55" s="188"/>
    </row>
    <row r="56" spans="1:13" ht="18" customHeight="1" x14ac:dyDescent="0.25">
      <c r="A56" s="188"/>
      <c r="B56" s="221"/>
      <c r="C56" s="221"/>
      <c r="D56" s="222"/>
      <c r="E56" s="211"/>
      <c r="F56" s="214"/>
      <c r="G56" s="216"/>
      <c r="H56" s="221"/>
      <c r="I56" s="221"/>
      <c r="J56" s="222"/>
      <c r="K56" s="211"/>
      <c r="L56" s="214"/>
      <c r="M56" s="188"/>
    </row>
    <row r="57" spans="1:13" ht="18" customHeight="1" x14ac:dyDescent="0.25">
      <c r="A57" s="188"/>
      <c r="B57" s="221"/>
      <c r="C57" s="221"/>
      <c r="D57" s="222"/>
      <c r="E57" s="211"/>
      <c r="F57" s="214"/>
      <c r="G57" s="216"/>
      <c r="H57" s="221"/>
      <c r="I57" s="221"/>
      <c r="J57" s="222"/>
      <c r="K57" s="211"/>
      <c r="L57" s="214"/>
      <c r="M57" s="188"/>
    </row>
    <row r="58" spans="1:13" ht="18" customHeight="1" x14ac:dyDescent="0.25">
      <c r="A58" s="188"/>
      <c r="B58" s="221"/>
      <c r="C58" s="221"/>
      <c r="D58" s="222"/>
      <c r="E58" s="211"/>
      <c r="F58" s="214"/>
      <c r="G58" s="216"/>
      <c r="H58" s="221"/>
      <c r="I58" s="221"/>
      <c r="J58" s="222"/>
      <c r="K58" s="211"/>
      <c r="L58" s="214"/>
      <c r="M58" s="188"/>
    </row>
    <row r="59" spans="1:13" ht="18" customHeight="1" x14ac:dyDescent="0.25">
      <c r="A59" s="188"/>
      <c r="B59" s="221"/>
      <c r="C59" s="221"/>
      <c r="D59" s="222"/>
      <c r="E59" s="211"/>
      <c r="F59" s="214"/>
      <c r="G59" s="216"/>
      <c r="H59" s="221"/>
      <c r="I59" s="221"/>
      <c r="J59" s="222"/>
      <c r="K59" s="211"/>
      <c r="L59" s="214"/>
      <c r="M59" s="188"/>
    </row>
    <row r="60" spans="1:13" ht="18" customHeight="1" x14ac:dyDescent="0.25">
      <c r="A60" s="188"/>
      <c r="B60" s="221"/>
      <c r="C60" s="221"/>
      <c r="D60" s="222"/>
      <c r="E60" s="211"/>
      <c r="F60" s="214"/>
      <c r="G60" s="216"/>
      <c r="H60" s="221"/>
      <c r="I60" s="221"/>
      <c r="J60" s="222"/>
      <c r="K60" s="211"/>
      <c r="L60" s="214"/>
      <c r="M60" s="188"/>
    </row>
    <row r="61" spans="1:13" ht="18" customHeight="1" x14ac:dyDescent="0.25">
      <c r="A61" s="188"/>
      <c r="B61" s="221"/>
      <c r="C61" s="221"/>
      <c r="D61" s="222"/>
      <c r="E61" s="211"/>
      <c r="F61" s="214"/>
      <c r="G61" s="216"/>
      <c r="H61" s="221"/>
      <c r="I61" s="221"/>
      <c r="J61" s="222"/>
      <c r="K61" s="211"/>
      <c r="L61" s="214"/>
      <c r="M61" s="188"/>
    </row>
    <row r="62" spans="1:13" ht="18" customHeight="1" x14ac:dyDescent="0.25">
      <c r="A62" s="188"/>
      <c r="B62" s="221"/>
      <c r="C62" s="221"/>
      <c r="D62" s="222"/>
      <c r="E62" s="211"/>
      <c r="F62" s="214"/>
      <c r="G62" s="216"/>
      <c r="H62" s="221"/>
      <c r="I62" s="221"/>
      <c r="J62" s="222"/>
      <c r="K62" s="211"/>
      <c r="L62" s="214"/>
      <c r="M62" s="188"/>
    </row>
    <row r="63" spans="1:13" ht="18" customHeight="1" x14ac:dyDescent="0.25">
      <c r="A63" s="188"/>
      <c r="B63" s="221"/>
      <c r="C63" s="221"/>
      <c r="D63" s="222"/>
      <c r="E63" s="211"/>
      <c r="F63" s="214"/>
      <c r="G63" s="216"/>
      <c r="H63" s="221"/>
      <c r="I63" s="221"/>
      <c r="J63" s="222"/>
      <c r="K63" s="211"/>
      <c r="L63" s="214"/>
      <c r="M63" s="188"/>
    </row>
    <row r="64" spans="1:13" ht="18" customHeight="1" x14ac:dyDescent="0.25">
      <c r="A64" s="188"/>
      <c r="B64" s="221"/>
      <c r="C64" s="221"/>
      <c r="D64" s="222"/>
      <c r="E64" s="211"/>
      <c r="F64" s="214"/>
      <c r="G64" s="216"/>
      <c r="H64" s="221"/>
      <c r="I64" s="221"/>
      <c r="J64" s="222"/>
      <c r="K64" s="211"/>
      <c r="L64" s="214"/>
      <c r="M64" s="188"/>
    </row>
    <row r="65" spans="1:13" ht="18" customHeight="1" x14ac:dyDescent="0.25">
      <c r="A65" s="188"/>
      <c r="B65" s="221"/>
      <c r="C65" s="221"/>
      <c r="D65" s="222"/>
      <c r="E65" s="211"/>
      <c r="F65" s="214"/>
      <c r="G65" s="216"/>
      <c r="H65" s="221"/>
      <c r="I65" s="221"/>
      <c r="J65" s="222"/>
      <c r="K65" s="211"/>
      <c r="L65" s="214"/>
      <c r="M65" s="188"/>
    </row>
    <row r="66" spans="1:13" ht="18" customHeight="1" x14ac:dyDescent="0.25">
      <c r="A66" s="188"/>
      <c r="B66" s="221"/>
      <c r="C66" s="221"/>
      <c r="D66" s="222"/>
      <c r="E66" s="211"/>
      <c r="F66" s="214"/>
      <c r="G66" s="216"/>
      <c r="H66" s="221"/>
      <c r="I66" s="221"/>
      <c r="J66" s="222"/>
      <c r="K66" s="211"/>
      <c r="L66" s="214"/>
      <c r="M66" s="188"/>
    </row>
    <row r="67" spans="1:13" ht="18" customHeight="1" x14ac:dyDescent="0.25">
      <c r="A67" s="188"/>
      <c r="B67" s="221"/>
      <c r="C67" s="221"/>
      <c r="D67" s="222"/>
      <c r="E67" s="211"/>
      <c r="F67" s="214"/>
      <c r="G67" s="216"/>
      <c r="H67" s="221"/>
      <c r="I67" s="221"/>
      <c r="J67" s="222"/>
      <c r="K67" s="211"/>
      <c r="L67" s="214"/>
      <c r="M67" s="188"/>
    </row>
    <row r="68" spans="1:13" ht="18" customHeight="1" x14ac:dyDescent="0.25">
      <c r="A68" s="188"/>
      <c r="B68" s="221"/>
      <c r="C68" s="221"/>
      <c r="D68" s="222"/>
      <c r="E68" s="211"/>
      <c r="F68" s="214"/>
      <c r="G68" s="216"/>
      <c r="H68" s="221"/>
      <c r="I68" s="221"/>
      <c r="J68" s="222"/>
      <c r="K68" s="211"/>
      <c r="L68" s="214"/>
      <c r="M68" s="188"/>
    </row>
    <row r="69" spans="1:13" ht="18" customHeight="1" x14ac:dyDescent="0.25">
      <c r="A69" s="188"/>
      <c r="B69" s="221"/>
      <c r="C69" s="221"/>
      <c r="D69" s="222"/>
      <c r="E69" s="211"/>
      <c r="F69" s="214"/>
      <c r="G69" s="216"/>
      <c r="H69" s="221"/>
      <c r="I69" s="221"/>
      <c r="J69" s="222"/>
      <c r="K69" s="211"/>
      <c r="L69" s="214"/>
      <c r="M69" s="188"/>
    </row>
    <row r="70" spans="1:13" ht="18" customHeight="1" x14ac:dyDescent="0.25">
      <c r="A70" s="188"/>
      <c r="B70" s="221"/>
      <c r="C70" s="221"/>
      <c r="D70" s="222"/>
      <c r="E70" s="211"/>
      <c r="F70" s="214"/>
      <c r="G70" s="216"/>
      <c r="H70" s="221"/>
      <c r="I70" s="221"/>
      <c r="J70" s="222"/>
      <c r="K70" s="211"/>
      <c r="L70" s="214"/>
      <c r="M70" s="188"/>
    </row>
    <row r="71" spans="1:13" ht="18" customHeight="1" x14ac:dyDescent="0.25">
      <c r="A71" s="188"/>
      <c r="B71" s="221"/>
      <c r="C71" s="221"/>
      <c r="D71" s="222"/>
      <c r="E71" s="211"/>
      <c r="F71" s="214"/>
      <c r="G71" s="216"/>
      <c r="H71" s="221"/>
      <c r="I71" s="221"/>
      <c r="J71" s="222"/>
      <c r="K71" s="211"/>
      <c r="L71" s="214"/>
      <c r="M71" s="188"/>
    </row>
    <row r="72" spans="1:13" ht="18" customHeight="1" x14ac:dyDescent="0.25">
      <c r="A72" s="188"/>
      <c r="B72" s="221"/>
      <c r="C72" s="221"/>
      <c r="D72" s="222"/>
      <c r="E72" s="211"/>
      <c r="F72" s="214"/>
      <c r="G72" s="216"/>
      <c r="H72" s="221"/>
      <c r="I72" s="221"/>
      <c r="J72" s="222"/>
      <c r="K72" s="211"/>
      <c r="L72" s="214"/>
      <c r="M72" s="188"/>
    </row>
    <row r="73" spans="1:13" ht="18" customHeight="1" x14ac:dyDescent="0.25">
      <c r="A73" s="188"/>
      <c r="B73" s="221"/>
      <c r="C73" s="221"/>
      <c r="D73" s="222"/>
      <c r="E73" s="211"/>
      <c r="F73" s="214"/>
      <c r="G73" s="216"/>
      <c r="H73" s="221"/>
      <c r="I73" s="221"/>
      <c r="J73" s="222"/>
      <c r="K73" s="211"/>
      <c r="L73" s="214"/>
      <c r="M73" s="188"/>
    </row>
    <row r="74" spans="1:13" ht="18" customHeight="1" x14ac:dyDescent="0.25">
      <c r="A74" s="188"/>
      <c r="B74" s="221"/>
      <c r="C74" s="221"/>
      <c r="D74" s="222"/>
      <c r="E74" s="211"/>
      <c r="F74" s="214"/>
      <c r="G74" s="216"/>
      <c r="H74" s="221"/>
      <c r="I74" s="221"/>
      <c r="J74" s="222"/>
      <c r="K74" s="211"/>
      <c r="L74" s="214"/>
      <c r="M74" s="188"/>
    </row>
    <row r="75" spans="1:13" ht="18" customHeight="1" x14ac:dyDescent="0.25">
      <c r="A75" s="188"/>
      <c r="B75" s="221"/>
      <c r="C75" s="221"/>
      <c r="D75" s="222"/>
      <c r="E75" s="211"/>
      <c r="F75" s="214"/>
      <c r="G75" s="216"/>
      <c r="H75" s="221"/>
      <c r="I75" s="221"/>
      <c r="J75" s="222"/>
      <c r="K75" s="211"/>
      <c r="L75" s="214"/>
      <c r="M75" s="188"/>
    </row>
    <row r="76" spans="1:13" ht="18" customHeight="1" x14ac:dyDescent="0.25">
      <c r="A76" s="188"/>
      <c r="B76" s="221"/>
      <c r="C76" s="221"/>
      <c r="D76" s="222"/>
      <c r="E76" s="211"/>
      <c r="F76" s="214"/>
      <c r="G76" s="216"/>
      <c r="H76" s="221"/>
      <c r="I76" s="221"/>
      <c r="J76" s="222"/>
      <c r="K76" s="211"/>
      <c r="L76" s="214"/>
      <c r="M76" s="188"/>
    </row>
    <row r="77" spans="1:13" ht="18" customHeight="1" x14ac:dyDescent="0.25">
      <c r="A77" s="188"/>
      <c r="B77" s="221"/>
      <c r="C77" s="221"/>
      <c r="D77" s="222"/>
      <c r="E77" s="211"/>
      <c r="F77" s="214"/>
      <c r="G77" s="216"/>
      <c r="H77" s="221"/>
      <c r="I77" s="221"/>
      <c r="J77" s="222"/>
      <c r="K77" s="211"/>
      <c r="L77" s="214"/>
      <c r="M77" s="188"/>
    </row>
    <row r="78" spans="1:13" ht="18" customHeight="1" x14ac:dyDescent="0.25">
      <c r="A78" s="188"/>
      <c r="B78" s="221"/>
      <c r="C78" s="221"/>
      <c r="D78" s="222"/>
      <c r="E78" s="211"/>
      <c r="F78" s="214"/>
      <c r="G78" s="216"/>
      <c r="H78" s="221"/>
      <c r="I78" s="221"/>
      <c r="J78" s="222"/>
      <c r="K78" s="211"/>
      <c r="L78" s="214"/>
      <c r="M78" s="188"/>
    </row>
    <row r="79" spans="1:13" ht="18" customHeight="1" x14ac:dyDescent="0.25">
      <c r="A79" s="188"/>
      <c r="B79" s="221"/>
      <c r="C79" s="221"/>
      <c r="D79" s="222"/>
      <c r="E79" s="211"/>
      <c r="F79" s="214"/>
      <c r="G79" s="216"/>
      <c r="H79" s="221"/>
      <c r="I79" s="221"/>
      <c r="J79" s="222"/>
      <c r="K79" s="211"/>
      <c r="L79" s="214"/>
      <c r="M79" s="188"/>
    </row>
    <row r="80" spans="1:13" ht="18" customHeight="1" x14ac:dyDescent="0.25">
      <c r="A80" s="188"/>
      <c r="B80" s="221"/>
      <c r="C80" s="221"/>
      <c r="D80" s="222"/>
      <c r="E80" s="211"/>
      <c r="F80" s="214"/>
      <c r="G80" s="216"/>
      <c r="H80" s="221"/>
      <c r="I80" s="221"/>
      <c r="J80" s="222"/>
      <c r="K80" s="211"/>
      <c r="L80" s="214"/>
      <c r="M80" s="188"/>
    </row>
    <row r="81" spans="1:13" ht="18" customHeight="1" x14ac:dyDescent="0.25">
      <c r="A81" s="188"/>
      <c r="B81" s="221"/>
      <c r="C81" s="221"/>
      <c r="D81" s="222"/>
      <c r="E81" s="211"/>
      <c r="F81" s="214"/>
      <c r="G81" s="216"/>
      <c r="H81" s="221"/>
      <c r="I81" s="221"/>
      <c r="J81" s="222"/>
      <c r="K81" s="211"/>
      <c r="L81" s="214"/>
      <c r="M81" s="188"/>
    </row>
    <row r="82" spans="1:13" ht="18" customHeight="1" x14ac:dyDescent="0.25">
      <c r="A82" s="188"/>
      <c r="B82" s="221"/>
      <c r="C82" s="221"/>
      <c r="D82" s="222"/>
      <c r="E82" s="211"/>
      <c r="F82" s="214"/>
      <c r="G82" s="216"/>
      <c r="H82" s="221"/>
      <c r="I82" s="221"/>
      <c r="J82" s="222"/>
      <c r="K82" s="211"/>
      <c r="L82" s="214"/>
      <c r="M82" s="188"/>
    </row>
    <row r="83" spans="1:13" ht="18" customHeight="1" x14ac:dyDescent="0.25">
      <c r="A83" s="188"/>
      <c r="B83" s="221"/>
      <c r="C83" s="221"/>
      <c r="D83" s="222"/>
      <c r="E83" s="211"/>
      <c r="F83" s="214"/>
      <c r="G83" s="216"/>
      <c r="H83" s="221"/>
      <c r="I83" s="221"/>
      <c r="J83" s="222"/>
      <c r="K83" s="211"/>
      <c r="L83" s="214"/>
      <c r="M83" s="188"/>
    </row>
    <row r="84" spans="1:13" ht="18" customHeight="1" x14ac:dyDescent="0.25">
      <c r="A84" s="188"/>
      <c r="B84" s="221"/>
      <c r="C84" s="221"/>
      <c r="D84" s="222"/>
      <c r="E84" s="211"/>
      <c r="F84" s="214"/>
      <c r="G84" s="216"/>
      <c r="H84" s="221"/>
      <c r="I84" s="221"/>
      <c r="J84" s="222"/>
      <c r="K84" s="211"/>
      <c r="L84" s="214"/>
      <c r="M84" s="188"/>
    </row>
    <row r="85" spans="1:13" ht="18" customHeight="1" x14ac:dyDescent="0.25">
      <c r="A85" s="188"/>
      <c r="B85" s="221"/>
      <c r="C85" s="221"/>
      <c r="D85" s="222"/>
      <c r="E85" s="211"/>
      <c r="F85" s="214"/>
      <c r="G85" s="216"/>
      <c r="H85" s="221"/>
      <c r="I85" s="221"/>
      <c r="J85" s="222"/>
      <c r="K85" s="211"/>
      <c r="L85" s="214"/>
      <c r="M85" s="188"/>
    </row>
    <row r="86" spans="1:13" ht="18" customHeight="1" x14ac:dyDescent="0.25">
      <c r="A86" s="188"/>
      <c r="B86" s="221"/>
      <c r="C86" s="221"/>
      <c r="D86" s="222"/>
      <c r="E86" s="211"/>
      <c r="F86" s="214"/>
      <c r="G86" s="216"/>
      <c r="H86" s="221"/>
      <c r="I86" s="221"/>
      <c r="J86" s="222"/>
      <c r="K86" s="211"/>
      <c r="L86" s="214"/>
      <c r="M86" s="188"/>
    </row>
    <row r="87" spans="1:13" ht="18" customHeight="1" x14ac:dyDescent="0.25">
      <c r="A87" s="188"/>
      <c r="B87" s="221"/>
      <c r="C87" s="221"/>
      <c r="D87" s="222"/>
      <c r="E87" s="211"/>
      <c r="F87" s="214"/>
      <c r="G87" s="216"/>
      <c r="H87" s="221"/>
      <c r="I87" s="221"/>
      <c r="J87" s="222"/>
      <c r="K87" s="211"/>
      <c r="L87" s="214"/>
      <c r="M87" s="188"/>
    </row>
    <row r="88" spans="1:13" ht="18" customHeight="1" x14ac:dyDescent="0.25">
      <c r="A88" s="188"/>
      <c r="B88" s="221"/>
      <c r="C88" s="221"/>
      <c r="D88" s="222"/>
      <c r="E88" s="211"/>
      <c r="F88" s="214"/>
      <c r="G88" s="216"/>
      <c r="H88" s="221"/>
      <c r="I88" s="221"/>
      <c r="J88" s="222"/>
      <c r="K88" s="211"/>
      <c r="L88" s="214"/>
      <c r="M88" s="188"/>
    </row>
    <row r="89" spans="1:13" ht="18" customHeight="1" x14ac:dyDescent="0.25">
      <c r="A89" s="188"/>
      <c r="B89" s="221"/>
      <c r="C89" s="221"/>
      <c r="D89" s="222"/>
      <c r="E89" s="211"/>
      <c r="F89" s="214"/>
      <c r="G89" s="216"/>
      <c r="H89" s="221"/>
      <c r="I89" s="221"/>
      <c r="J89" s="222"/>
      <c r="K89" s="211"/>
      <c r="L89" s="214"/>
      <c r="M89" s="188"/>
    </row>
    <row r="90" spans="1:13" ht="18" customHeight="1" x14ac:dyDescent="0.25">
      <c r="A90" s="188"/>
      <c r="B90" s="221"/>
      <c r="C90" s="221"/>
      <c r="D90" s="222"/>
      <c r="E90" s="211"/>
      <c r="F90" s="214"/>
      <c r="G90" s="216"/>
      <c r="H90" s="221"/>
      <c r="I90" s="221"/>
      <c r="J90" s="222"/>
      <c r="K90" s="211"/>
      <c r="L90" s="214"/>
      <c r="M90" s="188"/>
    </row>
    <row r="91" spans="1:13" ht="18" customHeight="1" x14ac:dyDescent="0.25">
      <c r="A91" s="188"/>
      <c r="B91" s="221"/>
      <c r="C91" s="221"/>
      <c r="D91" s="222"/>
      <c r="E91" s="211"/>
      <c r="F91" s="214"/>
      <c r="G91" s="216"/>
      <c r="H91" s="221"/>
      <c r="I91" s="221"/>
      <c r="J91" s="222"/>
      <c r="K91" s="211"/>
      <c r="L91" s="214"/>
      <c r="M91" s="188"/>
    </row>
    <row r="92" spans="1:13" ht="18" customHeight="1" x14ac:dyDescent="0.25">
      <c r="A92" s="188"/>
      <c r="B92" s="221"/>
      <c r="C92" s="221"/>
      <c r="D92" s="222"/>
      <c r="E92" s="211"/>
      <c r="F92" s="214"/>
      <c r="G92" s="216"/>
      <c r="H92" s="221"/>
      <c r="I92" s="221"/>
      <c r="J92" s="222"/>
      <c r="K92" s="211"/>
      <c r="L92" s="214"/>
      <c r="M92" s="188"/>
    </row>
    <row r="93" spans="1:13" ht="18" customHeight="1" x14ac:dyDescent="0.25">
      <c r="A93" s="188"/>
      <c r="B93" s="221"/>
      <c r="C93" s="221"/>
      <c r="D93" s="222"/>
      <c r="E93" s="211"/>
      <c r="F93" s="214"/>
      <c r="G93" s="216"/>
      <c r="H93" s="221"/>
      <c r="I93" s="221"/>
      <c r="J93" s="222"/>
      <c r="K93" s="211"/>
      <c r="L93" s="214"/>
      <c r="M93" s="188"/>
    </row>
    <row r="94" spans="1:13" ht="18" customHeight="1" x14ac:dyDescent="0.25">
      <c r="A94" s="188"/>
      <c r="B94" s="221"/>
      <c r="C94" s="221"/>
      <c r="D94" s="222"/>
      <c r="E94" s="211"/>
      <c r="F94" s="214"/>
      <c r="G94" s="216"/>
      <c r="H94" s="221"/>
      <c r="I94" s="221"/>
      <c r="J94" s="222"/>
      <c r="K94" s="211"/>
      <c r="L94" s="214"/>
      <c r="M94" s="188"/>
    </row>
    <row r="95" spans="1:13" ht="18" customHeight="1" x14ac:dyDescent="0.25">
      <c r="A95" s="188"/>
      <c r="B95" s="221"/>
      <c r="C95" s="221"/>
      <c r="D95" s="222"/>
      <c r="E95" s="211"/>
      <c r="F95" s="214"/>
      <c r="G95" s="216"/>
      <c r="H95" s="221"/>
      <c r="I95" s="221"/>
      <c r="J95" s="222"/>
      <c r="K95" s="211"/>
      <c r="L95" s="214"/>
      <c r="M95" s="188"/>
    </row>
    <row r="96" spans="1:13" ht="18" customHeight="1" x14ac:dyDescent="0.25">
      <c r="A96" s="188"/>
      <c r="B96" s="221"/>
      <c r="C96" s="221"/>
      <c r="D96" s="222"/>
      <c r="E96" s="211"/>
      <c r="F96" s="214"/>
      <c r="G96" s="216"/>
      <c r="H96" s="221"/>
      <c r="I96" s="221"/>
      <c r="J96" s="222"/>
      <c r="K96" s="211"/>
      <c r="L96" s="214"/>
      <c r="M96" s="188"/>
    </row>
    <row r="97" spans="1:13" ht="18" customHeight="1" x14ac:dyDescent="0.25">
      <c r="A97" s="188"/>
      <c r="B97" s="221"/>
      <c r="C97" s="221"/>
      <c r="D97" s="222"/>
      <c r="E97" s="211"/>
      <c r="F97" s="214"/>
      <c r="G97" s="216"/>
      <c r="H97" s="221"/>
      <c r="I97" s="221"/>
      <c r="J97" s="222"/>
      <c r="K97" s="211"/>
      <c r="L97" s="214"/>
      <c r="M97" s="188"/>
    </row>
    <row r="98" spans="1:13" ht="18" customHeight="1" x14ac:dyDescent="0.25">
      <c r="A98" s="188"/>
      <c r="B98" s="221"/>
      <c r="C98" s="221"/>
      <c r="D98" s="222"/>
      <c r="E98" s="211"/>
      <c r="F98" s="214"/>
      <c r="G98" s="216"/>
      <c r="H98" s="221"/>
      <c r="I98" s="221"/>
      <c r="J98" s="222"/>
      <c r="K98" s="211"/>
      <c r="L98" s="214"/>
      <c r="M98" s="188"/>
    </row>
    <row r="99" spans="1:13" ht="18" customHeight="1" x14ac:dyDescent="0.25">
      <c r="A99" s="188"/>
      <c r="B99" s="221"/>
      <c r="C99" s="221"/>
      <c r="D99" s="222"/>
      <c r="E99" s="211"/>
      <c r="F99" s="214"/>
      <c r="G99" s="216"/>
      <c r="H99" s="221"/>
      <c r="I99" s="221"/>
      <c r="J99" s="222"/>
      <c r="K99" s="211"/>
      <c r="L99" s="214"/>
      <c r="M99" s="188"/>
    </row>
    <row r="100" spans="1:13" ht="18" customHeight="1" x14ac:dyDescent="0.25">
      <c r="A100" s="188"/>
      <c r="B100" s="221"/>
      <c r="C100" s="221"/>
      <c r="D100" s="222"/>
      <c r="E100" s="211"/>
      <c r="F100" s="214"/>
      <c r="G100" s="216"/>
      <c r="H100" s="221"/>
      <c r="I100" s="221"/>
      <c r="J100" s="222"/>
      <c r="K100" s="211"/>
      <c r="L100" s="214"/>
      <c r="M100" s="188"/>
    </row>
    <row r="101" spans="1:13" ht="18" customHeight="1" x14ac:dyDescent="0.25">
      <c r="A101" s="188"/>
      <c r="B101" s="221"/>
      <c r="C101" s="221"/>
      <c r="D101" s="222"/>
      <c r="E101" s="211"/>
      <c r="F101" s="214"/>
      <c r="G101" s="216"/>
      <c r="H101" s="221"/>
      <c r="I101" s="221"/>
      <c r="J101" s="222"/>
      <c r="K101" s="211"/>
      <c r="L101" s="214"/>
      <c r="M101" s="188"/>
    </row>
    <row r="102" spans="1:13" ht="18" customHeight="1" x14ac:dyDescent="0.25">
      <c r="A102" s="188"/>
      <c r="B102" s="221"/>
      <c r="C102" s="221"/>
      <c r="D102" s="222"/>
      <c r="E102" s="211"/>
      <c r="F102" s="214"/>
      <c r="G102" s="216"/>
      <c r="H102" s="221"/>
      <c r="I102" s="221"/>
      <c r="J102" s="222"/>
      <c r="K102" s="211"/>
      <c r="L102" s="214"/>
      <c r="M102" s="188"/>
    </row>
    <row r="103" spans="1:13" ht="18" customHeight="1" x14ac:dyDescent="0.25">
      <c r="A103" s="188"/>
      <c r="B103" s="221"/>
      <c r="C103" s="221"/>
      <c r="D103" s="222"/>
      <c r="E103" s="211"/>
      <c r="F103" s="214"/>
      <c r="G103" s="216"/>
      <c r="H103" s="221"/>
      <c r="I103" s="221"/>
      <c r="J103" s="222"/>
      <c r="K103" s="211"/>
      <c r="L103" s="214"/>
      <c r="M103" s="188"/>
    </row>
    <row r="104" spans="1:13" ht="18" customHeight="1" x14ac:dyDescent="0.25">
      <c r="A104" s="188"/>
      <c r="B104" s="221"/>
      <c r="C104" s="221"/>
      <c r="D104" s="222"/>
      <c r="E104" s="211"/>
      <c r="F104" s="214"/>
      <c r="G104" s="216"/>
      <c r="H104" s="221"/>
      <c r="I104" s="221"/>
      <c r="J104" s="222"/>
      <c r="K104" s="211"/>
      <c r="L104" s="214"/>
      <c r="M104" s="188"/>
    </row>
    <row r="105" spans="1:13" ht="18" customHeight="1" x14ac:dyDescent="0.25">
      <c r="A105" s="188"/>
      <c r="B105" s="221"/>
      <c r="C105" s="221"/>
      <c r="D105" s="222"/>
      <c r="E105" s="211"/>
      <c r="F105" s="214"/>
      <c r="G105" s="216"/>
      <c r="H105" s="221"/>
      <c r="I105" s="221"/>
      <c r="J105" s="222"/>
      <c r="K105" s="211"/>
      <c r="L105" s="214"/>
      <c r="M105" s="188"/>
    </row>
    <row r="106" spans="1:13" ht="18" customHeight="1" x14ac:dyDescent="0.25">
      <c r="A106" s="188"/>
      <c r="B106" s="221"/>
      <c r="C106" s="221"/>
      <c r="D106" s="222"/>
      <c r="E106" s="211"/>
      <c r="F106" s="214"/>
      <c r="G106" s="216"/>
      <c r="H106" s="221"/>
      <c r="I106" s="221"/>
      <c r="J106" s="222"/>
      <c r="K106" s="211"/>
      <c r="L106" s="214"/>
      <c r="M106" s="188"/>
    </row>
    <row r="107" spans="1:13" ht="18" customHeight="1" x14ac:dyDescent="0.25">
      <c r="A107" s="188"/>
      <c r="B107" s="221"/>
      <c r="C107" s="221"/>
      <c r="D107" s="222"/>
      <c r="E107" s="211"/>
      <c r="F107" s="214"/>
      <c r="G107" s="216"/>
      <c r="H107" s="221"/>
      <c r="I107" s="221"/>
      <c r="J107" s="222"/>
      <c r="K107" s="211"/>
      <c r="L107" s="214"/>
      <c r="M107" s="188"/>
    </row>
    <row r="108" spans="1:13" ht="18" customHeight="1" x14ac:dyDescent="0.25">
      <c r="A108" s="188"/>
      <c r="B108" s="221"/>
      <c r="C108" s="221"/>
      <c r="D108" s="222"/>
      <c r="E108" s="211"/>
      <c r="F108" s="214"/>
      <c r="G108" s="216"/>
      <c r="H108" s="221"/>
      <c r="I108" s="221"/>
      <c r="J108" s="222"/>
      <c r="K108" s="211"/>
      <c r="L108" s="214"/>
      <c r="M108" s="188"/>
    </row>
    <row r="109" spans="1:13" ht="18" customHeight="1" x14ac:dyDescent="0.25">
      <c r="A109" s="188"/>
      <c r="B109" s="221"/>
      <c r="C109" s="221"/>
      <c r="D109" s="222"/>
      <c r="E109" s="211"/>
      <c r="F109" s="214"/>
      <c r="G109" s="216"/>
      <c r="H109" s="221"/>
      <c r="I109" s="221"/>
      <c r="J109" s="222"/>
      <c r="K109" s="211"/>
      <c r="L109" s="214"/>
      <c r="M109" s="188"/>
    </row>
    <row r="110" spans="1:13" ht="18" customHeight="1" x14ac:dyDescent="0.25">
      <c r="A110" s="188"/>
      <c r="B110" s="221"/>
      <c r="C110" s="221"/>
      <c r="D110" s="222"/>
      <c r="E110" s="211"/>
      <c r="F110" s="214"/>
      <c r="G110" s="216"/>
      <c r="H110" s="221"/>
      <c r="I110" s="221"/>
      <c r="J110" s="222"/>
      <c r="K110" s="211"/>
      <c r="L110" s="214"/>
      <c r="M110" s="188"/>
    </row>
    <row r="111" spans="1:13" ht="18" customHeight="1" x14ac:dyDescent="0.25">
      <c r="A111" s="188"/>
      <c r="B111" s="221"/>
      <c r="C111" s="221"/>
      <c r="D111" s="222"/>
      <c r="E111" s="211"/>
      <c r="F111" s="214"/>
      <c r="G111" s="216"/>
      <c r="H111" s="221"/>
      <c r="I111" s="221"/>
      <c r="J111" s="222"/>
      <c r="K111" s="211"/>
      <c r="L111" s="214"/>
      <c r="M111" s="188"/>
    </row>
    <row r="112" spans="1:13" ht="18" customHeight="1" x14ac:dyDescent="0.25">
      <c r="A112" s="188"/>
      <c r="B112" s="221"/>
      <c r="C112" s="221"/>
      <c r="D112" s="222"/>
      <c r="E112" s="211"/>
      <c r="F112" s="214"/>
      <c r="G112" s="216"/>
      <c r="H112" s="221"/>
      <c r="I112" s="221"/>
      <c r="J112" s="222"/>
      <c r="K112" s="211"/>
      <c r="L112" s="214"/>
      <c r="M112" s="188"/>
    </row>
    <row r="113" spans="1:13" ht="18" customHeight="1" x14ac:dyDescent="0.25">
      <c r="A113" s="188"/>
      <c r="B113" s="221"/>
      <c r="C113" s="221"/>
      <c r="D113" s="222"/>
      <c r="E113" s="211"/>
      <c r="F113" s="214"/>
      <c r="G113" s="216"/>
      <c r="H113" s="221"/>
      <c r="I113" s="221"/>
      <c r="J113" s="222"/>
      <c r="K113" s="211"/>
      <c r="L113" s="214"/>
      <c r="M113" s="188"/>
    </row>
    <row r="114" spans="1:13" ht="18" customHeight="1" x14ac:dyDescent="0.25">
      <c r="A114" s="188"/>
      <c r="B114" s="221"/>
      <c r="C114" s="221"/>
      <c r="D114" s="222"/>
      <c r="E114" s="211"/>
      <c r="F114" s="214"/>
      <c r="G114" s="216"/>
      <c r="H114" s="221"/>
      <c r="I114" s="221"/>
      <c r="J114" s="222"/>
      <c r="K114" s="211"/>
      <c r="L114" s="214"/>
      <c r="M114" s="188"/>
    </row>
    <row r="115" spans="1:13" ht="18" customHeight="1" x14ac:dyDescent="0.25">
      <c r="A115" s="188"/>
      <c r="B115" s="221"/>
      <c r="C115" s="221"/>
      <c r="D115" s="222"/>
      <c r="E115" s="211"/>
      <c r="F115" s="214"/>
      <c r="G115" s="216"/>
      <c r="H115" s="221"/>
      <c r="I115" s="221"/>
      <c r="J115" s="222"/>
      <c r="K115" s="211"/>
      <c r="L115" s="214"/>
      <c r="M115" s="188"/>
    </row>
    <row r="116" spans="1:13" ht="18" customHeight="1" x14ac:dyDescent="0.25">
      <c r="A116" s="188"/>
      <c r="B116" s="221"/>
      <c r="C116" s="221"/>
      <c r="D116" s="222"/>
      <c r="E116" s="211"/>
      <c r="F116" s="214"/>
      <c r="G116" s="216"/>
      <c r="H116" s="221"/>
      <c r="I116" s="221"/>
      <c r="J116" s="222"/>
      <c r="K116" s="211"/>
      <c r="L116" s="214"/>
      <c r="M116" s="188"/>
    </row>
    <row r="117" spans="1:13" ht="18" customHeight="1" x14ac:dyDescent="0.25">
      <c r="A117" s="188"/>
      <c r="B117" s="221"/>
      <c r="C117" s="221"/>
      <c r="D117" s="222"/>
      <c r="E117" s="211"/>
      <c r="F117" s="214"/>
      <c r="G117" s="216"/>
      <c r="H117" s="221"/>
      <c r="I117" s="221"/>
      <c r="J117" s="222"/>
      <c r="K117" s="211"/>
      <c r="L117" s="214"/>
      <c r="M117" s="188"/>
    </row>
    <row r="118" spans="1:13" ht="18" customHeight="1" x14ac:dyDescent="0.25">
      <c r="A118" s="188"/>
      <c r="B118" s="221"/>
      <c r="C118" s="221"/>
      <c r="D118" s="222"/>
      <c r="E118" s="211"/>
      <c r="F118" s="214"/>
      <c r="G118" s="216"/>
      <c r="H118" s="221"/>
      <c r="I118" s="221"/>
      <c r="J118" s="222"/>
      <c r="K118" s="211"/>
      <c r="L118" s="214"/>
      <c r="M118" s="188"/>
    </row>
    <row r="119" spans="1:13" ht="18" customHeight="1" x14ac:dyDescent="0.25">
      <c r="A119" s="188"/>
      <c r="B119" s="221"/>
      <c r="C119" s="221"/>
      <c r="D119" s="222"/>
      <c r="E119" s="211"/>
      <c r="F119" s="214"/>
      <c r="G119" s="216"/>
      <c r="H119" s="221"/>
      <c r="I119" s="221"/>
      <c r="J119" s="222"/>
      <c r="K119" s="211"/>
      <c r="L119" s="214"/>
      <c r="M119" s="188"/>
    </row>
    <row r="120" spans="1:13" ht="18" customHeight="1" x14ac:dyDescent="0.25">
      <c r="A120" s="188"/>
      <c r="B120" s="221"/>
      <c r="C120" s="221"/>
      <c r="D120" s="222"/>
      <c r="E120" s="211"/>
      <c r="F120" s="214"/>
      <c r="G120" s="216"/>
      <c r="H120" s="221"/>
      <c r="I120" s="221"/>
      <c r="J120" s="222"/>
      <c r="K120" s="211"/>
      <c r="L120" s="214"/>
      <c r="M120" s="188"/>
    </row>
    <row r="121" spans="1:13" ht="18" customHeight="1" x14ac:dyDescent="0.25">
      <c r="A121" s="188"/>
      <c r="B121" s="221"/>
      <c r="C121" s="221"/>
      <c r="D121" s="222"/>
      <c r="E121" s="211"/>
      <c r="F121" s="214"/>
      <c r="G121" s="216"/>
      <c r="H121" s="221"/>
      <c r="I121" s="221"/>
      <c r="J121" s="222"/>
      <c r="K121" s="211"/>
      <c r="L121" s="214"/>
      <c r="M121" s="188"/>
    </row>
    <row r="122" spans="1:13" ht="18" customHeight="1" x14ac:dyDescent="0.25">
      <c r="A122" s="188"/>
      <c r="B122" s="221"/>
      <c r="C122" s="221"/>
      <c r="D122" s="222"/>
      <c r="E122" s="211"/>
      <c r="F122" s="214"/>
      <c r="G122" s="216"/>
      <c r="H122" s="221"/>
      <c r="I122" s="221"/>
      <c r="J122" s="222"/>
      <c r="K122" s="211"/>
      <c r="L122" s="214"/>
      <c r="M122" s="188"/>
    </row>
    <row r="123" spans="1:13" ht="18" customHeight="1" x14ac:dyDescent="0.25">
      <c r="A123" s="188"/>
      <c r="B123" s="221"/>
      <c r="C123" s="221"/>
      <c r="D123" s="222"/>
      <c r="E123" s="211"/>
      <c r="F123" s="214"/>
      <c r="G123" s="216"/>
      <c r="H123" s="221"/>
      <c r="I123" s="221"/>
      <c r="J123" s="222"/>
      <c r="K123" s="211"/>
      <c r="L123" s="214"/>
      <c r="M123" s="188"/>
    </row>
    <row r="124" spans="1:13" ht="18" customHeight="1" x14ac:dyDescent="0.25">
      <c r="A124" s="188"/>
      <c r="B124" s="221"/>
      <c r="C124" s="221"/>
      <c r="D124" s="222"/>
      <c r="E124" s="211"/>
      <c r="F124" s="214"/>
      <c r="G124" s="216"/>
      <c r="H124" s="221"/>
      <c r="I124" s="221"/>
      <c r="J124" s="222"/>
      <c r="K124" s="211"/>
      <c r="L124" s="214"/>
      <c r="M124" s="188"/>
    </row>
    <row r="125" spans="1:13" ht="18" customHeight="1" x14ac:dyDescent="0.25">
      <c r="A125" s="188"/>
      <c r="B125" s="221"/>
      <c r="C125" s="221"/>
      <c r="D125" s="222"/>
      <c r="E125" s="211"/>
      <c r="F125" s="214"/>
      <c r="G125" s="216"/>
      <c r="H125" s="221"/>
      <c r="I125" s="221"/>
      <c r="J125" s="222"/>
      <c r="K125" s="211"/>
      <c r="L125" s="214"/>
      <c r="M125" s="188"/>
    </row>
    <row r="126" spans="1:13" ht="18" customHeight="1" x14ac:dyDescent="0.25">
      <c r="A126" s="188"/>
      <c r="B126" s="221"/>
      <c r="C126" s="221"/>
      <c r="D126" s="222"/>
      <c r="E126" s="211"/>
      <c r="F126" s="214"/>
      <c r="G126" s="216"/>
      <c r="H126" s="221"/>
      <c r="I126" s="221"/>
      <c r="J126" s="222"/>
      <c r="K126" s="211"/>
      <c r="L126" s="214"/>
      <c r="M126" s="188"/>
    </row>
    <row r="127" spans="1:13" ht="18" customHeight="1" x14ac:dyDescent="0.25">
      <c r="A127" s="188"/>
      <c r="B127" s="221"/>
      <c r="C127" s="221"/>
      <c r="D127" s="222"/>
      <c r="E127" s="211"/>
      <c r="F127" s="214"/>
      <c r="G127" s="216"/>
      <c r="H127" s="221"/>
      <c r="I127" s="221"/>
      <c r="J127" s="222"/>
      <c r="K127" s="211"/>
      <c r="L127" s="214"/>
      <c r="M127" s="188"/>
    </row>
    <row r="128" spans="1:13" ht="18" customHeight="1" x14ac:dyDescent="0.25">
      <c r="A128" s="188"/>
      <c r="B128" s="221"/>
      <c r="C128" s="221"/>
      <c r="D128" s="222"/>
      <c r="E128" s="211"/>
      <c r="F128" s="214"/>
      <c r="G128" s="216"/>
      <c r="H128" s="221"/>
      <c r="I128" s="221"/>
      <c r="J128" s="222"/>
      <c r="K128" s="211"/>
      <c r="L128" s="214"/>
      <c r="M128" s="188"/>
    </row>
    <row r="129" spans="1:13" ht="18" customHeight="1" x14ac:dyDescent="0.25">
      <c r="A129" s="188"/>
      <c r="B129" s="221"/>
      <c r="C129" s="221"/>
      <c r="D129" s="222"/>
      <c r="E129" s="211"/>
      <c r="F129" s="214"/>
      <c r="G129" s="216"/>
      <c r="H129" s="221"/>
      <c r="I129" s="221"/>
      <c r="J129" s="222"/>
      <c r="K129" s="211"/>
      <c r="L129" s="214"/>
      <c r="M129" s="188"/>
    </row>
    <row r="130" spans="1:13" ht="18" customHeight="1" x14ac:dyDescent="0.25">
      <c r="A130" s="188"/>
      <c r="B130" s="221"/>
      <c r="C130" s="221"/>
      <c r="D130" s="222"/>
      <c r="E130" s="211"/>
      <c r="F130" s="214"/>
      <c r="G130" s="216"/>
      <c r="H130" s="221"/>
      <c r="I130" s="221"/>
      <c r="J130" s="222"/>
      <c r="K130" s="211"/>
      <c r="L130" s="214"/>
      <c r="M130" s="188"/>
    </row>
    <row r="131" spans="1:13" ht="18" customHeight="1" x14ac:dyDescent="0.25">
      <c r="A131" s="188"/>
      <c r="B131" s="221"/>
      <c r="C131" s="221"/>
      <c r="D131" s="222"/>
      <c r="E131" s="211"/>
      <c r="F131" s="214"/>
      <c r="G131" s="216"/>
      <c r="H131" s="221"/>
      <c r="I131" s="221"/>
      <c r="J131" s="222"/>
      <c r="K131" s="211"/>
      <c r="L131" s="214"/>
      <c r="M131" s="188"/>
    </row>
    <row r="132" spans="1:13" ht="18" customHeight="1" x14ac:dyDescent="0.25">
      <c r="A132" s="188"/>
      <c r="B132" s="221"/>
      <c r="C132" s="221"/>
      <c r="D132" s="222"/>
      <c r="E132" s="211"/>
      <c r="F132" s="214"/>
      <c r="G132" s="216"/>
      <c r="H132" s="221"/>
      <c r="I132" s="221"/>
      <c r="J132" s="222"/>
      <c r="K132" s="211"/>
      <c r="L132" s="214"/>
      <c r="M132" s="188"/>
    </row>
    <row r="133" spans="1:13" ht="18" customHeight="1" x14ac:dyDescent="0.25">
      <c r="A133" s="188"/>
      <c r="B133" s="221"/>
      <c r="C133" s="221"/>
      <c r="D133" s="222"/>
      <c r="E133" s="211"/>
      <c r="F133" s="214"/>
      <c r="G133" s="216"/>
      <c r="H133" s="221"/>
      <c r="I133" s="221"/>
      <c r="J133" s="222"/>
      <c r="K133" s="211"/>
      <c r="L133" s="214"/>
      <c r="M133" s="188"/>
    </row>
    <row r="134" spans="1:13" ht="18" customHeight="1" x14ac:dyDescent="0.25">
      <c r="A134" s="188"/>
      <c r="B134" s="221"/>
      <c r="C134" s="221"/>
      <c r="D134" s="222"/>
      <c r="E134" s="211"/>
      <c r="F134" s="214"/>
      <c r="G134" s="216"/>
      <c r="H134" s="221"/>
      <c r="I134" s="221"/>
      <c r="J134" s="222"/>
      <c r="K134" s="211"/>
      <c r="L134" s="214"/>
      <c r="M134" s="188"/>
    </row>
    <row r="135" spans="1:13" ht="18" customHeight="1" x14ac:dyDescent="0.25">
      <c r="A135" s="188"/>
      <c r="B135" s="221"/>
      <c r="C135" s="221"/>
      <c r="D135" s="222"/>
      <c r="E135" s="211"/>
      <c r="F135" s="214"/>
      <c r="G135" s="216"/>
      <c r="H135" s="221"/>
      <c r="I135" s="221"/>
      <c r="J135" s="222"/>
      <c r="K135" s="211"/>
      <c r="L135" s="214"/>
      <c r="M135" s="188"/>
    </row>
    <row r="136" spans="1:13" ht="18" customHeight="1" x14ac:dyDescent="0.25">
      <c r="A136" s="188"/>
      <c r="B136" s="221"/>
      <c r="C136" s="221"/>
      <c r="D136" s="222"/>
      <c r="E136" s="211"/>
      <c r="F136" s="214"/>
      <c r="G136" s="216"/>
      <c r="H136" s="221"/>
      <c r="I136" s="221"/>
      <c r="J136" s="222"/>
      <c r="K136" s="211"/>
      <c r="L136" s="214"/>
      <c r="M136" s="188"/>
    </row>
    <row r="137" spans="1:13" ht="18" customHeight="1" x14ac:dyDescent="0.25">
      <c r="A137" s="188"/>
      <c r="B137" s="221"/>
      <c r="C137" s="221"/>
      <c r="D137" s="222"/>
      <c r="E137" s="211"/>
      <c r="F137" s="214"/>
      <c r="G137" s="216"/>
      <c r="H137" s="221"/>
      <c r="I137" s="221"/>
      <c r="J137" s="222"/>
      <c r="K137" s="211"/>
      <c r="L137" s="214"/>
      <c r="M137" s="188"/>
    </row>
    <row r="138" spans="1:13" ht="18" customHeight="1" x14ac:dyDescent="0.25">
      <c r="A138" s="188"/>
      <c r="B138" s="221"/>
      <c r="C138" s="221"/>
      <c r="D138" s="222"/>
      <c r="E138" s="211"/>
      <c r="F138" s="214"/>
      <c r="G138" s="216"/>
      <c r="H138" s="221"/>
      <c r="I138" s="221"/>
      <c r="J138" s="222"/>
      <c r="K138" s="211"/>
      <c r="L138" s="214"/>
      <c r="M138" s="188"/>
    </row>
    <row r="139" spans="1:13" ht="18" customHeight="1" x14ac:dyDescent="0.25">
      <c r="A139" s="188"/>
      <c r="B139" s="221"/>
      <c r="C139" s="221"/>
      <c r="D139" s="222"/>
      <c r="E139" s="211"/>
      <c r="F139" s="214"/>
      <c r="G139" s="216"/>
      <c r="H139" s="221"/>
      <c r="I139" s="221"/>
      <c r="J139" s="222"/>
      <c r="K139" s="211"/>
      <c r="L139" s="214"/>
      <c r="M139" s="188"/>
    </row>
    <row r="140" spans="1:13" ht="18" customHeight="1" x14ac:dyDescent="0.25">
      <c r="A140" s="188"/>
      <c r="B140" s="221"/>
      <c r="C140" s="221"/>
      <c r="D140" s="222"/>
      <c r="E140" s="211"/>
      <c r="F140" s="214"/>
      <c r="G140" s="216"/>
      <c r="H140" s="221"/>
      <c r="I140" s="221"/>
      <c r="J140" s="222"/>
      <c r="K140" s="211"/>
      <c r="L140" s="214"/>
      <c r="M140" s="188"/>
    </row>
    <row r="141" spans="1:13" ht="18" customHeight="1" x14ac:dyDescent="0.25">
      <c r="A141" s="188"/>
      <c r="B141" s="221"/>
      <c r="C141" s="221"/>
      <c r="D141" s="222"/>
      <c r="E141" s="211"/>
      <c r="F141" s="214"/>
      <c r="G141" s="216"/>
      <c r="H141" s="221"/>
      <c r="I141" s="221"/>
      <c r="J141" s="222"/>
      <c r="K141" s="211"/>
      <c r="L141" s="214"/>
      <c r="M141" s="188"/>
    </row>
    <row r="142" spans="1:13" ht="18" customHeight="1" x14ac:dyDescent="0.25">
      <c r="A142" s="188"/>
      <c r="B142" s="221"/>
      <c r="C142" s="221"/>
      <c r="D142" s="222"/>
      <c r="E142" s="211"/>
      <c r="F142" s="214"/>
      <c r="G142" s="216"/>
      <c r="H142" s="221"/>
      <c r="I142" s="221"/>
      <c r="J142" s="222"/>
      <c r="K142" s="211"/>
      <c r="L142" s="214"/>
      <c r="M142" s="188"/>
    </row>
    <row r="143" spans="1:13" ht="18" customHeight="1" x14ac:dyDescent="0.25">
      <c r="A143" s="188"/>
      <c r="B143" s="221"/>
      <c r="C143" s="221"/>
      <c r="D143" s="222"/>
      <c r="E143" s="211"/>
      <c r="F143" s="214"/>
      <c r="G143" s="216"/>
      <c r="H143" s="221"/>
      <c r="I143" s="221"/>
      <c r="J143" s="222"/>
      <c r="K143" s="211"/>
      <c r="L143" s="214"/>
      <c r="M143" s="188"/>
    </row>
    <row r="144" spans="1:13" ht="18" customHeight="1" x14ac:dyDescent="0.25">
      <c r="A144" s="188"/>
      <c r="B144" s="221"/>
      <c r="C144" s="221"/>
      <c r="D144" s="222"/>
      <c r="E144" s="211"/>
      <c r="F144" s="214"/>
      <c r="G144" s="216"/>
      <c r="H144" s="221"/>
      <c r="I144" s="221"/>
      <c r="J144" s="222"/>
      <c r="K144" s="211"/>
      <c r="L144" s="214"/>
      <c r="M144" s="188"/>
    </row>
    <row r="145" spans="1:13" ht="18" customHeight="1" x14ac:dyDescent="0.25">
      <c r="A145" s="188"/>
      <c r="B145" s="221"/>
      <c r="C145" s="221"/>
      <c r="D145" s="222"/>
      <c r="E145" s="211"/>
      <c r="F145" s="214"/>
      <c r="G145" s="216"/>
      <c r="H145" s="221"/>
      <c r="I145" s="221"/>
      <c r="J145" s="222"/>
      <c r="K145" s="211"/>
      <c r="L145" s="214"/>
      <c r="M145" s="188"/>
    </row>
    <row r="146" spans="1:13" ht="18" customHeight="1" x14ac:dyDescent="0.25">
      <c r="A146" s="188"/>
      <c r="B146" s="221"/>
      <c r="C146" s="221"/>
      <c r="D146" s="222"/>
      <c r="E146" s="211"/>
      <c r="F146" s="214"/>
      <c r="G146" s="216"/>
      <c r="H146" s="221"/>
      <c r="I146" s="221"/>
      <c r="J146" s="222"/>
      <c r="K146" s="211"/>
      <c r="L146" s="214"/>
      <c r="M146" s="188"/>
    </row>
    <row r="147" spans="1:13" ht="18" customHeight="1" x14ac:dyDescent="0.25">
      <c r="A147" s="188"/>
      <c r="B147" s="221"/>
      <c r="C147" s="221"/>
      <c r="D147" s="222"/>
      <c r="E147" s="211"/>
      <c r="F147" s="214"/>
      <c r="G147" s="216"/>
      <c r="H147" s="221"/>
      <c r="I147" s="221"/>
      <c r="J147" s="222"/>
      <c r="K147" s="211"/>
      <c r="L147" s="214"/>
      <c r="M147" s="188"/>
    </row>
    <row r="148" spans="1:13" ht="18" customHeight="1" x14ac:dyDescent="0.25">
      <c r="A148" s="188"/>
      <c r="B148" s="221"/>
      <c r="C148" s="221"/>
      <c r="D148" s="222"/>
      <c r="E148" s="211"/>
      <c r="F148" s="214"/>
      <c r="G148" s="216"/>
      <c r="H148" s="221"/>
      <c r="I148" s="221"/>
      <c r="J148" s="222"/>
      <c r="K148" s="211"/>
      <c r="L148" s="214"/>
      <c r="M148" s="188"/>
    </row>
    <row r="149" spans="1:13" ht="18" customHeight="1" x14ac:dyDescent="0.25">
      <c r="A149" s="188"/>
      <c r="B149" s="221"/>
      <c r="C149" s="221"/>
      <c r="D149" s="222"/>
      <c r="E149" s="211"/>
      <c r="F149" s="214"/>
      <c r="G149" s="216"/>
      <c r="H149" s="221"/>
      <c r="I149" s="221"/>
      <c r="J149" s="222"/>
      <c r="K149" s="211"/>
      <c r="L149" s="214"/>
      <c r="M149" s="188"/>
    </row>
    <row r="150" spans="1:13" ht="18" customHeight="1" x14ac:dyDescent="0.25">
      <c r="A150" s="188"/>
      <c r="B150" s="221"/>
      <c r="C150" s="221"/>
      <c r="D150" s="222"/>
      <c r="E150" s="211"/>
      <c r="F150" s="214"/>
      <c r="G150" s="216"/>
      <c r="H150" s="221"/>
      <c r="I150" s="221"/>
      <c r="J150" s="222"/>
      <c r="K150" s="211"/>
      <c r="L150" s="214"/>
      <c r="M150" s="188"/>
    </row>
    <row r="151" spans="1:13" ht="18" customHeight="1" x14ac:dyDescent="0.25">
      <c r="A151" s="188"/>
      <c r="B151" s="221"/>
      <c r="C151" s="221"/>
      <c r="D151" s="222"/>
      <c r="E151" s="211"/>
      <c r="F151" s="214"/>
      <c r="G151" s="216"/>
      <c r="H151" s="221"/>
      <c r="I151" s="221"/>
      <c r="J151" s="222"/>
      <c r="K151" s="211"/>
      <c r="L151" s="214"/>
      <c r="M151" s="188"/>
    </row>
    <row r="152" spans="1:13" ht="18" customHeight="1" x14ac:dyDescent="0.25">
      <c r="A152" s="188"/>
      <c r="B152" s="221"/>
      <c r="C152" s="221"/>
      <c r="D152" s="222"/>
      <c r="E152" s="211"/>
      <c r="F152" s="214"/>
      <c r="G152" s="216"/>
      <c r="H152" s="221"/>
      <c r="I152" s="221"/>
      <c r="J152" s="222"/>
      <c r="K152" s="211"/>
      <c r="L152" s="214"/>
      <c r="M152" s="188"/>
    </row>
    <row r="153" spans="1:13" ht="18" customHeight="1" x14ac:dyDescent="0.25">
      <c r="A153" s="188"/>
      <c r="B153" s="221"/>
      <c r="C153" s="221"/>
      <c r="D153" s="222"/>
      <c r="E153" s="211"/>
      <c r="F153" s="214"/>
      <c r="G153" s="216"/>
      <c r="H153" s="221"/>
      <c r="I153" s="221"/>
      <c r="J153" s="222"/>
      <c r="K153" s="211"/>
      <c r="L153" s="214"/>
      <c r="M153" s="188"/>
    </row>
    <row r="154" spans="1:13" ht="18" customHeight="1" x14ac:dyDescent="0.25">
      <c r="A154" s="188"/>
      <c r="B154" s="221"/>
      <c r="C154" s="221"/>
      <c r="D154" s="222"/>
      <c r="E154" s="211"/>
      <c r="F154" s="214"/>
      <c r="G154" s="216"/>
      <c r="H154" s="221"/>
      <c r="I154" s="221"/>
      <c r="J154" s="222"/>
      <c r="K154" s="211"/>
      <c r="L154" s="214"/>
      <c r="M154" s="188"/>
    </row>
    <row r="155" spans="1:13" ht="18" customHeight="1" x14ac:dyDescent="0.25">
      <c r="A155" s="188"/>
      <c r="B155" s="221"/>
      <c r="C155" s="221"/>
      <c r="D155" s="222"/>
      <c r="E155" s="211"/>
      <c r="F155" s="214"/>
      <c r="G155" s="216"/>
      <c r="H155" s="221"/>
      <c r="I155" s="221"/>
      <c r="J155" s="222"/>
      <c r="K155" s="211"/>
      <c r="L155" s="214"/>
      <c r="M155" s="188"/>
    </row>
    <row r="156" spans="1:13" ht="18" customHeight="1" x14ac:dyDescent="0.25">
      <c r="A156" s="188"/>
      <c r="B156" s="221"/>
      <c r="C156" s="221"/>
      <c r="D156" s="222"/>
      <c r="E156" s="211"/>
      <c r="F156" s="214"/>
      <c r="G156" s="216"/>
      <c r="H156" s="221"/>
      <c r="I156" s="221"/>
      <c r="J156" s="222"/>
      <c r="K156" s="211"/>
      <c r="L156" s="214"/>
      <c r="M156" s="188"/>
    </row>
    <row r="157" spans="1:13" ht="18" customHeight="1" x14ac:dyDescent="0.25">
      <c r="A157" s="188"/>
      <c r="B157" s="221"/>
      <c r="C157" s="221"/>
      <c r="D157" s="222"/>
      <c r="E157" s="211"/>
      <c r="F157" s="214"/>
      <c r="G157" s="216"/>
      <c r="H157" s="221"/>
      <c r="I157" s="221"/>
      <c r="J157" s="222"/>
      <c r="K157" s="211"/>
      <c r="L157" s="214"/>
      <c r="M157" s="188"/>
    </row>
    <row r="158" spans="1:13" ht="18" customHeight="1" x14ac:dyDescent="0.25">
      <c r="A158" s="188"/>
      <c r="B158" s="221"/>
      <c r="C158" s="221"/>
      <c r="D158" s="222"/>
      <c r="E158" s="211"/>
      <c r="F158" s="214"/>
      <c r="G158" s="216"/>
      <c r="H158" s="221"/>
      <c r="I158" s="221"/>
      <c r="J158" s="222"/>
      <c r="K158" s="211"/>
      <c r="L158" s="214"/>
      <c r="M158" s="188"/>
    </row>
    <row r="159" spans="1:13" ht="18" customHeight="1" x14ac:dyDescent="0.25">
      <c r="A159" s="188"/>
      <c r="B159" s="221"/>
      <c r="C159" s="221"/>
      <c r="D159" s="222"/>
      <c r="E159" s="211"/>
      <c r="F159" s="214"/>
      <c r="G159" s="216"/>
      <c r="H159" s="221"/>
      <c r="I159" s="221"/>
      <c r="J159" s="222"/>
      <c r="K159" s="211"/>
      <c r="L159" s="214"/>
      <c r="M159" s="188"/>
    </row>
    <row r="160" spans="1:13" ht="18" customHeight="1" x14ac:dyDescent="0.25">
      <c r="A160" s="188"/>
      <c r="B160" s="221"/>
      <c r="C160" s="221"/>
      <c r="D160" s="222"/>
      <c r="E160" s="211"/>
      <c r="F160" s="214"/>
      <c r="G160" s="216"/>
      <c r="H160" s="221"/>
      <c r="I160" s="221"/>
      <c r="J160" s="222"/>
      <c r="K160" s="211"/>
      <c r="L160" s="214"/>
      <c r="M160" s="188"/>
    </row>
    <row r="161" spans="1:13" ht="18" customHeight="1" x14ac:dyDescent="0.25">
      <c r="A161" s="188"/>
      <c r="B161" s="221"/>
      <c r="C161" s="221"/>
      <c r="D161" s="222"/>
      <c r="E161" s="211"/>
      <c r="F161" s="214"/>
      <c r="G161" s="216"/>
      <c r="H161" s="221"/>
      <c r="I161" s="221"/>
      <c r="J161" s="222"/>
      <c r="K161" s="211"/>
      <c r="L161" s="214"/>
      <c r="M161" s="188"/>
    </row>
    <row r="162" spans="1:13" ht="18" customHeight="1" x14ac:dyDescent="0.25">
      <c r="A162" s="188"/>
      <c r="B162" s="221"/>
      <c r="C162" s="221"/>
      <c r="D162" s="222"/>
      <c r="E162" s="211"/>
      <c r="F162" s="214"/>
      <c r="G162" s="216"/>
      <c r="H162" s="221"/>
      <c r="I162" s="221"/>
      <c r="J162" s="222"/>
      <c r="K162" s="211"/>
      <c r="L162" s="214"/>
      <c r="M162" s="188"/>
    </row>
    <row r="163" spans="1:13" ht="18" customHeight="1" x14ac:dyDescent="0.25">
      <c r="A163" s="188"/>
      <c r="B163" s="221"/>
      <c r="C163" s="221"/>
      <c r="D163" s="222"/>
      <c r="E163" s="211"/>
      <c r="F163" s="214"/>
      <c r="G163" s="216"/>
      <c r="H163" s="221"/>
      <c r="I163" s="221"/>
      <c r="J163" s="222"/>
      <c r="K163" s="211"/>
      <c r="L163" s="214"/>
      <c r="M163" s="188"/>
    </row>
    <row r="164" spans="1:13" ht="18" customHeight="1" x14ac:dyDescent="0.25">
      <c r="A164" s="188"/>
      <c r="B164" s="221"/>
      <c r="C164" s="221"/>
      <c r="D164" s="222"/>
      <c r="E164" s="211"/>
      <c r="F164" s="214"/>
      <c r="G164" s="216"/>
      <c r="H164" s="221"/>
      <c r="I164" s="221"/>
      <c r="J164" s="222"/>
      <c r="K164" s="211"/>
      <c r="L164" s="214"/>
      <c r="M164" s="188"/>
    </row>
    <row r="165" spans="1:13" ht="18" customHeight="1" x14ac:dyDescent="0.25">
      <c r="A165" s="188"/>
      <c r="B165" s="221"/>
      <c r="C165" s="221"/>
      <c r="D165" s="222"/>
      <c r="E165" s="211"/>
      <c r="F165" s="214"/>
      <c r="G165" s="216"/>
      <c r="H165" s="221"/>
      <c r="I165" s="221"/>
      <c r="J165" s="222"/>
      <c r="K165" s="211"/>
      <c r="L165" s="214"/>
      <c r="M165" s="188"/>
    </row>
    <row r="166" spans="1:13" ht="18" customHeight="1" x14ac:dyDescent="0.25">
      <c r="A166" s="188"/>
      <c r="B166" s="221"/>
      <c r="C166" s="221"/>
      <c r="D166" s="222"/>
      <c r="E166" s="211"/>
      <c r="F166" s="214"/>
      <c r="G166" s="216"/>
      <c r="H166" s="221"/>
      <c r="I166" s="221"/>
      <c r="J166" s="222"/>
      <c r="K166" s="211"/>
      <c r="L166" s="214"/>
      <c r="M166" s="188"/>
    </row>
    <row r="167" spans="1:13" ht="18" customHeight="1" x14ac:dyDescent="0.25">
      <c r="A167" s="188"/>
      <c r="B167" s="221"/>
      <c r="C167" s="221"/>
      <c r="D167" s="222"/>
      <c r="E167" s="211"/>
      <c r="F167" s="214"/>
      <c r="G167" s="216"/>
      <c r="H167" s="221"/>
      <c r="I167" s="221"/>
      <c r="J167" s="222"/>
      <c r="K167" s="211"/>
      <c r="L167" s="214"/>
      <c r="M167" s="188"/>
    </row>
    <row r="168" spans="1:13" ht="18" customHeight="1" x14ac:dyDescent="0.25">
      <c r="A168" s="188"/>
      <c r="B168" s="221"/>
      <c r="C168" s="221"/>
      <c r="D168" s="222"/>
      <c r="E168" s="211"/>
      <c r="F168" s="214"/>
      <c r="G168" s="216"/>
      <c r="H168" s="221"/>
      <c r="I168" s="221"/>
      <c r="J168" s="222"/>
      <c r="K168" s="211"/>
      <c r="L168" s="214"/>
      <c r="M168" s="188"/>
    </row>
    <row r="169" spans="1:13" ht="18" customHeight="1" x14ac:dyDescent="0.25">
      <c r="A169" s="188"/>
      <c r="B169" s="221"/>
      <c r="C169" s="221"/>
      <c r="D169" s="222"/>
      <c r="E169" s="211"/>
      <c r="F169" s="214"/>
      <c r="G169" s="216"/>
      <c r="H169" s="221"/>
      <c r="I169" s="221"/>
      <c r="J169" s="222"/>
      <c r="K169" s="211"/>
      <c r="L169" s="214"/>
      <c r="M169" s="188"/>
    </row>
    <row r="170" spans="1:13" ht="18" customHeight="1" x14ac:dyDescent="0.25">
      <c r="A170" s="188"/>
      <c r="B170" s="221"/>
      <c r="C170" s="221"/>
      <c r="D170" s="222"/>
      <c r="E170" s="211"/>
      <c r="F170" s="214"/>
      <c r="G170" s="216"/>
      <c r="H170" s="221"/>
      <c r="I170" s="221"/>
      <c r="J170" s="222"/>
      <c r="K170" s="211"/>
      <c r="L170" s="214"/>
      <c r="M170" s="188"/>
    </row>
    <row r="171" spans="1:13" ht="18" customHeight="1" x14ac:dyDescent="0.25">
      <c r="A171" s="188"/>
      <c r="B171" s="221"/>
      <c r="C171" s="221"/>
      <c r="D171" s="222"/>
      <c r="E171" s="211"/>
      <c r="F171" s="214"/>
      <c r="G171" s="216"/>
      <c r="H171" s="221"/>
      <c r="I171" s="221"/>
      <c r="J171" s="222"/>
      <c r="K171" s="211"/>
      <c r="L171" s="214"/>
      <c r="M171" s="188"/>
    </row>
    <row r="172" spans="1:13" ht="18" customHeight="1" x14ac:dyDescent="0.25">
      <c r="A172" s="188"/>
      <c r="B172" s="221"/>
      <c r="C172" s="221"/>
      <c r="D172" s="222"/>
      <c r="E172" s="211"/>
      <c r="F172" s="214"/>
      <c r="G172" s="216"/>
      <c r="H172" s="221"/>
      <c r="I172" s="221"/>
      <c r="J172" s="222"/>
      <c r="K172" s="211"/>
      <c r="L172" s="214"/>
      <c r="M172" s="188"/>
    </row>
    <row r="173" spans="1:13" ht="18" customHeight="1" x14ac:dyDescent="0.25">
      <c r="A173" s="188"/>
      <c r="B173" s="221"/>
      <c r="C173" s="221"/>
      <c r="D173" s="222"/>
      <c r="E173" s="211"/>
      <c r="F173" s="214"/>
      <c r="G173" s="216"/>
      <c r="H173" s="221"/>
      <c r="I173" s="221"/>
      <c r="J173" s="222"/>
      <c r="K173" s="211"/>
      <c r="L173" s="214"/>
      <c r="M173" s="188"/>
    </row>
    <row r="174" spans="1:13" ht="18" customHeight="1" x14ac:dyDescent="0.25">
      <c r="A174" s="188"/>
      <c r="B174" s="221"/>
      <c r="C174" s="221"/>
      <c r="D174" s="222"/>
      <c r="E174" s="211"/>
      <c r="F174" s="214"/>
      <c r="G174" s="216"/>
      <c r="H174" s="221"/>
      <c r="I174" s="221"/>
      <c r="J174" s="222"/>
      <c r="K174" s="211"/>
      <c r="L174" s="214"/>
      <c r="M174" s="188"/>
    </row>
    <row r="175" spans="1:13" ht="18" customHeight="1" x14ac:dyDescent="0.25">
      <c r="A175" s="188"/>
      <c r="B175" s="221"/>
      <c r="C175" s="221"/>
      <c r="D175" s="222"/>
      <c r="E175" s="211"/>
      <c r="F175" s="214"/>
      <c r="G175" s="216"/>
      <c r="H175" s="221"/>
      <c r="I175" s="221"/>
      <c r="J175" s="222"/>
      <c r="K175" s="211"/>
      <c r="L175" s="214"/>
      <c r="M175" s="188"/>
    </row>
    <row r="176" spans="1:13" ht="18" customHeight="1" x14ac:dyDescent="0.25">
      <c r="A176" s="188"/>
      <c r="B176" s="221"/>
      <c r="C176" s="221"/>
      <c r="D176" s="222"/>
      <c r="E176" s="211"/>
      <c r="F176" s="214"/>
      <c r="G176" s="216"/>
      <c r="H176" s="221"/>
      <c r="I176" s="221"/>
      <c r="J176" s="222"/>
      <c r="K176" s="211"/>
      <c r="L176" s="214"/>
      <c r="M176" s="188"/>
    </row>
    <row r="177" spans="1:13" ht="18" customHeight="1" x14ac:dyDescent="0.25">
      <c r="A177" s="188"/>
      <c r="B177" s="221"/>
      <c r="C177" s="221"/>
      <c r="D177" s="222"/>
      <c r="E177" s="211"/>
      <c r="F177" s="214"/>
      <c r="G177" s="216"/>
      <c r="H177" s="221"/>
      <c r="I177" s="221"/>
      <c r="J177" s="222"/>
      <c r="K177" s="211"/>
      <c r="L177" s="214"/>
      <c r="M177" s="188"/>
    </row>
    <row r="178" spans="1:13" ht="18" customHeight="1" x14ac:dyDescent="0.25">
      <c r="A178" s="188"/>
      <c r="B178" s="221"/>
      <c r="C178" s="221"/>
      <c r="D178" s="222"/>
      <c r="E178" s="211"/>
      <c r="F178" s="214"/>
      <c r="G178" s="216"/>
      <c r="H178" s="221"/>
      <c r="I178" s="221"/>
      <c r="J178" s="222"/>
      <c r="K178" s="211"/>
      <c r="L178" s="214"/>
      <c r="M178" s="188"/>
    </row>
    <row r="179" spans="1:13" ht="18" customHeight="1" x14ac:dyDescent="0.25">
      <c r="A179" s="188"/>
      <c r="B179" s="221"/>
      <c r="C179" s="221"/>
      <c r="D179" s="222"/>
      <c r="E179" s="211"/>
      <c r="F179" s="214"/>
      <c r="G179" s="216"/>
      <c r="H179" s="221"/>
      <c r="I179" s="221"/>
      <c r="J179" s="222"/>
      <c r="K179" s="211"/>
      <c r="L179" s="214"/>
      <c r="M179" s="188"/>
    </row>
    <row r="180" spans="1:13" ht="18" customHeight="1" x14ac:dyDescent="0.25">
      <c r="A180" s="188"/>
      <c r="B180" s="221"/>
      <c r="C180" s="221"/>
      <c r="D180" s="222"/>
      <c r="E180" s="211"/>
      <c r="F180" s="214"/>
      <c r="G180" s="216"/>
      <c r="H180" s="221"/>
      <c r="I180" s="221"/>
      <c r="J180" s="222"/>
      <c r="K180" s="211"/>
      <c r="L180" s="214"/>
      <c r="M180" s="188"/>
    </row>
    <row r="181" spans="1:13" ht="18" customHeight="1" x14ac:dyDescent="0.25">
      <c r="A181" s="188"/>
      <c r="B181" s="221"/>
      <c r="C181" s="221"/>
      <c r="D181" s="222"/>
      <c r="E181" s="211"/>
      <c r="F181" s="214"/>
      <c r="G181" s="216"/>
      <c r="H181" s="221"/>
      <c r="I181" s="221"/>
      <c r="J181" s="222"/>
      <c r="K181" s="211"/>
      <c r="L181" s="214"/>
      <c r="M181" s="188"/>
    </row>
    <row r="182" spans="1:13" ht="18" customHeight="1" x14ac:dyDescent="0.25">
      <c r="A182" s="188"/>
      <c r="B182" s="221"/>
      <c r="C182" s="221"/>
      <c r="D182" s="222"/>
      <c r="E182" s="211"/>
      <c r="F182" s="214"/>
      <c r="G182" s="216"/>
      <c r="H182" s="221"/>
      <c r="I182" s="221"/>
      <c r="J182" s="222"/>
      <c r="K182" s="211"/>
      <c r="L182" s="214"/>
      <c r="M182" s="188"/>
    </row>
    <row r="183" spans="1:13" ht="18" customHeight="1" x14ac:dyDescent="0.25">
      <c r="A183" s="188"/>
      <c r="B183" s="221"/>
      <c r="C183" s="221"/>
      <c r="D183" s="222"/>
      <c r="E183" s="211"/>
      <c r="F183" s="214"/>
      <c r="G183" s="216"/>
      <c r="H183" s="221"/>
      <c r="I183" s="221"/>
      <c r="J183" s="222"/>
      <c r="K183" s="211"/>
      <c r="L183" s="214"/>
      <c r="M183" s="188"/>
    </row>
    <row r="184" spans="1:13" ht="18" customHeight="1" x14ac:dyDescent="0.25">
      <c r="A184" s="188"/>
      <c r="B184" s="221"/>
      <c r="C184" s="221"/>
      <c r="D184" s="222"/>
      <c r="E184" s="211"/>
      <c r="F184" s="214"/>
      <c r="G184" s="216"/>
      <c r="H184" s="221"/>
      <c r="I184" s="221"/>
      <c r="J184" s="222"/>
      <c r="K184" s="211"/>
      <c r="L184" s="214"/>
      <c r="M184" s="188"/>
    </row>
    <row r="185" spans="1:13" ht="18" customHeight="1" x14ac:dyDescent="0.25">
      <c r="A185" s="188"/>
      <c r="B185" s="221"/>
      <c r="C185" s="221"/>
      <c r="D185" s="222"/>
      <c r="E185" s="211"/>
      <c r="F185" s="214"/>
      <c r="G185" s="216"/>
      <c r="H185" s="221"/>
      <c r="I185" s="221"/>
      <c r="J185" s="222"/>
      <c r="K185" s="211"/>
      <c r="L185" s="214"/>
      <c r="M185" s="188"/>
    </row>
    <row r="186" spans="1:13" ht="18" customHeight="1" x14ac:dyDescent="0.25">
      <c r="A186" s="188"/>
      <c r="B186" s="221"/>
      <c r="C186" s="221"/>
      <c r="D186" s="222"/>
      <c r="E186" s="211"/>
      <c r="F186" s="214"/>
      <c r="G186" s="216"/>
      <c r="H186" s="221"/>
      <c r="I186" s="221"/>
      <c r="J186" s="222"/>
      <c r="K186" s="211"/>
      <c r="L186" s="214"/>
      <c r="M186" s="188"/>
    </row>
    <row r="187" spans="1:13" ht="18" customHeight="1" x14ac:dyDescent="0.25">
      <c r="A187" s="188"/>
      <c r="B187" s="221"/>
      <c r="C187" s="221"/>
      <c r="D187" s="222"/>
      <c r="E187" s="211"/>
      <c r="F187" s="214"/>
      <c r="G187" s="216"/>
      <c r="H187" s="221"/>
      <c r="I187" s="221"/>
      <c r="J187" s="222"/>
      <c r="K187" s="211"/>
      <c r="L187" s="214"/>
      <c r="M187" s="188"/>
    </row>
    <row r="188" spans="1:13" ht="18" customHeight="1" x14ac:dyDescent="0.25">
      <c r="A188" s="188"/>
      <c r="B188" s="221"/>
      <c r="C188" s="221"/>
      <c r="D188" s="222"/>
      <c r="E188" s="211"/>
      <c r="F188" s="214"/>
      <c r="G188" s="216"/>
      <c r="H188" s="221"/>
      <c r="I188" s="221"/>
      <c r="J188" s="222"/>
      <c r="K188" s="211"/>
      <c r="L188" s="214"/>
      <c r="M188" s="188"/>
    </row>
    <row r="189" spans="1:13" ht="18" customHeight="1" x14ac:dyDescent="0.25">
      <c r="A189" s="188"/>
      <c r="B189" s="221"/>
      <c r="C189" s="221"/>
      <c r="D189" s="222"/>
      <c r="E189" s="211"/>
      <c r="F189" s="214"/>
      <c r="G189" s="216"/>
      <c r="H189" s="221"/>
      <c r="I189" s="221"/>
      <c r="J189" s="222"/>
      <c r="K189" s="211"/>
      <c r="L189" s="214"/>
      <c r="M189" s="188"/>
    </row>
    <row r="190" spans="1:13" ht="18" customHeight="1" x14ac:dyDescent="0.25">
      <c r="A190" s="188"/>
      <c r="B190" s="221"/>
      <c r="C190" s="221"/>
      <c r="D190" s="222"/>
      <c r="E190" s="211"/>
      <c r="F190" s="214"/>
      <c r="G190" s="216"/>
      <c r="H190" s="221"/>
      <c r="I190" s="221"/>
      <c r="J190" s="222"/>
      <c r="K190" s="211"/>
      <c r="L190" s="214"/>
      <c r="M190" s="188"/>
    </row>
    <row r="191" spans="1:13" ht="18" customHeight="1" x14ac:dyDescent="0.25">
      <c r="A191" s="188"/>
      <c r="B191" s="221"/>
      <c r="C191" s="221"/>
      <c r="D191" s="222"/>
      <c r="E191" s="211"/>
      <c r="F191" s="214"/>
      <c r="G191" s="216"/>
      <c r="H191" s="221"/>
      <c r="I191" s="221"/>
      <c r="J191" s="222"/>
      <c r="K191" s="211"/>
      <c r="L191" s="214"/>
      <c r="M191" s="188"/>
    </row>
    <row r="192" spans="1:13" ht="18" customHeight="1" x14ac:dyDescent="0.25">
      <c r="A192" s="188"/>
      <c r="B192" s="221"/>
      <c r="C192" s="221"/>
      <c r="D192" s="222"/>
      <c r="E192" s="211"/>
      <c r="F192" s="214"/>
      <c r="G192" s="216"/>
      <c r="H192" s="221"/>
      <c r="I192" s="221"/>
      <c r="J192" s="222"/>
      <c r="K192" s="211"/>
      <c r="L192" s="214"/>
      <c r="M192" s="188"/>
    </row>
    <row r="193" spans="1:13" ht="18" customHeight="1" x14ac:dyDescent="0.25">
      <c r="A193" s="188"/>
      <c r="B193" s="221"/>
      <c r="C193" s="221"/>
      <c r="D193" s="222"/>
      <c r="E193" s="211"/>
      <c r="F193" s="214"/>
      <c r="G193" s="216"/>
      <c r="H193" s="221"/>
      <c r="I193" s="221"/>
      <c r="J193" s="222"/>
      <c r="K193" s="211"/>
      <c r="L193" s="214"/>
      <c r="M193" s="188"/>
    </row>
    <row r="194" spans="1:13" ht="18" customHeight="1" x14ac:dyDescent="0.25">
      <c r="A194" s="188"/>
      <c r="B194" s="221"/>
      <c r="C194" s="221"/>
      <c r="D194" s="222"/>
      <c r="E194" s="211"/>
      <c r="F194" s="214"/>
      <c r="G194" s="216"/>
      <c r="H194" s="221"/>
      <c r="I194" s="221"/>
      <c r="J194" s="222"/>
      <c r="K194" s="211"/>
      <c r="L194" s="214"/>
      <c r="M194" s="188"/>
    </row>
    <row r="195" spans="1:13" ht="18" customHeight="1" x14ac:dyDescent="0.25">
      <c r="A195" s="188"/>
      <c r="B195" s="221"/>
      <c r="C195" s="221"/>
      <c r="D195" s="222"/>
      <c r="E195" s="211"/>
      <c r="F195" s="214"/>
      <c r="G195" s="216"/>
      <c r="H195" s="221"/>
      <c r="I195" s="221"/>
      <c r="J195" s="222"/>
      <c r="K195" s="211"/>
      <c r="L195" s="214"/>
      <c r="M195" s="188"/>
    </row>
    <row r="196" spans="1:13" ht="18" customHeight="1" x14ac:dyDescent="0.25">
      <c r="A196" s="188"/>
      <c r="B196" s="221"/>
      <c r="C196" s="221"/>
      <c r="D196" s="222"/>
      <c r="E196" s="211"/>
      <c r="F196" s="214"/>
      <c r="G196" s="216"/>
      <c r="H196" s="221"/>
      <c r="I196" s="221"/>
      <c r="J196" s="222"/>
      <c r="K196" s="211"/>
      <c r="L196" s="214"/>
      <c r="M196" s="188"/>
    </row>
    <row r="197" spans="1:13" ht="18" customHeight="1" x14ac:dyDescent="0.25">
      <c r="A197" s="188"/>
      <c r="B197" s="221"/>
      <c r="C197" s="221"/>
      <c r="D197" s="222"/>
      <c r="E197" s="211"/>
      <c r="F197" s="214"/>
      <c r="G197" s="216"/>
      <c r="H197" s="221"/>
      <c r="I197" s="221"/>
      <c r="J197" s="222"/>
      <c r="K197" s="211"/>
      <c r="L197" s="214"/>
      <c r="M197" s="188"/>
    </row>
    <row r="198" spans="1:13" ht="18" customHeight="1" x14ac:dyDescent="0.25">
      <c r="A198" s="188"/>
      <c r="B198" s="221"/>
      <c r="C198" s="221"/>
      <c r="D198" s="222"/>
      <c r="E198" s="211"/>
      <c r="F198" s="214"/>
      <c r="G198" s="216"/>
      <c r="H198" s="221"/>
      <c r="I198" s="221"/>
      <c r="J198" s="222"/>
      <c r="K198" s="211"/>
      <c r="L198" s="214"/>
      <c r="M198" s="188"/>
    </row>
    <row r="199" spans="1:13" ht="18" customHeight="1" x14ac:dyDescent="0.25">
      <c r="A199" s="188"/>
      <c r="B199" s="221"/>
      <c r="C199" s="221"/>
      <c r="D199" s="222"/>
      <c r="E199" s="211"/>
      <c r="F199" s="214"/>
      <c r="G199" s="216"/>
      <c r="H199" s="221"/>
      <c r="I199" s="221"/>
      <c r="J199" s="222"/>
      <c r="K199" s="211"/>
      <c r="L199" s="214"/>
      <c r="M199" s="188"/>
    </row>
    <row r="200" spans="1:13" ht="18" customHeight="1" x14ac:dyDescent="0.25">
      <c r="A200" s="188"/>
      <c r="B200" s="221"/>
      <c r="C200" s="221"/>
      <c r="D200" s="222"/>
      <c r="E200" s="211"/>
      <c r="F200" s="214"/>
      <c r="G200" s="216"/>
      <c r="H200" s="221"/>
      <c r="I200" s="221"/>
      <c r="J200" s="222"/>
      <c r="K200" s="211"/>
      <c r="L200" s="214"/>
      <c r="M200" s="188"/>
    </row>
    <row r="201" spans="1:13" ht="18" customHeight="1" x14ac:dyDescent="0.25">
      <c r="A201" s="188"/>
      <c r="B201" s="221"/>
      <c r="C201" s="221"/>
      <c r="D201" s="222"/>
      <c r="E201" s="211"/>
      <c r="F201" s="214"/>
      <c r="G201" s="216"/>
      <c r="H201" s="221"/>
      <c r="I201" s="221"/>
      <c r="J201" s="222"/>
      <c r="K201" s="211"/>
      <c r="L201" s="214"/>
      <c r="M201" s="188"/>
    </row>
    <row r="202" spans="1:13" ht="18" customHeight="1" x14ac:dyDescent="0.25">
      <c r="A202" s="188"/>
      <c r="B202" s="221"/>
      <c r="C202" s="221"/>
      <c r="D202" s="222"/>
      <c r="E202" s="211"/>
      <c r="F202" s="214"/>
      <c r="G202" s="216"/>
      <c r="H202" s="221"/>
      <c r="I202" s="221"/>
      <c r="J202" s="222"/>
      <c r="K202" s="211"/>
      <c r="L202" s="214"/>
      <c r="M202" s="188"/>
    </row>
    <row r="203" spans="1:13" ht="18" customHeight="1" x14ac:dyDescent="0.25">
      <c r="A203" s="188"/>
      <c r="B203" s="221"/>
      <c r="C203" s="221"/>
      <c r="D203" s="222"/>
      <c r="E203" s="211"/>
      <c r="F203" s="214"/>
      <c r="G203" s="216"/>
      <c r="H203" s="221"/>
      <c r="I203" s="221"/>
      <c r="J203" s="222"/>
      <c r="K203" s="211"/>
      <c r="L203" s="214"/>
      <c r="M203" s="188"/>
    </row>
    <row r="204" spans="1:13" ht="18" customHeight="1" x14ac:dyDescent="0.25">
      <c r="A204" s="188"/>
      <c r="B204" s="221"/>
      <c r="C204" s="221"/>
      <c r="D204" s="222"/>
      <c r="E204" s="211"/>
      <c r="F204" s="214"/>
      <c r="G204" s="216"/>
      <c r="H204" s="221"/>
      <c r="I204" s="221"/>
      <c r="J204" s="222"/>
      <c r="K204" s="211"/>
      <c r="L204" s="214"/>
      <c r="M204" s="188"/>
    </row>
    <row r="205" spans="1:13" ht="18" customHeight="1" x14ac:dyDescent="0.25">
      <c r="A205" s="188"/>
      <c r="B205" s="221"/>
      <c r="C205" s="221"/>
      <c r="D205" s="222"/>
      <c r="E205" s="211"/>
      <c r="F205" s="214"/>
      <c r="G205" s="216"/>
      <c r="H205" s="221"/>
      <c r="I205" s="221"/>
      <c r="J205" s="222"/>
      <c r="K205" s="211"/>
      <c r="L205" s="214"/>
      <c r="M205" s="188"/>
    </row>
    <row r="206" spans="1:13" ht="18" customHeight="1" x14ac:dyDescent="0.25">
      <c r="A206" s="188"/>
      <c r="B206" s="221"/>
      <c r="C206" s="221"/>
      <c r="D206" s="222"/>
      <c r="E206" s="211"/>
      <c r="F206" s="214"/>
      <c r="G206" s="216"/>
      <c r="H206" s="221"/>
      <c r="I206" s="221"/>
      <c r="J206" s="222"/>
      <c r="K206" s="211"/>
      <c r="L206" s="214"/>
      <c r="M206" s="188"/>
    </row>
    <row r="207" spans="1:13" ht="18" customHeight="1" x14ac:dyDescent="0.25">
      <c r="A207" s="188"/>
      <c r="B207" s="221"/>
      <c r="C207" s="221"/>
      <c r="D207" s="222"/>
      <c r="E207" s="211"/>
      <c r="F207" s="214"/>
      <c r="G207" s="216"/>
      <c r="H207" s="221"/>
      <c r="I207" s="221"/>
      <c r="J207" s="222"/>
      <c r="K207" s="211"/>
      <c r="L207" s="214"/>
      <c r="M207" s="188"/>
    </row>
    <row r="208" spans="1:13" ht="18" customHeight="1" x14ac:dyDescent="0.25">
      <c r="A208" s="188"/>
      <c r="B208" s="221"/>
      <c r="C208" s="221"/>
      <c r="D208" s="222"/>
      <c r="E208" s="211"/>
      <c r="F208" s="214"/>
      <c r="G208" s="216"/>
      <c r="H208" s="221"/>
      <c r="I208" s="221"/>
      <c r="J208" s="222"/>
      <c r="K208" s="211"/>
      <c r="L208" s="214"/>
      <c r="M208" s="188"/>
    </row>
    <row r="209" spans="1:13" ht="18" customHeight="1" x14ac:dyDescent="0.25">
      <c r="A209" s="188"/>
      <c r="B209" s="221"/>
      <c r="C209" s="221"/>
      <c r="D209" s="222"/>
      <c r="E209" s="211"/>
      <c r="F209" s="214"/>
      <c r="G209" s="216"/>
      <c r="H209" s="221"/>
      <c r="I209" s="221"/>
      <c r="J209" s="222"/>
      <c r="K209" s="211"/>
      <c r="L209" s="214"/>
      <c r="M209" s="188"/>
    </row>
    <row r="210" spans="1:13" ht="18" customHeight="1" x14ac:dyDescent="0.25">
      <c r="A210" s="188"/>
      <c r="B210" s="221"/>
      <c r="C210" s="221"/>
      <c r="D210" s="222"/>
      <c r="E210" s="211"/>
      <c r="F210" s="214"/>
      <c r="G210" s="216"/>
      <c r="H210" s="221"/>
      <c r="I210" s="221"/>
      <c r="J210" s="222"/>
      <c r="K210" s="211"/>
      <c r="L210" s="214"/>
      <c r="M210" s="188"/>
    </row>
    <row r="211" spans="1:13" ht="18" customHeight="1" x14ac:dyDescent="0.25">
      <c r="A211" s="188"/>
      <c r="B211" s="221"/>
      <c r="C211" s="221"/>
      <c r="D211" s="222"/>
      <c r="E211" s="211"/>
      <c r="F211" s="214"/>
      <c r="G211" s="216"/>
      <c r="H211" s="221"/>
      <c r="I211" s="221"/>
      <c r="J211" s="222"/>
      <c r="K211" s="211"/>
      <c r="L211" s="214"/>
      <c r="M211" s="188"/>
    </row>
    <row r="212" spans="1:13" ht="18" customHeight="1" x14ac:dyDescent="0.25">
      <c r="A212" s="188"/>
      <c r="B212" s="221"/>
      <c r="C212" s="221"/>
      <c r="D212" s="222"/>
      <c r="E212" s="211"/>
      <c r="F212" s="214"/>
      <c r="G212" s="216"/>
      <c r="H212" s="221"/>
      <c r="I212" s="221"/>
      <c r="J212" s="222"/>
      <c r="K212" s="211"/>
      <c r="L212" s="214"/>
      <c r="M212" s="188"/>
    </row>
    <row r="213" spans="1:13" ht="18" customHeight="1" x14ac:dyDescent="0.25">
      <c r="A213" s="188"/>
      <c r="B213" s="221"/>
      <c r="C213" s="221"/>
      <c r="D213" s="222"/>
      <c r="E213" s="211"/>
      <c r="F213" s="214"/>
      <c r="G213" s="216"/>
      <c r="H213" s="221"/>
      <c r="I213" s="221"/>
      <c r="J213" s="222"/>
      <c r="K213" s="211"/>
      <c r="L213" s="214"/>
      <c r="M213" s="188"/>
    </row>
    <row r="214" spans="1:13" ht="18" customHeight="1" x14ac:dyDescent="0.25">
      <c r="A214" s="188"/>
      <c r="B214" s="221"/>
      <c r="C214" s="221"/>
      <c r="D214" s="222"/>
      <c r="E214" s="211"/>
      <c r="F214" s="214"/>
      <c r="G214" s="216"/>
      <c r="H214" s="221"/>
      <c r="I214" s="221"/>
      <c r="J214" s="222"/>
      <c r="K214" s="211"/>
      <c r="L214" s="214"/>
      <c r="M214" s="188"/>
    </row>
    <row r="215" spans="1:13" ht="18" customHeight="1" x14ac:dyDescent="0.25">
      <c r="A215" s="188"/>
      <c r="B215" s="221"/>
      <c r="C215" s="221"/>
      <c r="D215" s="222"/>
      <c r="E215" s="211"/>
      <c r="F215" s="214"/>
      <c r="G215" s="216"/>
      <c r="H215" s="221"/>
      <c r="I215" s="221"/>
      <c r="J215" s="222"/>
      <c r="K215" s="211"/>
      <c r="L215" s="214"/>
      <c r="M215" s="188"/>
    </row>
    <row r="216" spans="1:13" ht="18" customHeight="1" x14ac:dyDescent="0.25">
      <c r="A216" s="188"/>
      <c r="B216" s="221"/>
      <c r="C216" s="221"/>
      <c r="D216" s="222"/>
      <c r="E216" s="211"/>
      <c r="F216" s="214"/>
      <c r="G216" s="216"/>
      <c r="H216" s="221"/>
      <c r="I216" s="221"/>
      <c r="J216" s="222"/>
      <c r="K216" s="211"/>
      <c r="L216" s="214"/>
      <c r="M216" s="188"/>
    </row>
    <row r="217" spans="1:13" ht="18" customHeight="1" x14ac:dyDescent="0.25">
      <c r="A217" s="188"/>
      <c r="B217" s="221"/>
      <c r="C217" s="221"/>
      <c r="D217" s="222"/>
      <c r="E217" s="211"/>
      <c r="F217" s="214"/>
      <c r="G217" s="216"/>
      <c r="H217" s="221"/>
      <c r="I217" s="221"/>
      <c r="J217" s="222"/>
      <c r="K217" s="211"/>
      <c r="L217" s="214"/>
      <c r="M217" s="188"/>
    </row>
    <row r="218" spans="1:13" ht="18" customHeight="1" x14ac:dyDescent="0.25">
      <c r="A218" s="188"/>
      <c r="B218" s="221"/>
      <c r="C218" s="221"/>
      <c r="D218" s="222"/>
      <c r="E218" s="211"/>
      <c r="F218" s="214"/>
      <c r="G218" s="216"/>
      <c r="H218" s="221"/>
      <c r="I218" s="221"/>
      <c r="J218" s="222"/>
      <c r="K218" s="211"/>
      <c r="L218" s="214"/>
      <c r="M218" s="188"/>
    </row>
    <row r="219" spans="1:13" ht="18" customHeight="1" x14ac:dyDescent="0.25">
      <c r="A219" s="188"/>
      <c r="B219" s="221"/>
      <c r="C219" s="221"/>
      <c r="D219" s="222"/>
      <c r="E219" s="211"/>
      <c r="F219" s="214"/>
      <c r="G219" s="216"/>
      <c r="H219" s="221"/>
      <c r="I219" s="221"/>
      <c r="J219" s="222"/>
      <c r="K219" s="211"/>
      <c r="L219" s="214"/>
      <c r="M219" s="188"/>
    </row>
    <row r="220" spans="1:13" ht="18" customHeight="1" x14ac:dyDescent="0.25">
      <c r="A220" s="188"/>
      <c r="B220" s="221"/>
      <c r="C220" s="221"/>
      <c r="D220" s="222"/>
      <c r="E220" s="211"/>
      <c r="F220" s="214"/>
      <c r="G220" s="216"/>
      <c r="H220" s="221"/>
      <c r="I220" s="221"/>
      <c r="J220" s="222"/>
      <c r="K220" s="211"/>
      <c r="L220" s="214"/>
      <c r="M220" s="188"/>
    </row>
    <row r="221" spans="1:13" ht="18" customHeight="1" x14ac:dyDescent="0.25">
      <c r="A221" s="188"/>
      <c r="B221" s="221"/>
      <c r="C221" s="221"/>
      <c r="D221" s="222"/>
      <c r="E221" s="211"/>
      <c r="F221" s="214"/>
      <c r="G221" s="216"/>
      <c r="H221" s="221"/>
      <c r="I221" s="221"/>
      <c r="J221" s="222"/>
      <c r="K221" s="211"/>
      <c r="L221" s="214"/>
      <c r="M221" s="188"/>
    </row>
    <row r="222" spans="1:13" ht="18" customHeight="1" x14ac:dyDescent="0.25">
      <c r="A222" s="188"/>
      <c r="B222" s="221"/>
      <c r="C222" s="221"/>
      <c r="D222" s="222"/>
      <c r="E222" s="211"/>
      <c r="F222" s="214"/>
      <c r="G222" s="216"/>
      <c r="H222" s="221"/>
      <c r="I222" s="221"/>
      <c r="J222" s="222"/>
      <c r="K222" s="211"/>
      <c r="L222" s="214"/>
      <c r="M222" s="188"/>
    </row>
    <row r="223" spans="1:13" ht="18" customHeight="1" x14ac:dyDescent="0.25">
      <c r="A223" s="188"/>
      <c r="B223" s="221"/>
      <c r="C223" s="221"/>
      <c r="D223" s="222"/>
      <c r="E223" s="211"/>
      <c r="F223" s="214"/>
      <c r="G223" s="216"/>
      <c r="H223" s="221"/>
      <c r="I223" s="221"/>
      <c r="J223" s="222"/>
      <c r="K223" s="211"/>
      <c r="L223" s="214"/>
      <c r="M223" s="188"/>
    </row>
    <row r="224" spans="1:13" ht="18" customHeight="1" x14ac:dyDescent="0.25">
      <c r="A224" s="188"/>
      <c r="B224" s="221"/>
      <c r="C224" s="221"/>
      <c r="D224" s="222"/>
      <c r="E224" s="211"/>
      <c r="F224" s="214"/>
      <c r="G224" s="216"/>
      <c r="H224" s="221"/>
      <c r="I224" s="221"/>
      <c r="J224" s="222"/>
      <c r="K224" s="211"/>
      <c r="L224" s="214"/>
      <c r="M224" s="188"/>
    </row>
    <row r="225" spans="1:13" ht="18" customHeight="1" x14ac:dyDescent="0.25">
      <c r="A225" s="188"/>
      <c r="B225" s="221"/>
      <c r="C225" s="221"/>
      <c r="D225" s="222"/>
      <c r="E225" s="211"/>
      <c r="F225" s="214"/>
      <c r="G225" s="216"/>
      <c r="H225" s="221"/>
      <c r="I225" s="221"/>
      <c r="J225" s="222"/>
      <c r="K225" s="211"/>
      <c r="L225" s="214"/>
      <c r="M225" s="188"/>
    </row>
    <row r="226" spans="1:13" ht="18" customHeight="1" x14ac:dyDescent="0.25">
      <c r="A226" s="188"/>
      <c r="B226" s="221"/>
      <c r="C226" s="221"/>
      <c r="D226" s="222"/>
      <c r="E226" s="211"/>
      <c r="F226" s="214"/>
      <c r="G226" s="216"/>
      <c r="H226" s="221"/>
      <c r="I226" s="221"/>
      <c r="J226" s="222"/>
      <c r="K226" s="211"/>
      <c r="L226" s="214"/>
      <c r="M226" s="188"/>
    </row>
    <row r="227" spans="1:13" ht="18" customHeight="1" x14ac:dyDescent="0.25">
      <c r="A227" s="188"/>
      <c r="B227" s="221"/>
      <c r="C227" s="221"/>
      <c r="D227" s="222"/>
      <c r="E227" s="211"/>
      <c r="F227" s="214"/>
      <c r="G227" s="216"/>
      <c r="H227" s="221"/>
      <c r="I227" s="221"/>
      <c r="J227" s="222"/>
      <c r="K227" s="211"/>
      <c r="L227" s="214"/>
      <c r="M227" s="188"/>
    </row>
    <row r="228" spans="1:13" ht="18" customHeight="1" x14ac:dyDescent="0.25">
      <c r="A228" s="188"/>
      <c r="B228" s="221"/>
      <c r="C228" s="221"/>
      <c r="D228" s="222"/>
      <c r="E228" s="211"/>
      <c r="F228" s="214"/>
      <c r="G228" s="216"/>
      <c r="H228" s="221"/>
      <c r="I228" s="221"/>
      <c r="J228" s="222"/>
      <c r="K228" s="211"/>
      <c r="L228" s="214"/>
      <c r="M228" s="188"/>
    </row>
    <row r="229" spans="1:13" ht="18" customHeight="1" x14ac:dyDescent="0.25">
      <c r="A229" s="188"/>
      <c r="B229" s="221"/>
      <c r="C229" s="221"/>
      <c r="D229" s="222"/>
      <c r="E229" s="211"/>
      <c r="F229" s="214"/>
      <c r="G229" s="216"/>
      <c r="H229" s="221"/>
      <c r="I229" s="221"/>
      <c r="J229" s="222"/>
      <c r="K229" s="211"/>
      <c r="L229" s="214"/>
      <c r="M229" s="188"/>
    </row>
    <row r="230" spans="1:13" ht="18" customHeight="1" x14ac:dyDescent="0.25">
      <c r="A230" s="188"/>
      <c r="B230" s="221"/>
      <c r="C230" s="221"/>
      <c r="D230" s="222"/>
      <c r="E230" s="211"/>
      <c r="F230" s="214"/>
      <c r="G230" s="216"/>
      <c r="H230" s="221"/>
      <c r="I230" s="221"/>
      <c r="J230" s="222"/>
      <c r="K230" s="211"/>
      <c r="L230" s="214"/>
      <c r="M230" s="188"/>
    </row>
    <row r="231" spans="1:13" ht="18" customHeight="1" x14ac:dyDescent="0.25">
      <c r="A231" s="188"/>
      <c r="B231" s="221"/>
      <c r="C231" s="221"/>
      <c r="D231" s="222"/>
      <c r="E231" s="211"/>
      <c r="F231" s="214"/>
      <c r="G231" s="216"/>
      <c r="H231" s="221"/>
      <c r="I231" s="221"/>
      <c r="J231" s="222"/>
      <c r="K231" s="211"/>
      <c r="L231" s="214"/>
      <c r="M231" s="188"/>
    </row>
    <row r="232" spans="1:13" ht="18" customHeight="1" x14ac:dyDescent="0.25">
      <c r="A232" s="188"/>
      <c r="B232" s="221"/>
      <c r="C232" s="221"/>
      <c r="D232" s="222"/>
      <c r="E232" s="211"/>
      <c r="F232" s="214"/>
      <c r="G232" s="216"/>
      <c r="H232" s="221"/>
      <c r="I232" s="221"/>
      <c r="J232" s="222"/>
      <c r="K232" s="211"/>
      <c r="L232" s="214"/>
      <c r="M232" s="188"/>
    </row>
    <row r="233" spans="1:13" ht="18" customHeight="1" x14ac:dyDescent="0.25">
      <c r="A233" s="188"/>
      <c r="B233" s="221"/>
      <c r="C233" s="221"/>
      <c r="D233" s="222"/>
      <c r="E233" s="211"/>
      <c r="F233" s="214"/>
      <c r="G233" s="216"/>
      <c r="H233" s="221"/>
      <c r="I233" s="221"/>
      <c r="J233" s="222"/>
      <c r="K233" s="211"/>
      <c r="L233" s="214"/>
      <c r="M233" s="188"/>
    </row>
    <row r="234" spans="1:13" ht="18" customHeight="1" x14ac:dyDescent="0.25">
      <c r="A234" s="188"/>
      <c r="B234" s="221"/>
      <c r="C234" s="221"/>
      <c r="D234" s="222"/>
      <c r="E234" s="211"/>
      <c r="F234" s="214"/>
      <c r="G234" s="216"/>
      <c r="H234" s="221"/>
      <c r="I234" s="221"/>
      <c r="J234" s="222"/>
      <c r="K234" s="211"/>
      <c r="L234" s="214"/>
      <c r="M234" s="188"/>
    </row>
    <row r="235" spans="1:13" ht="18" customHeight="1" x14ac:dyDescent="0.25">
      <c r="A235" s="188"/>
      <c r="B235" s="221"/>
      <c r="C235" s="221"/>
      <c r="D235" s="222"/>
      <c r="E235" s="211"/>
      <c r="F235" s="214"/>
      <c r="G235" s="216"/>
      <c r="H235" s="221"/>
      <c r="I235" s="221"/>
      <c r="J235" s="222"/>
      <c r="K235" s="211"/>
      <c r="L235" s="214"/>
      <c r="M235" s="188"/>
    </row>
    <row r="236" spans="1:13" ht="18" customHeight="1" x14ac:dyDescent="0.25">
      <c r="A236" s="188"/>
      <c r="B236" s="221"/>
      <c r="C236" s="221"/>
      <c r="D236" s="222"/>
      <c r="E236" s="211"/>
      <c r="F236" s="214"/>
      <c r="G236" s="216"/>
      <c r="H236" s="221"/>
      <c r="I236" s="221"/>
      <c r="J236" s="222"/>
      <c r="K236" s="211"/>
      <c r="L236" s="214"/>
      <c r="M236" s="188"/>
    </row>
    <row r="237" spans="1:13" ht="18" customHeight="1" x14ac:dyDescent="0.25">
      <c r="A237" s="188"/>
      <c r="B237" s="221"/>
      <c r="C237" s="221"/>
      <c r="D237" s="222"/>
      <c r="E237" s="211"/>
      <c r="F237" s="214"/>
      <c r="G237" s="216"/>
      <c r="H237" s="221"/>
      <c r="I237" s="221"/>
      <c r="J237" s="222"/>
      <c r="K237" s="211"/>
      <c r="L237" s="214"/>
      <c r="M237" s="188"/>
    </row>
    <row r="238" spans="1:13" ht="18" customHeight="1" x14ac:dyDescent="0.25">
      <c r="A238" s="188"/>
      <c r="B238" s="221"/>
      <c r="C238" s="221"/>
      <c r="D238" s="222"/>
      <c r="E238" s="211"/>
      <c r="F238" s="214"/>
      <c r="G238" s="216"/>
      <c r="H238" s="221"/>
      <c r="I238" s="221"/>
      <c r="J238" s="222"/>
      <c r="K238" s="211"/>
      <c r="L238" s="214"/>
      <c r="M238" s="188"/>
    </row>
    <row r="239" spans="1:13" ht="18" customHeight="1" x14ac:dyDescent="0.25">
      <c r="A239" s="188"/>
      <c r="B239" s="221"/>
      <c r="C239" s="221"/>
      <c r="D239" s="222"/>
      <c r="E239" s="211"/>
      <c r="F239" s="214"/>
      <c r="G239" s="216"/>
      <c r="H239" s="221"/>
      <c r="I239" s="221"/>
      <c r="J239" s="222"/>
      <c r="K239" s="211"/>
      <c r="L239" s="214"/>
      <c r="M239" s="188"/>
    </row>
    <row r="240" spans="1:13" ht="18" customHeight="1" x14ac:dyDescent="0.25">
      <c r="A240" s="188"/>
      <c r="B240" s="221"/>
      <c r="C240" s="221"/>
      <c r="D240" s="222"/>
      <c r="E240" s="211"/>
      <c r="F240" s="214"/>
      <c r="G240" s="216"/>
      <c r="H240" s="221"/>
      <c r="I240" s="221"/>
      <c r="J240" s="222"/>
      <c r="K240" s="211"/>
      <c r="L240" s="214"/>
      <c r="M240" s="188"/>
    </row>
    <row r="241" spans="1:13" ht="18" customHeight="1" x14ac:dyDescent="0.25">
      <c r="A241" s="188"/>
      <c r="B241" s="221"/>
      <c r="C241" s="221"/>
      <c r="D241" s="222"/>
      <c r="E241" s="211"/>
      <c r="F241" s="214"/>
      <c r="G241" s="216"/>
      <c r="H241" s="221"/>
      <c r="I241" s="221"/>
      <c r="J241" s="222"/>
      <c r="K241" s="211"/>
      <c r="L241" s="214"/>
      <c r="M241" s="188"/>
    </row>
    <row r="242" spans="1:13" ht="18" customHeight="1" x14ac:dyDescent="0.25">
      <c r="A242" s="188"/>
      <c r="B242" s="221"/>
      <c r="C242" s="221"/>
      <c r="D242" s="222"/>
      <c r="E242" s="211"/>
      <c r="F242" s="214"/>
      <c r="G242" s="216"/>
      <c r="H242" s="221"/>
      <c r="I242" s="221"/>
      <c r="J242" s="222"/>
      <c r="K242" s="211"/>
      <c r="L242" s="214"/>
      <c r="M242" s="188"/>
    </row>
    <row r="243" spans="1:13" ht="18" customHeight="1" x14ac:dyDescent="0.25">
      <c r="A243" s="188"/>
      <c r="B243" s="221"/>
      <c r="C243" s="221"/>
      <c r="D243" s="222"/>
      <c r="E243" s="211"/>
      <c r="F243" s="214"/>
      <c r="G243" s="216"/>
      <c r="H243" s="221"/>
      <c r="I243" s="221"/>
      <c r="J243" s="222"/>
      <c r="K243" s="211"/>
      <c r="L243" s="214"/>
      <c r="M243" s="188"/>
    </row>
    <row r="244" spans="1:13" ht="18" customHeight="1" x14ac:dyDescent="0.25">
      <c r="A244" s="188"/>
      <c r="B244" s="221"/>
      <c r="C244" s="221"/>
      <c r="D244" s="222"/>
      <c r="E244" s="211"/>
      <c r="F244" s="214"/>
      <c r="G244" s="216"/>
      <c r="H244" s="221"/>
      <c r="I244" s="221"/>
      <c r="J244" s="222"/>
      <c r="K244" s="211"/>
      <c r="L244" s="214"/>
      <c r="M244" s="188"/>
    </row>
    <row r="245" spans="1:13" ht="15.75" customHeight="1" x14ac:dyDescent="0.25"/>
    <row r="246" spans="1:13" ht="15.75" customHeight="1" x14ac:dyDescent="0.25"/>
    <row r="247" spans="1:13" ht="15.75" customHeight="1" x14ac:dyDescent="0.25"/>
    <row r="248" spans="1:13" ht="15.75" customHeight="1" x14ac:dyDescent="0.25"/>
    <row r="249" spans="1:13" ht="15.75" customHeight="1" x14ac:dyDescent="0.25"/>
    <row r="250" spans="1:13" ht="15.75" customHeight="1" x14ac:dyDescent="0.25"/>
    <row r="251" spans="1:13" ht="15.75" customHeight="1" x14ac:dyDescent="0.25"/>
    <row r="252" spans="1:13" ht="15.75" customHeight="1" x14ac:dyDescent="0.25"/>
    <row r="253" spans="1:13" ht="15.75" customHeight="1" x14ac:dyDescent="0.25"/>
    <row r="254" spans="1:13" ht="15.75" customHeight="1" x14ac:dyDescent="0.25"/>
    <row r="255" spans="1:13" ht="15.75" customHeight="1" x14ac:dyDescent="0.25"/>
    <row r="256" spans="1:1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9">
    <mergeCell ref="H41:I41"/>
    <mergeCell ref="H42:I42"/>
    <mergeCell ref="H43:I43"/>
    <mergeCell ref="H44:I44"/>
    <mergeCell ref="H30:I30"/>
    <mergeCell ref="H31:I31"/>
    <mergeCell ref="H32:I32"/>
    <mergeCell ref="H33:I33"/>
    <mergeCell ref="H34:I34"/>
    <mergeCell ref="H35:I35"/>
    <mergeCell ref="H36:I36"/>
    <mergeCell ref="B35:C35"/>
    <mergeCell ref="H37:I37"/>
    <mergeCell ref="H38:I38"/>
    <mergeCell ref="H39:I39"/>
    <mergeCell ref="H40:I40"/>
    <mergeCell ref="B30:C30"/>
    <mergeCell ref="B31:C31"/>
    <mergeCell ref="B32:C32"/>
    <mergeCell ref="B33:C33"/>
    <mergeCell ref="B34:C34"/>
    <mergeCell ref="B27:C27"/>
    <mergeCell ref="H27:I27"/>
    <mergeCell ref="B28:C28"/>
    <mergeCell ref="H28:I28"/>
    <mergeCell ref="H29:I29"/>
    <mergeCell ref="B29:C29"/>
    <mergeCell ref="D22:F22"/>
    <mergeCell ref="J22:L22"/>
    <mergeCell ref="J23:L23"/>
    <mergeCell ref="D23:F23"/>
    <mergeCell ref="B24:C24"/>
    <mergeCell ref="I16:K16"/>
    <mergeCell ref="I17:K17"/>
    <mergeCell ref="B20:F20"/>
    <mergeCell ref="D21:F21"/>
    <mergeCell ref="J21:L21"/>
    <mergeCell ref="J8:K8"/>
    <mergeCell ref="B8:E9"/>
    <mergeCell ref="D12:D15"/>
    <mergeCell ref="E12:E15"/>
    <mergeCell ref="I13:K13"/>
    <mergeCell ref="I14:K14"/>
    <mergeCell ref="I15:K15"/>
    <mergeCell ref="B2:H2"/>
    <mergeCell ref="I2:L2"/>
    <mergeCell ref="B3:G4"/>
    <mergeCell ref="I3:L3"/>
    <mergeCell ref="I4:M5"/>
    <mergeCell ref="B5:G6"/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</mergeCells>
  <conditionalFormatting sqref="B27:C1000 H27:H1000">
    <cfRule type="notContainsBlanks" dxfId="44" priority="1">
      <formula>LEN(TRIM(B27))&gt;0</formula>
    </cfRule>
  </conditionalFormatting>
  <conditionalFormatting sqref="D27:D1000">
    <cfRule type="expression" dxfId="43" priority="2">
      <formula>NOT(ISBLANK(B27))</formula>
    </cfRule>
  </conditionalFormatting>
  <conditionalFormatting sqref="F26:F1000 L26:L1000 E28:E42">
    <cfRule type="cellIs" dxfId="42" priority="4" operator="lessThan">
      <formula>0</formula>
    </cfRule>
  </conditionalFormatting>
  <conditionalFormatting sqref="F27:F1000 L27:L1000 E28:E42">
    <cfRule type="cellIs" dxfId="41" priority="5" operator="equal">
      <formula>0</formula>
    </cfRule>
  </conditionalFormatting>
  <conditionalFormatting sqref="J27:J1000">
    <cfRule type="expression" dxfId="40" priority="3">
      <formula>NOT(ISBLANK(H27))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5.109375" customWidth="1"/>
    <col min="2" max="2" width="10.44140625" customWidth="1"/>
    <col min="3" max="3" width="10" customWidth="1"/>
    <col min="4" max="4" width="15.88671875" customWidth="1"/>
    <col min="5" max="5" width="19.44140625" customWidth="1"/>
    <col min="6" max="6" width="5.109375" customWidth="1"/>
    <col min="9" max="9" width="13.21875" customWidth="1"/>
    <col min="11" max="11" width="5.109375" customWidth="1"/>
  </cols>
  <sheetData>
    <row r="1" spans="1:11" ht="33" customHeight="1" x14ac:dyDescent="0.25">
      <c r="A1" s="223"/>
      <c r="B1" s="294" t="s">
        <v>60</v>
      </c>
      <c r="C1" s="266"/>
      <c r="D1" s="266"/>
      <c r="E1" s="266"/>
      <c r="F1" s="266"/>
      <c r="G1" s="266"/>
      <c r="H1" s="266"/>
      <c r="I1" s="266"/>
      <c r="J1" s="266"/>
      <c r="K1" s="223"/>
    </row>
    <row r="2" spans="1:11" ht="48" customHeight="1" x14ac:dyDescent="0.45">
      <c r="A2" s="224"/>
      <c r="B2" s="225" t="s">
        <v>10</v>
      </c>
      <c r="C2" s="226"/>
      <c r="D2" s="227"/>
      <c r="E2" s="227"/>
      <c r="F2" s="227"/>
      <c r="G2" s="225" t="s">
        <v>9</v>
      </c>
      <c r="H2" s="228"/>
      <c r="I2" s="224"/>
      <c r="J2" s="224"/>
      <c r="K2" s="224"/>
    </row>
    <row r="3" spans="1:11" ht="12" customHeight="1" x14ac:dyDescent="0.3">
      <c r="A3" s="13"/>
      <c r="B3" s="229"/>
      <c r="C3" s="230"/>
      <c r="D3" s="229"/>
      <c r="E3" s="229"/>
      <c r="F3" s="13"/>
      <c r="G3" s="229"/>
      <c r="H3" s="231"/>
      <c r="I3" s="229"/>
      <c r="J3" s="229"/>
      <c r="K3" s="13"/>
    </row>
    <row r="4" spans="1:11" ht="24" customHeight="1" x14ac:dyDescent="0.25">
      <c r="A4" s="19"/>
      <c r="B4" s="232" t="s">
        <v>61</v>
      </c>
      <c r="C4" s="232" t="s">
        <v>62</v>
      </c>
      <c r="D4" s="232" t="s">
        <v>63</v>
      </c>
      <c r="E4" s="232" t="s">
        <v>64</v>
      </c>
      <c r="F4" s="19"/>
      <c r="G4" s="232" t="s">
        <v>61</v>
      </c>
      <c r="H4" s="232" t="s">
        <v>62</v>
      </c>
      <c r="I4" s="232" t="s">
        <v>63</v>
      </c>
      <c r="J4" s="232" t="s">
        <v>64</v>
      </c>
      <c r="K4" s="19"/>
    </row>
    <row r="5" spans="1:11" ht="19.5" customHeight="1" x14ac:dyDescent="0.25">
      <c r="A5" s="19"/>
      <c r="B5" s="233"/>
      <c r="C5" s="234"/>
      <c r="D5" s="235"/>
      <c r="E5" s="236"/>
      <c r="F5" s="19"/>
      <c r="G5" s="233"/>
      <c r="H5" s="234"/>
      <c r="I5" s="237"/>
      <c r="J5" s="236"/>
      <c r="K5" s="19"/>
    </row>
    <row r="6" spans="1:11" ht="19.5" customHeight="1" x14ac:dyDescent="0.25">
      <c r="A6" s="19"/>
      <c r="B6" s="233"/>
      <c r="C6" s="238"/>
      <c r="D6" s="239"/>
      <c r="E6" s="240"/>
      <c r="F6" s="19"/>
      <c r="G6" s="233"/>
      <c r="H6" s="238"/>
      <c r="I6" s="237"/>
      <c r="J6" s="236"/>
      <c r="K6" s="19"/>
    </row>
    <row r="7" spans="1:11" ht="19.5" customHeight="1" x14ac:dyDescent="0.25">
      <c r="A7" s="19"/>
      <c r="B7" s="233"/>
      <c r="C7" s="238"/>
      <c r="D7" s="239"/>
      <c r="E7" s="240"/>
      <c r="F7" s="19"/>
      <c r="G7" s="233"/>
      <c r="H7" s="238"/>
      <c r="I7" s="237"/>
      <c r="J7" s="236"/>
      <c r="K7" s="19"/>
    </row>
    <row r="8" spans="1:11" ht="19.5" customHeight="1" x14ac:dyDescent="0.25">
      <c r="A8" s="19"/>
      <c r="B8" s="233"/>
      <c r="C8" s="238"/>
      <c r="D8" s="239"/>
      <c r="E8" s="240"/>
      <c r="F8" s="19"/>
      <c r="G8" s="233"/>
      <c r="H8" s="238"/>
      <c r="I8" s="237"/>
      <c r="J8" s="236"/>
      <c r="K8" s="19"/>
    </row>
    <row r="9" spans="1:11" ht="19.5" customHeight="1" x14ac:dyDescent="0.25">
      <c r="A9" s="19"/>
      <c r="B9" s="233"/>
      <c r="C9" s="238"/>
      <c r="D9" s="239"/>
      <c r="E9" s="240"/>
      <c r="F9" s="19"/>
      <c r="G9" s="242"/>
      <c r="H9" s="238"/>
      <c r="I9" s="241"/>
      <c r="J9" s="240"/>
      <c r="K9" s="19"/>
    </row>
    <row r="10" spans="1:11" ht="19.5" customHeight="1" x14ac:dyDescent="0.25">
      <c r="A10" s="19"/>
      <c r="B10" s="233"/>
      <c r="C10" s="238"/>
      <c r="D10" s="239"/>
      <c r="E10" s="240"/>
      <c r="F10" s="19"/>
      <c r="G10" s="242"/>
      <c r="H10" s="238"/>
      <c r="I10" s="237"/>
      <c r="J10" s="236"/>
      <c r="K10" s="19"/>
    </row>
    <row r="11" spans="1:11" ht="19.5" customHeight="1" x14ac:dyDescent="0.25">
      <c r="A11" s="19"/>
      <c r="B11" s="233"/>
      <c r="C11" s="238"/>
      <c r="D11" s="239"/>
      <c r="E11" s="240"/>
      <c r="F11" s="19"/>
      <c r="G11" s="242"/>
      <c r="H11" s="238"/>
      <c r="I11" s="237"/>
      <c r="J11" s="236"/>
      <c r="K11" s="19"/>
    </row>
    <row r="12" spans="1:11" ht="19.5" customHeight="1" x14ac:dyDescent="0.25">
      <c r="A12" s="19"/>
      <c r="B12" s="244"/>
      <c r="C12" s="238"/>
      <c r="D12" s="239"/>
      <c r="E12" s="240"/>
      <c r="F12" s="19"/>
      <c r="G12" s="242"/>
      <c r="H12" s="238"/>
      <c r="I12" s="237"/>
      <c r="J12" s="236"/>
      <c r="K12" s="19"/>
    </row>
    <row r="13" spans="1:11" ht="19.5" customHeight="1" x14ac:dyDescent="0.25">
      <c r="A13" s="19"/>
      <c r="B13" s="244"/>
      <c r="C13" s="238"/>
      <c r="D13" s="239"/>
      <c r="E13" s="240"/>
      <c r="F13" s="19"/>
      <c r="G13" s="242"/>
      <c r="H13" s="238"/>
      <c r="I13" s="237"/>
      <c r="J13" s="236"/>
      <c r="K13" s="19"/>
    </row>
    <row r="14" spans="1:11" ht="19.5" customHeight="1" x14ac:dyDescent="0.25">
      <c r="A14" s="19"/>
      <c r="B14" s="244"/>
      <c r="C14" s="238"/>
      <c r="D14" s="239"/>
      <c r="E14" s="240"/>
      <c r="F14" s="19"/>
      <c r="G14" s="242"/>
      <c r="H14" s="238"/>
      <c r="I14" s="237"/>
      <c r="J14" s="236"/>
      <c r="K14" s="19"/>
    </row>
    <row r="15" spans="1:11" ht="19.5" customHeight="1" x14ac:dyDescent="0.25">
      <c r="A15" s="19"/>
      <c r="B15" s="233"/>
      <c r="C15" s="238"/>
      <c r="D15" s="239"/>
      <c r="E15" s="240"/>
      <c r="F15" s="19"/>
      <c r="G15" s="242"/>
      <c r="H15" s="238"/>
      <c r="I15" s="237"/>
      <c r="J15" s="236"/>
      <c r="K15" s="19"/>
    </row>
    <row r="16" spans="1:11" ht="19.5" customHeight="1" x14ac:dyDescent="0.25">
      <c r="A16" s="19"/>
      <c r="B16" s="233"/>
      <c r="C16" s="238"/>
      <c r="D16" s="239"/>
      <c r="E16" s="240"/>
      <c r="F16" s="19"/>
      <c r="G16" s="242"/>
      <c r="H16" s="238"/>
      <c r="I16" s="237"/>
      <c r="J16" s="236"/>
      <c r="K16" s="19"/>
    </row>
    <row r="17" spans="1:11" ht="19.5" customHeight="1" x14ac:dyDescent="0.25">
      <c r="A17" s="19"/>
      <c r="B17" s="233"/>
      <c r="C17" s="238"/>
      <c r="D17" s="239"/>
      <c r="E17" s="240"/>
      <c r="F17" s="19"/>
      <c r="G17" s="242"/>
      <c r="H17" s="238"/>
      <c r="I17" s="237"/>
      <c r="J17" s="236"/>
      <c r="K17" s="19"/>
    </row>
    <row r="18" spans="1:11" ht="19.5" customHeight="1" x14ac:dyDescent="0.25">
      <c r="A18" s="19"/>
      <c r="B18" s="242"/>
      <c r="C18" s="238"/>
      <c r="D18" s="239"/>
      <c r="E18" s="240"/>
      <c r="F18" s="19"/>
      <c r="G18" s="242"/>
      <c r="H18" s="238"/>
      <c r="I18" s="237"/>
      <c r="J18" s="236"/>
      <c r="K18" s="19"/>
    </row>
    <row r="19" spans="1:11" ht="19.5" customHeight="1" x14ac:dyDescent="0.25">
      <c r="A19" s="19"/>
      <c r="B19" s="242"/>
      <c r="C19" s="238"/>
      <c r="D19" s="239"/>
      <c r="E19" s="240"/>
      <c r="F19" s="19"/>
      <c r="G19" s="242"/>
      <c r="H19" s="238"/>
      <c r="I19" s="237"/>
      <c r="J19" s="236"/>
      <c r="K19" s="19"/>
    </row>
    <row r="20" spans="1:11" ht="19.5" customHeight="1" x14ac:dyDescent="0.25">
      <c r="A20" s="19"/>
      <c r="B20" s="242"/>
      <c r="C20" s="238"/>
      <c r="D20" s="239"/>
      <c r="E20" s="240"/>
      <c r="F20" s="19"/>
      <c r="G20" s="242"/>
      <c r="H20" s="238"/>
      <c r="I20" s="237"/>
      <c r="J20" s="236"/>
      <c r="K20" s="19"/>
    </row>
    <row r="21" spans="1:11" ht="19.5" customHeight="1" x14ac:dyDescent="0.25">
      <c r="A21" s="19"/>
      <c r="B21" s="242"/>
      <c r="C21" s="238"/>
      <c r="D21" s="239"/>
      <c r="E21" s="240"/>
      <c r="F21" s="19"/>
      <c r="G21" s="242"/>
      <c r="H21" s="238"/>
      <c r="I21" s="237"/>
      <c r="J21" s="236"/>
      <c r="K21" s="19"/>
    </row>
    <row r="22" spans="1:11" ht="19.5" customHeight="1" x14ac:dyDescent="0.25">
      <c r="A22" s="19"/>
      <c r="B22" s="242"/>
      <c r="C22" s="238"/>
      <c r="D22" s="239"/>
      <c r="E22" s="240"/>
      <c r="F22" s="19"/>
      <c r="G22" s="242"/>
      <c r="H22" s="238"/>
      <c r="I22" s="237"/>
      <c r="J22" s="236"/>
      <c r="K22" s="19"/>
    </row>
    <row r="23" spans="1:11" ht="19.5" customHeight="1" x14ac:dyDescent="0.25">
      <c r="A23" s="19"/>
      <c r="B23" s="242"/>
      <c r="C23" s="238"/>
      <c r="D23" s="239"/>
      <c r="E23" s="240"/>
      <c r="F23" s="19"/>
      <c r="G23" s="242"/>
      <c r="H23" s="238"/>
      <c r="I23" s="237"/>
      <c r="J23" s="236"/>
      <c r="K23" s="19"/>
    </row>
    <row r="24" spans="1:11" ht="19.5" customHeight="1" x14ac:dyDescent="0.25">
      <c r="A24" s="19"/>
      <c r="B24" s="242"/>
      <c r="C24" s="238"/>
      <c r="D24" s="239"/>
      <c r="E24" s="240"/>
      <c r="F24" s="19"/>
      <c r="G24" s="242"/>
      <c r="H24" s="238"/>
      <c r="I24" s="237"/>
      <c r="J24" s="236"/>
      <c r="K24" s="19"/>
    </row>
    <row r="25" spans="1:11" ht="19.5" customHeight="1" x14ac:dyDescent="0.25">
      <c r="A25" s="19"/>
      <c r="B25" s="242"/>
      <c r="C25" s="238"/>
      <c r="D25" s="239"/>
      <c r="E25" s="240"/>
      <c r="F25" s="19"/>
      <c r="G25" s="242"/>
      <c r="H25" s="238"/>
      <c r="I25" s="237"/>
      <c r="J25" s="236"/>
      <c r="K25" s="19"/>
    </row>
    <row r="26" spans="1:11" ht="19.5" customHeight="1" x14ac:dyDescent="0.25">
      <c r="A26" s="19"/>
      <c r="B26" s="242"/>
      <c r="C26" s="238"/>
      <c r="D26" s="239"/>
      <c r="E26" s="240"/>
      <c r="F26" s="19"/>
      <c r="G26" s="242"/>
      <c r="H26" s="238"/>
      <c r="I26" s="237"/>
      <c r="J26" s="236"/>
      <c r="K26" s="19"/>
    </row>
    <row r="27" spans="1:11" ht="19.5" customHeight="1" x14ac:dyDescent="0.25">
      <c r="A27" s="19"/>
      <c r="B27" s="233"/>
      <c r="C27" s="238"/>
      <c r="D27" s="239"/>
      <c r="E27" s="240"/>
      <c r="F27" s="19"/>
      <c r="G27" s="242"/>
      <c r="H27" s="238"/>
      <c r="I27" s="237"/>
      <c r="J27" s="236"/>
      <c r="K27" s="19"/>
    </row>
    <row r="28" spans="1:11" ht="19.5" customHeight="1" x14ac:dyDescent="0.25">
      <c r="A28" s="19"/>
      <c r="B28" s="233"/>
      <c r="C28" s="238"/>
      <c r="D28" s="239"/>
      <c r="E28" s="240"/>
      <c r="F28" s="19"/>
      <c r="G28" s="242"/>
      <c r="H28" s="238"/>
      <c r="I28" s="237"/>
      <c r="J28" s="236"/>
      <c r="K28" s="19"/>
    </row>
    <row r="29" spans="1:11" ht="19.5" customHeight="1" x14ac:dyDescent="0.25">
      <c r="A29" s="19"/>
      <c r="B29" s="233"/>
      <c r="C29" s="238"/>
      <c r="D29" s="239"/>
      <c r="E29" s="240"/>
      <c r="F29" s="19"/>
      <c r="G29" s="242"/>
      <c r="H29" s="238"/>
      <c r="I29" s="237"/>
      <c r="J29" s="236"/>
      <c r="K29" s="19"/>
    </row>
    <row r="30" spans="1:11" ht="19.5" customHeight="1" x14ac:dyDescent="0.25">
      <c r="A30" s="19"/>
      <c r="B30" s="233"/>
      <c r="C30" s="238"/>
      <c r="D30" s="239"/>
      <c r="E30" s="240"/>
      <c r="F30" s="19"/>
      <c r="G30" s="242"/>
      <c r="H30" s="238"/>
      <c r="I30" s="237"/>
      <c r="J30" s="236"/>
      <c r="K30" s="19"/>
    </row>
    <row r="31" spans="1:11" ht="19.5" customHeight="1" x14ac:dyDescent="0.25">
      <c r="A31" s="19"/>
      <c r="B31" s="233"/>
      <c r="C31" s="238"/>
      <c r="D31" s="239"/>
      <c r="E31" s="240"/>
      <c r="F31" s="19"/>
      <c r="G31" s="242"/>
      <c r="H31" s="238"/>
      <c r="I31" s="237"/>
      <c r="J31" s="236"/>
      <c r="K31" s="19"/>
    </row>
    <row r="32" spans="1:11" ht="19.5" customHeight="1" x14ac:dyDescent="0.25">
      <c r="A32" s="19"/>
      <c r="B32" s="244"/>
      <c r="C32" s="238"/>
      <c r="D32" s="239"/>
      <c r="E32" s="240"/>
      <c r="F32" s="19"/>
      <c r="G32" s="242"/>
      <c r="H32" s="238"/>
      <c r="I32" s="237"/>
      <c r="J32" s="236"/>
      <c r="K32" s="19"/>
    </row>
    <row r="33" spans="1:11" ht="19.5" customHeight="1" x14ac:dyDescent="0.25">
      <c r="A33" s="19"/>
      <c r="B33" s="244"/>
      <c r="C33" s="238"/>
      <c r="D33" s="239"/>
      <c r="E33" s="240"/>
      <c r="F33" s="19"/>
      <c r="G33" s="242"/>
      <c r="H33" s="238"/>
      <c r="I33" s="241"/>
      <c r="J33" s="240"/>
      <c r="K33" s="19"/>
    </row>
    <row r="34" spans="1:11" ht="19.5" customHeight="1" x14ac:dyDescent="0.25">
      <c r="A34" s="19"/>
      <c r="B34" s="233"/>
      <c r="C34" s="238"/>
      <c r="D34" s="239"/>
      <c r="E34" s="240"/>
      <c r="F34" s="19"/>
      <c r="G34" s="242"/>
      <c r="H34" s="238"/>
      <c r="I34" s="241"/>
      <c r="J34" s="240"/>
      <c r="K34" s="19"/>
    </row>
    <row r="35" spans="1:11" ht="19.5" customHeight="1" x14ac:dyDescent="0.25">
      <c r="A35" s="19"/>
      <c r="B35" s="233"/>
      <c r="C35" s="238"/>
      <c r="D35" s="239"/>
      <c r="E35" s="240"/>
      <c r="F35" s="19"/>
      <c r="G35" s="242"/>
      <c r="H35" s="238"/>
      <c r="I35" s="241"/>
      <c r="J35" s="240"/>
      <c r="K35" s="19"/>
    </row>
    <row r="36" spans="1:11" ht="19.5" customHeight="1" x14ac:dyDescent="0.25">
      <c r="A36" s="19"/>
      <c r="B36" s="233"/>
      <c r="C36" s="238"/>
      <c r="D36" s="239"/>
      <c r="E36" s="240"/>
      <c r="F36" s="19"/>
      <c r="G36" s="242"/>
      <c r="H36" s="238"/>
      <c r="I36" s="241"/>
      <c r="J36" s="240"/>
      <c r="K36" s="19"/>
    </row>
    <row r="37" spans="1:11" ht="19.5" customHeight="1" x14ac:dyDescent="0.25">
      <c r="A37" s="19"/>
      <c r="B37" s="233"/>
      <c r="C37" s="238"/>
      <c r="D37" s="239"/>
      <c r="E37" s="240"/>
      <c r="F37" s="19"/>
      <c r="G37" s="242"/>
      <c r="H37" s="238"/>
      <c r="I37" s="241"/>
      <c r="J37" s="240"/>
      <c r="K37" s="19"/>
    </row>
    <row r="38" spans="1:11" ht="19.5" customHeight="1" x14ac:dyDescent="0.25">
      <c r="A38" s="19"/>
      <c r="B38" s="233"/>
      <c r="C38" s="238"/>
      <c r="D38" s="239"/>
      <c r="E38" s="240"/>
      <c r="F38" s="19"/>
      <c r="G38" s="242"/>
      <c r="H38" s="238"/>
      <c r="I38" s="241"/>
      <c r="J38" s="240"/>
      <c r="K38" s="19"/>
    </row>
    <row r="39" spans="1:11" ht="19.5" customHeight="1" x14ac:dyDescent="0.25">
      <c r="A39" s="19"/>
      <c r="B39" s="233"/>
      <c r="C39" s="238"/>
      <c r="D39" s="239"/>
      <c r="E39" s="240"/>
      <c r="F39" s="19"/>
      <c r="G39" s="242"/>
      <c r="H39" s="238"/>
      <c r="I39" s="241"/>
      <c r="J39" s="240"/>
      <c r="K39" s="19"/>
    </row>
    <row r="40" spans="1:11" ht="19.5" customHeight="1" x14ac:dyDescent="0.25">
      <c r="A40" s="19"/>
      <c r="B40" s="233"/>
      <c r="C40" s="238"/>
      <c r="D40" s="239"/>
      <c r="E40" s="240"/>
      <c r="F40" s="19"/>
      <c r="G40" s="242"/>
      <c r="H40" s="238"/>
      <c r="I40" s="241"/>
      <c r="J40" s="240"/>
      <c r="K40" s="19"/>
    </row>
    <row r="41" spans="1:11" ht="19.5" customHeight="1" x14ac:dyDescent="0.25">
      <c r="A41" s="19"/>
      <c r="B41" s="233"/>
      <c r="C41" s="238"/>
      <c r="D41" s="239"/>
      <c r="E41" s="240"/>
      <c r="F41" s="19"/>
      <c r="G41" s="242"/>
      <c r="H41" s="238"/>
      <c r="I41" s="241"/>
      <c r="J41" s="240"/>
      <c r="K41" s="19"/>
    </row>
    <row r="42" spans="1:11" ht="19.5" customHeight="1" x14ac:dyDescent="0.25">
      <c r="A42" s="19"/>
      <c r="B42" s="233"/>
      <c r="C42" s="238"/>
      <c r="D42" s="239"/>
      <c r="E42" s="240"/>
      <c r="F42" s="19"/>
      <c r="G42" s="242"/>
      <c r="H42" s="238"/>
      <c r="I42" s="241"/>
      <c r="J42" s="240"/>
      <c r="K42" s="19"/>
    </row>
    <row r="43" spans="1:11" ht="19.5" customHeight="1" x14ac:dyDescent="0.25">
      <c r="A43" s="19"/>
      <c r="B43" s="233"/>
      <c r="C43" s="238"/>
      <c r="D43" s="239"/>
      <c r="E43" s="240"/>
      <c r="F43" s="19"/>
      <c r="G43" s="242"/>
      <c r="H43" s="238"/>
      <c r="I43" s="241"/>
      <c r="J43" s="240"/>
      <c r="K43" s="19"/>
    </row>
    <row r="44" spans="1:11" ht="19.5" customHeight="1" x14ac:dyDescent="0.25">
      <c r="A44" s="19"/>
      <c r="B44" s="233"/>
      <c r="C44" s="238"/>
      <c r="D44" s="239"/>
      <c r="E44" s="240"/>
      <c r="F44" s="19"/>
      <c r="G44" s="242"/>
      <c r="H44" s="238"/>
      <c r="I44" s="241"/>
      <c r="J44" s="240"/>
      <c r="K44" s="19"/>
    </row>
    <row r="45" spans="1:11" ht="19.5" customHeight="1" x14ac:dyDescent="0.25">
      <c r="A45" s="19"/>
      <c r="B45" s="233"/>
      <c r="C45" s="238"/>
      <c r="D45" s="239"/>
      <c r="E45" s="240"/>
      <c r="F45" s="19"/>
      <c r="G45" s="242"/>
      <c r="H45" s="238"/>
      <c r="I45" s="241"/>
      <c r="J45" s="240"/>
      <c r="K45" s="19"/>
    </row>
    <row r="46" spans="1:11" ht="19.5" customHeight="1" x14ac:dyDescent="0.25">
      <c r="A46" s="19"/>
      <c r="B46" s="233"/>
      <c r="C46" s="238"/>
      <c r="D46" s="239"/>
      <c r="E46" s="240"/>
      <c r="F46" s="19"/>
      <c r="G46" s="242"/>
      <c r="H46" s="238"/>
      <c r="I46" s="241"/>
      <c r="J46" s="240"/>
      <c r="K46" s="19"/>
    </row>
    <row r="47" spans="1:11" ht="19.5" customHeight="1" x14ac:dyDescent="0.25">
      <c r="A47" s="19"/>
      <c r="B47" s="233"/>
      <c r="C47" s="238"/>
      <c r="D47" s="239"/>
      <c r="E47" s="240"/>
      <c r="F47" s="19"/>
      <c r="G47" s="242"/>
      <c r="H47" s="238"/>
      <c r="I47" s="241"/>
      <c r="J47" s="240"/>
      <c r="K47" s="19"/>
    </row>
    <row r="48" spans="1:11" ht="19.5" customHeight="1" x14ac:dyDescent="0.25">
      <c r="A48" s="19"/>
      <c r="B48" s="233"/>
      <c r="C48" s="238"/>
      <c r="D48" s="239"/>
      <c r="E48" s="240"/>
      <c r="F48" s="19"/>
      <c r="G48" s="242"/>
      <c r="H48" s="238"/>
      <c r="I48" s="241"/>
      <c r="J48" s="240"/>
      <c r="K48" s="19"/>
    </row>
    <row r="49" spans="1:11" ht="19.5" customHeight="1" x14ac:dyDescent="0.25">
      <c r="A49" s="19"/>
      <c r="B49" s="233"/>
      <c r="C49" s="238"/>
      <c r="D49" s="239"/>
      <c r="E49" s="240"/>
      <c r="F49" s="19"/>
      <c r="G49" s="242"/>
      <c r="H49" s="238"/>
      <c r="I49" s="241"/>
      <c r="J49" s="240"/>
      <c r="K49" s="19"/>
    </row>
    <row r="50" spans="1:11" ht="19.5" customHeight="1" x14ac:dyDescent="0.25">
      <c r="A50" s="19"/>
      <c r="B50" s="233"/>
      <c r="C50" s="238"/>
      <c r="D50" s="239"/>
      <c r="E50" s="240"/>
      <c r="F50" s="19"/>
      <c r="G50" s="242"/>
      <c r="H50" s="238"/>
      <c r="I50" s="241"/>
      <c r="J50" s="240"/>
      <c r="K50" s="19"/>
    </row>
    <row r="51" spans="1:11" ht="19.5" customHeight="1" x14ac:dyDescent="0.25">
      <c r="A51" s="19"/>
      <c r="B51" s="233"/>
      <c r="C51" s="238"/>
      <c r="D51" s="239"/>
      <c r="E51" s="240"/>
      <c r="F51" s="19"/>
      <c r="G51" s="242"/>
      <c r="H51" s="238"/>
      <c r="I51" s="241"/>
      <c r="J51" s="240"/>
      <c r="K51" s="19"/>
    </row>
    <row r="52" spans="1:11" ht="19.5" customHeight="1" x14ac:dyDescent="0.25">
      <c r="A52" s="19"/>
      <c r="B52" s="233"/>
      <c r="C52" s="238"/>
      <c r="D52" s="239"/>
      <c r="E52" s="240"/>
      <c r="F52" s="19"/>
      <c r="G52" s="242"/>
      <c r="H52" s="238"/>
      <c r="I52" s="241"/>
      <c r="J52" s="240"/>
      <c r="K52" s="19"/>
    </row>
    <row r="53" spans="1:11" ht="19.5" customHeight="1" x14ac:dyDescent="0.25">
      <c r="A53" s="19"/>
      <c r="B53" s="233"/>
      <c r="C53" s="238"/>
      <c r="D53" s="239"/>
      <c r="E53" s="240"/>
      <c r="F53" s="19"/>
      <c r="G53" s="242"/>
      <c r="H53" s="238"/>
      <c r="I53" s="241"/>
      <c r="J53" s="240"/>
      <c r="K53" s="19"/>
    </row>
    <row r="54" spans="1:11" ht="19.5" customHeight="1" x14ac:dyDescent="0.25">
      <c r="A54" s="19"/>
      <c r="B54" s="233"/>
      <c r="C54" s="238"/>
      <c r="D54" s="239"/>
      <c r="E54" s="240"/>
      <c r="F54" s="19"/>
      <c r="G54" s="242"/>
      <c r="H54" s="238"/>
      <c r="I54" s="241"/>
      <c r="J54" s="240"/>
      <c r="K54" s="19"/>
    </row>
    <row r="55" spans="1:11" ht="19.5" customHeight="1" x14ac:dyDescent="0.25">
      <c r="A55" s="19"/>
      <c r="B55" s="233"/>
      <c r="C55" s="238"/>
      <c r="D55" s="239"/>
      <c r="E55" s="240"/>
      <c r="F55" s="19"/>
      <c r="G55" s="242"/>
      <c r="H55" s="238"/>
      <c r="I55" s="241"/>
      <c r="J55" s="240"/>
      <c r="K55" s="19"/>
    </row>
    <row r="56" spans="1:11" ht="19.5" customHeight="1" x14ac:dyDescent="0.25">
      <c r="A56" s="19"/>
      <c r="B56" s="233"/>
      <c r="C56" s="238"/>
      <c r="D56" s="239"/>
      <c r="E56" s="240"/>
      <c r="F56" s="19"/>
      <c r="G56" s="242"/>
      <c r="H56" s="238"/>
      <c r="I56" s="241"/>
      <c r="J56" s="240"/>
      <c r="K56" s="19"/>
    </row>
    <row r="57" spans="1:11" ht="19.5" customHeight="1" x14ac:dyDescent="0.25">
      <c r="A57" s="19"/>
      <c r="B57" s="233"/>
      <c r="C57" s="238"/>
      <c r="D57" s="239"/>
      <c r="E57" s="240"/>
      <c r="F57" s="19"/>
      <c r="G57" s="242"/>
      <c r="H57" s="238"/>
      <c r="I57" s="241"/>
      <c r="J57" s="240"/>
      <c r="K57" s="19"/>
    </row>
    <row r="58" spans="1:11" ht="19.5" customHeight="1" x14ac:dyDescent="0.25">
      <c r="A58" s="19"/>
      <c r="B58" s="233"/>
      <c r="C58" s="238"/>
      <c r="D58" s="239"/>
      <c r="E58" s="240"/>
      <c r="F58" s="19"/>
      <c r="G58" s="242"/>
      <c r="H58" s="238"/>
      <c r="I58" s="241"/>
      <c r="J58" s="240"/>
      <c r="K58" s="19"/>
    </row>
    <row r="59" spans="1:11" ht="19.5" customHeight="1" x14ac:dyDescent="0.25">
      <c r="A59" s="19"/>
      <c r="B59" s="233"/>
      <c r="C59" s="238"/>
      <c r="D59" s="239"/>
      <c r="E59" s="240"/>
      <c r="F59" s="19"/>
      <c r="G59" s="242"/>
      <c r="H59" s="238"/>
      <c r="I59" s="241"/>
      <c r="J59" s="240"/>
      <c r="K59" s="19"/>
    </row>
    <row r="60" spans="1:11" ht="19.5" customHeight="1" x14ac:dyDescent="0.25">
      <c r="A60" s="19"/>
      <c r="B60" s="233"/>
      <c r="C60" s="238"/>
      <c r="D60" s="239"/>
      <c r="E60" s="240"/>
      <c r="F60" s="19"/>
      <c r="G60" s="242"/>
      <c r="H60" s="238"/>
      <c r="I60" s="241"/>
      <c r="J60" s="240"/>
      <c r="K60" s="19"/>
    </row>
    <row r="61" spans="1:11" ht="19.5" customHeight="1" x14ac:dyDescent="0.25">
      <c r="A61" s="19"/>
      <c r="B61" s="233"/>
      <c r="C61" s="238"/>
      <c r="D61" s="239"/>
      <c r="E61" s="240"/>
      <c r="F61" s="19"/>
      <c r="G61" s="242"/>
      <c r="H61" s="238"/>
      <c r="I61" s="241"/>
      <c r="J61" s="240"/>
      <c r="K61" s="19"/>
    </row>
    <row r="62" spans="1:11" ht="19.5" customHeight="1" x14ac:dyDescent="0.25">
      <c r="A62" s="19"/>
      <c r="B62" s="233"/>
      <c r="C62" s="238"/>
      <c r="D62" s="239"/>
      <c r="E62" s="240"/>
      <c r="F62" s="19"/>
      <c r="G62" s="242"/>
      <c r="H62" s="238"/>
      <c r="I62" s="241"/>
      <c r="J62" s="240"/>
      <c r="K62" s="19"/>
    </row>
    <row r="63" spans="1:11" ht="19.5" customHeight="1" x14ac:dyDescent="0.25">
      <c r="A63" s="19"/>
      <c r="B63" s="233"/>
      <c r="C63" s="238"/>
      <c r="D63" s="239"/>
      <c r="E63" s="240"/>
      <c r="F63" s="19"/>
      <c r="G63" s="242"/>
      <c r="H63" s="238"/>
      <c r="I63" s="241"/>
      <c r="J63" s="240"/>
      <c r="K63" s="19"/>
    </row>
    <row r="64" spans="1:11" ht="19.5" customHeight="1" x14ac:dyDescent="0.25">
      <c r="A64" s="19"/>
      <c r="B64" s="233"/>
      <c r="C64" s="238"/>
      <c r="D64" s="239"/>
      <c r="E64" s="240"/>
      <c r="F64" s="19"/>
      <c r="G64" s="242"/>
      <c r="H64" s="238"/>
      <c r="I64" s="241"/>
      <c r="J64" s="240"/>
      <c r="K64" s="19"/>
    </row>
    <row r="65" spans="1:11" ht="19.5" customHeight="1" x14ac:dyDescent="0.25">
      <c r="A65" s="19"/>
      <c r="B65" s="233"/>
      <c r="C65" s="238"/>
      <c r="D65" s="239"/>
      <c r="E65" s="240"/>
      <c r="F65" s="19"/>
      <c r="G65" s="242"/>
      <c r="H65" s="238"/>
      <c r="I65" s="241"/>
      <c r="J65" s="240"/>
      <c r="K65" s="19"/>
    </row>
    <row r="66" spans="1:11" ht="19.5" customHeight="1" x14ac:dyDescent="0.25">
      <c r="A66" s="19"/>
      <c r="B66" s="233"/>
      <c r="C66" s="238"/>
      <c r="D66" s="239"/>
      <c r="E66" s="240"/>
      <c r="F66" s="19"/>
      <c r="G66" s="242"/>
      <c r="H66" s="238"/>
      <c r="I66" s="241"/>
      <c r="J66" s="240"/>
      <c r="K66" s="19"/>
    </row>
    <row r="67" spans="1:11" ht="19.5" customHeight="1" x14ac:dyDescent="0.25">
      <c r="A67" s="19"/>
      <c r="B67" s="233"/>
      <c r="C67" s="238"/>
      <c r="D67" s="239"/>
      <c r="E67" s="240"/>
      <c r="F67" s="19"/>
      <c r="G67" s="242"/>
      <c r="H67" s="238"/>
      <c r="I67" s="241"/>
      <c r="J67" s="240"/>
      <c r="K67" s="19"/>
    </row>
    <row r="68" spans="1:11" ht="19.5" customHeight="1" x14ac:dyDescent="0.25">
      <c r="A68" s="19"/>
      <c r="B68" s="233"/>
      <c r="C68" s="238"/>
      <c r="D68" s="239"/>
      <c r="E68" s="240"/>
      <c r="F68" s="19"/>
      <c r="G68" s="242"/>
      <c r="H68" s="238"/>
      <c r="I68" s="241"/>
      <c r="J68" s="240"/>
      <c r="K68" s="19"/>
    </row>
    <row r="69" spans="1:11" ht="19.5" customHeight="1" x14ac:dyDescent="0.25">
      <c r="A69" s="19"/>
      <c r="B69" s="233"/>
      <c r="C69" s="238"/>
      <c r="D69" s="239"/>
      <c r="E69" s="240"/>
      <c r="F69" s="19"/>
      <c r="G69" s="242"/>
      <c r="H69" s="238"/>
      <c r="I69" s="241"/>
      <c r="J69" s="240"/>
      <c r="K69" s="19"/>
    </row>
    <row r="70" spans="1:11" ht="19.5" customHeight="1" x14ac:dyDescent="0.25">
      <c r="A70" s="19"/>
      <c r="B70" s="233"/>
      <c r="C70" s="238"/>
      <c r="D70" s="239"/>
      <c r="E70" s="240"/>
      <c r="F70" s="19"/>
      <c r="G70" s="242"/>
      <c r="H70" s="238"/>
      <c r="I70" s="241"/>
      <c r="J70" s="240"/>
      <c r="K70" s="19"/>
    </row>
    <row r="71" spans="1:11" ht="19.5" customHeight="1" x14ac:dyDescent="0.25">
      <c r="A71" s="19"/>
      <c r="B71" s="233"/>
      <c r="C71" s="238"/>
      <c r="D71" s="239"/>
      <c r="E71" s="240"/>
      <c r="F71" s="19"/>
      <c r="G71" s="242"/>
      <c r="H71" s="238"/>
      <c r="I71" s="241"/>
      <c r="J71" s="240"/>
      <c r="K71" s="19"/>
    </row>
    <row r="72" spans="1:11" ht="19.5" customHeight="1" x14ac:dyDescent="0.25">
      <c r="A72" s="19"/>
      <c r="B72" s="233"/>
      <c r="C72" s="238"/>
      <c r="D72" s="239"/>
      <c r="E72" s="240"/>
      <c r="F72" s="19"/>
      <c r="G72" s="242"/>
      <c r="H72" s="238"/>
      <c r="I72" s="241"/>
      <c r="J72" s="240"/>
      <c r="K72" s="19"/>
    </row>
    <row r="73" spans="1:11" ht="19.5" customHeight="1" x14ac:dyDescent="0.25">
      <c r="A73" s="19"/>
      <c r="B73" s="233"/>
      <c r="C73" s="238"/>
      <c r="D73" s="239"/>
      <c r="E73" s="240"/>
      <c r="F73" s="19"/>
      <c r="G73" s="242"/>
      <c r="H73" s="238"/>
      <c r="I73" s="241"/>
      <c r="J73" s="240"/>
      <c r="K73" s="19"/>
    </row>
    <row r="74" spans="1:11" ht="19.5" customHeight="1" x14ac:dyDescent="0.25">
      <c r="A74" s="19"/>
      <c r="B74" s="233"/>
      <c r="C74" s="238"/>
      <c r="D74" s="239"/>
      <c r="E74" s="240"/>
      <c r="F74" s="19"/>
      <c r="G74" s="242"/>
      <c r="H74" s="238"/>
      <c r="I74" s="241"/>
      <c r="J74" s="240"/>
      <c r="K74" s="19"/>
    </row>
    <row r="75" spans="1:11" ht="19.5" customHeight="1" x14ac:dyDescent="0.25">
      <c r="A75" s="19"/>
      <c r="B75" s="233"/>
      <c r="C75" s="238"/>
      <c r="D75" s="239"/>
      <c r="E75" s="240"/>
      <c r="F75" s="19"/>
      <c r="G75" s="242"/>
      <c r="H75" s="238"/>
      <c r="I75" s="241"/>
      <c r="J75" s="240"/>
      <c r="K75" s="19"/>
    </row>
    <row r="76" spans="1:11" ht="19.5" customHeight="1" x14ac:dyDescent="0.25">
      <c r="A76" s="19"/>
      <c r="B76" s="233"/>
      <c r="C76" s="238"/>
      <c r="D76" s="239"/>
      <c r="E76" s="240"/>
      <c r="F76" s="19"/>
      <c r="G76" s="242"/>
      <c r="H76" s="238"/>
      <c r="I76" s="241"/>
      <c r="J76" s="240"/>
      <c r="K76" s="19"/>
    </row>
    <row r="77" spans="1:11" ht="19.5" customHeight="1" x14ac:dyDescent="0.25">
      <c r="A77" s="19"/>
      <c r="B77" s="233"/>
      <c r="C77" s="238"/>
      <c r="D77" s="239"/>
      <c r="E77" s="240"/>
      <c r="F77" s="19"/>
      <c r="G77" s="242"/>
      <c r="H77" s="238"/>
      <c r="I77" s="241"/>
      <c r="J77" s="240"/>
      <c r="K77" s="19"/>
    </row>
    <row r="78" spans="1:11" ht="19.5" customHeight="1" x14ac:dyDescent="0.25">
      <c r="A78" s="19"/>
      <c r="B78" s="233"/>
      <c r="C78" s="238"/>
      <c r="D78" s="239"/>
      <c r="E78" s="240"/>
      <c r="F78" s="19"/>
      <c r="G78" s="242"/>
      <c r="H78" s="238"/>
      <c r="I78" s="241"/>
      <c r="J78" s="240"/>
      <c r="K78" s="19"/>
    </row>
    <row r="79" spans="1:11" ht="19.5" customHeight="1" x14ac:dyDescent="0.25">
      <c r="A79" s="19"/>
      <c r="B79" s="233"/>
      <c r="C79" s="238"/>
      <c r="D79" s="239"/>
      <c r="E79" s="240"/>
      <c r="F79" s="19"/>
      <c r="G79" s="242"/>
      <c r="H79" s="238"/>
      <c r="I79" s="241"/>
      <c r="J79" s="240"/>
      <c r="K79" s="19"/>
    </row>
    <row r="80" spans="1:11" ht="19.5" customHeight="1" x14ac:dyDescent="0.25">
      <c r="A80" s="19"/>
      <c r="B80" s="233"/>
      <c r="C80" s="238"/>
      <c r="D80" s="239"/>
      <c r="E80" s="240"/>
      <c r="F80" s="19"/>
      <c r="G80" s="242"/>
      <c r="H80" s="238"/>
      <c r="I80" s="241"/>
      <c r="J80" s="240"/>
      <c r="K80" s="19"/>
    </row>
    <row r="81" spans="1:11" ht="19.5" customHeight="1" x14ac:dyDescent="0.25">
      <c r="A81" s="19"/>
      <c r="B81" s="233"/>
      <c r="C81" s="238"/>
      <c r="D81" s="239"/>
      <c r="E81" s="240"/>
      <c r="F81" s="19"/>
      <c r="G81" s="242"/>
      <c r="H81" s="238"/>
      <c r="I81" s="241"/>
      <c r="J81" s="240"/>
      <c r="K81" s="19"/>
    </row>
    <row r="82" spans="1:11" ht="19.5" customHeight="1" x14ac:dyDescent="0.25">
      <c r="A82" s="19"/>
      <c r="B82" s="233"/>
      <c r="C82" s="238"/>
      <c r="D82" s="239"/>
      <c r="E82" s="240"/>
      <c r="F82" s="19"/>
      <c r="G82" s="242"/>
      <c r="H82" s="238"/>
      <c r="I82" s="241"/>
      <c r="J82" s="240"/>
      <c r="K82" s="19"/>
    </row>
    <row r="83" spans="1:11" ht="19.5" customHeight="1" x14ac:dyDescent="0.25">
      <c r="A83" s="19"/>
      <c r="B83" s="233"/>
      <c r="C83" s="238"/>
      <c r="D83" s="239"/>
      <c r="E83" s="240"/>
      <c r="F83" s="19"/>
      <c r="G83" s="242"/>
      <c r="H83" s="238"/>
      <c r="I83" s="241"/>
      <c r="J83" s="240"/>
      <c r="K83" s="19"/>
    </row>
    <row r="84" spans="1:11" ht="19.5" customHeight="1" x14ac:dyDescent="0.25">
      <c r="A84" s="19"/>
      <c r="B84" s="233"/>
      <c r="C84" s="238"/>
      <c r="D84" s="239"/>
      <c r="E84" s="240"/>
      <c r="F84" s="19"/>
      <c r="G84" s="242"/>
      <c r="H84" s="238"/>
      <c r="I84" s="241"/>
      <c r="J84" s="240"/>
      <c r="K84" s="19"/>
    </row>
    <row r="85" spans="1:11" ht="19.5" customHeight="1" x14ac:dyDescent="0.25">
      <c r="A85" s="19"/>
      <c r="B85" s="233"/>
      <c r="C85" s="238"/>
      <c r="D85" s="239"/>
      <c r="E85" s="240"/>
      <c r="F85" s="19"/>
      <c r="G85" s="242"/>
      <c r="H85" s="238"/>
      <c r="I85" s="241"/>
      <c r="J85" s="240"/>
      <c r="K85" s="19"/>
    </row>
    <row r="86" spans="1:11" ht="19.5" customHeight="1" x14ac:dyDescent="0.25">
      <c r="A86" s="19"/>
      <c r="B86" s="233"/>
      <c r="C86" s="238"/>
      <c r="D86" s="239"/>
      <c r="E86" s="240"/>
      <c r="F86" s="19"/>
      <c r="G86" s="242"/>
      <c r="H86" s="238"/>
      <c r="I86" s="241"/>
      <c r="J86" s="240"/>
      <c r="K86" s="19"/>
    </row>
    <row r="87" spans="1:11" ht="19.5" customHeight="1" x14ac:dyDescent="0.25">
      <c r="A87" s="19"/>
      <c r="B87" s="233"/>
      <c r="C87" s="238"/>
      <c r="D87" s="239"/>
      <c r="E87" s="240"/>
      <c r="F87" s="19"/>
      <c r="G87" s="242"/>
      <c r="H87" s="238"/>
      <c r="I87" s="241"/>
      <c r="J87" s="240"/>
      <c r="K87" s="19"/>
    </row>
    <row r="88" spans="1:11" ht="19.5" customHeight="1" x14ac:dyDescent="0.25">
      <c r="A88" s="19"/>
      <c r="B88" s="233"/>
      <c r="C88" s="238"/>
      <c r="D88" s="239"/>
      <c r="E88" s="240"/>
      <c r="F88" s="19"/>
      <c r="G88" s="242"/>
      <c r="H88" s="238"/>
      <c r="I88" s="241"/>
      <c r="J88" s="240"/>
      <c r="K88" s="19"/>
    </row>
    <row r="89" spans="1:11" ht="19.5" customHeight="1" x14ac:dyDescent="0.25">
      <c r="A89" s="19"/>
      <c r="B89" s="233"/>
      <c r="C89" s="238"/>
      <c r="D89" s="239"/>
      <c r="E89" s="240"/>
      <c r="F89" s="19"/>
      <c r="G89" s="242"/>
      <c r="H89" s="238"/>
      <c r="I89" s="241"/>
      <c r="J89" s="240"/>
      <c r="K89" s="19"/>
    </row>
    <row r="90" spans="1:11" ht="19.5" customHeight="1" x14ac:dyDescent="0.25">
      <c r="A90" s="19"/>
      <c r="B90" s="233"/>
      <c r="C90" s="238"/>
      <c r="D90" s="239"/>
      <c r="E90" s="240"/>
      <c r="F90" s="19"/>
      <c r="G90" s="242"/>
      <c r="H90" s="238"/>
      <c r="I90" s="241"/>
      <c r="J90" s="240"/>
      <c r="K90" s="19"/>
    </row>
    <row r="91" spans="1:11" ht="19.5" customHeight="1" x14ac:dyDescent="0.25">
      <c r="A91" s="19"/>
      <c r="B91" s="233"/>
      <c r="C91" s="238"/>
      <c r="D91" s="239"/>
      <c r="E91" s="240"/>
      <c r="F91" s="19"/>
      <c r="G91" s="242"/>
      <c r="H91" s="238"/>
      <c r="I91" s="241"/>
      <c r="J91" s="240"/>
      <c r="K91" s="19"/>
    </row>
    <row r="92" spans="1:11" ht="19.5" customHeight="1" x14ac:dyDescent="0.25">
      <c r="A92" s="19"/>
      <c r="B92" s="233"/>
      <c r="C92" s="238"/>
      <c r="D92" s="239"/>
      <c r="E92" s="240"/>
      <c r="F92" s="19"/>
      <c r="G92" s="242"/>
      <c r="H92" s="238"/>
      <c r="I92" s="241"/>
      <c r="J92" s="240"/>
      <c r="K92" s="19"/>
    </row>
    <row r="93" spans="1:11" ht="19.5" customHeight="1" x14ac:dyDescent="0.25">
      <c r="A93" s="19"/>
      <c r="B93" s="233"/>
      <c r="C93" s="238"/>
      <c r="D93" s="239"/>
      <c r="E93" s="240"/>
      <c r="F93" s="19"/>
      <c r="G93" s="242"/>
      <c r="H93" s="238"/>
      <c r="I93" s="241"/>
      <c r="J93" s="240"/>
      <c r="K93" s="19"/>
    </row>
    <row r="94" spans="1:11" ht="19.5" customHeight="1" x14ac:dyDescent="0.25">
      <c r="A94" s="19"/>
      <c r="B94" s="233"/>
      <c r="C94" s="238"/>
      <c r="D94" s="239"/>
      <c r="E94" s="240"/>
      <c r="F94" s="19"/>
      <c r="G94" s="242"/>
      <c r="H94" s="238"/>
      <c r="I94" s="241"/>
      <c r="J94" s="240"/>
      <c r="K94" s="19"/>
    </row>
    <row r="95" spans="1:11" ht="19.5" customHeight="1" x14ac:dyDescent="0.25">
      <c r="A95" s="19"/>
      <c r="B95" s="233"/>
      <c r="C95" s="238"/>
      <c r="D95" s="239"/>
      <c r="E95" s="240"/>
      <c r="F95" s="19"/>
      <c r="G95" s="242"/>
      <c r="H95" s="238"/>
      <c r="I95" s="241"/>
      <c r="J95" s="240"/>
      <c r="K95" s="19"/>
    </row>
    <row r="96" spans="1:11" ht="19.5" customHeight="1" x14ac:dyDescent="0.25">
      <c r="A96" s="19"/>
      <c r="B96" s="233"/>
      <c r="C96" s="238"/>
      <c r="D96" s="239"/>
      <c r="E96" s="240"/>
      <c r="F96" s="19"/>
      <c r="G96" s="242"/>
      <c r="H96" s="238"/>
      <c r="I96" s="241"/>
      <c r="J96" s="240"/>
      <c r="K96" s="19"/>
    </row>
    <row r="97" spans="1:11" ht="19.5" customHeight="1" x14ac:dyDescent="0.25">
      <c r="A97" s="19"/>
      <c r="B97" s="233"/>
      <c r="C97" s="238"/>
      <c r="D97" s="239"/>
      <c r="E97" s="240"/>
      <c r="F97" s="19"/>
      <c r="G97" s="242"/>
      <c r="H97" s="238"/>
      <c r="I97" s="241"/>
      <c r="J97" s="240"/>
      <c r="K97" s="19"/>
    </row>
    <row r="98" spans="1:11" ht="19.5" customHeight="1" x14ac:dyDescent="0.25">
      <c r="A98" s="19"/>
      <c r="B98" s="233"/>
      <c r="C98" s="238"/>
      <c r="D98" s="239"/>
      <c r="E98" s="240"/>
      <c r="F98" s="19"/>
      <c r="G98" s="242"/>
      <c r="H98" s="238"/>
      <c r="I98" s="241"/>
      <c r="J98" s="240"/>
      <c r="K98" s="19"/>
    </row>
    <row r="99" spans="1:11" ht="19.5" customHeight="1" x14ac:dyDescent="0.25">
      <c r="A99" s="19"/>
      <c r="B99" s="233"/>
      <c r="C99" s="238"/>
      <c r="D99" s="239"/>
      <c r="E99" s="240"/>
      <c r="F99" s="19"/>
      <c r="G99" s="242"/>
      <c r="H99" s="238"/>
      <c r="I99" s="241"/>
      <c r="J99" s="240"/>
      <c r="K99" s="19"/>
    </row>
    <row r="100" spans="1:11" ht="19.5" customHeight="1" x14ac:dyDescent="0.25">
      <c r="A100" s="19"/>
      <c r="B100" s="233"/>
      <c r="C100" s="238"/>
      <c r="D100" s="239"/>
      <c r="E100" s="240"/>
      <c r="F100" s="19"/>
      <c r="G100" s="242"/>
      <c r="H100" s="238"/>
      <c r="I100" s="241"/>
      <c r="J100" s="240"/>
      <c r="K100" s="19"/>
    </row>
    <row r="101" spans="1:11" ht="19.5" customHeight="1" x14ac:dyDescent="0.25">
      <c r="A101" s="19"/>
      <c r="B101" s="233"/>
      <c r="C101" s="238"/>
      <c r="D101" s="239"/>
      <c r="E101" s="240"/>
      <c r="F101" s="19"/>
      <c r="G101" s="242"/>
      <c r="H101" s="238"/>
      <c r="I101" s="241"/>
      <c r="J101" s="240"/>
      <c r="K101" s="19"/>
    </row>
    <row r="102" spans="1:11" ht="19.5" customHeight="1" x14ac:dyDescent="0.25">
      <c r="A102" s="19"/>
      <c r="B102" s="233"/>
      <c r="C102" s="238"/>
      <c r="D102" s="239"/>
      <c r="E102" s="240"/>
      <c r="F102" s="19"/>
      <c r="G102" s="242"/>
      <c r="H102" s="238"/>
      <c r="I102" s="241"/>
      <c r="J102" s="240"/>
      <c r="K102" s="19"/>
    </row>
    <row r="103" spans="1:11" ht="19.5" customHeight="1" x14ac:dyDescent="0.25">
      <c r="A103" s="19"/>
      <c r="B103" s="233"/>
      <c r="C103" s="238"/>
      <c r="D103" s="239"/>
      <c r="E103" s="240"/>
      <c r="F103" s="19"/>
      <c r="G103" s="242"/>
      <c r="H103" s="238"/>
      <c r="I103" s="241"/>
      <c r="J103" s="240"/>
      <c r="K103" s="19"/>
    </row>
    <row r="104" spans="1:11" ht="19.5" customHeight="1" x14ac:dyDescent="0.25">
      <c r="A104" s="19"/>
      <c r="B104" s="233"/>
      <c r="C104" s="238"/>
      <c r="D104" s="239"/>
      <c r="E104" s="240"/>
      <c r="F104" s="19"/>
      <c r="G104" s="242"/>
      <c r="H104" s="238"/>
      <c r="I104" s="241"/>
      <c r="J104" s="240"/>
      <c r="K104" s="19"/>
    </row>
    <row r="105" spans="1:11" ht="19.5" customHeight="1" x14ac:dyDescent="0.25">
      <c r="A105" s="19"/>
      <c r="B105" s="233"/>
      <c r="C105" s="238"/>
      <c r="D105" s="239"/>
      <c r="E105" s="240"/>
      <c r="F105" s="19"/>
      <c r="G105" s="242"/>
      <c r="H105" s="238"/>
      <c r="I105" s="241"/>
      <c r="J105" s="240"/>
      <c r="K105" s="19"/>
    </row>
    <row r="106" spans="1:11" ht="19.5" customHeight="1" x14ac:dyDescent="0.25">
      <c r="A106" s="19"/>
      <c r="B106" s="233"/>
      <c r="C106" s="238"/>
      <c r="D106" s="239"/>
      <c r="E106" s="240"/>
      <c r="F106" s="19"/>
      <c r="G106" s="242"/>
      <c r="H106" s="238"/>
      <c r="I106" s="241"/>
      <c r="J106" s="240"/>
      <c r="K106" s="19"/>
    </row>
    <row r="107" spans="1:11" ht="19.5" customHeight="1" x14ac:dyDescent="0.25">
      <c r="A107" s="19"/>
      <c r="B107" s="233"/>
      <c r="C107" s="238"/>
      <c r="D107" s="239"/>
      <c r="E107" s="240"/>
      <c r="F107" s="19"/>
      <c r="G107" s="242"/>
      <c r="H107" s="238"/>
      <c r="I107" s="241"/>
      <c r="J107" s="240"/>
      <c r="K107" s="19"/>
    </row>
    <row r="108" spans="1:11" ht="19.5" customHeight="1" x14ac:dyDescent="0.25">
      <c r="A108" s="19"/>
      <c r="B108" s="233"/>
      <c r="C108" s="238"/>
      <c r="D108" s="239"/>
      <c r="E108" s="240"/>
      <c r="F108" s="19"/>
      <c r="G108" s="242"/>
      <c r="H108" s="238"/>
      <c r="I108" s="241"/>
      <c r="J108" s="240"/>
      <c r="K108" s="19"/>
    </row>
    <row r="109" spans="1:11" ht="19.5" customHeight="1" x14ac:dyDescent="0.25">
      <c r="A109" s="19"/>
      <c r="B109" s="233"/>
      <c r="C109" s="238"/>
      <c r="D109" s="239"/>
      <c r="E109" s="240"/>
      <c r="F109" s="19"/>
      <c r="G109" s="242"/>
      <c r="H109" s="238"/>
      <c r="I109" s="241"/>
      <c r="J109" s="240"/>
      <c r="K109" s="19"/>
    </row>
    <row r="110" spans="1:11" ht="19.5" customHeight="1" x14ac:dyDescent="0.25">
      <c r="A110" s="19"/>
      <c r="B110" s="233"/>
      <c r="C110" s="238"/>
      <c r="D110" s="239"/>
      <c r="E110" s="240"/>
      <c r="F110" s="19"/>
      <c r="G110" s="242"/>
      <c r="H110" s="238"/>
      <c r="I110" s="241"/>
      <c r="J110" s="240"/>
      <c r="K110" s="19"/>
    </row>
    <row r="111" spans="1:11" ht="19.5" customHeight="1" x14ac:dyDescent="0.25">
      <c r="A111" s="19"/>
      <c r="B111" s="233"/>
      <c r="C111" s="238"/>
      <c r="D111" s="239"/>
      <c r="E111" s="240"/>
      <c r="F111" s="19"/>
      <c r="G111" s="242"/>
      <c r="H111" s="238"/>
      <c r="I111" s="241"/>
      <c r="J111" s="240"/>
      <c r="K111" s="19"/>
    </row>
    <row r="112" spans="1:11" ht="19.5" customHeight="1" x14ac:dyDescent="0.25">
      <c r="A112" s="19"/>
      <c r="B112" s="233"/>
      <c r="C112" s="238"/>
      <c r="D112" s="239"/>
      <c r="E112" s="240"/>
      <c r="F112" s="19"/>
      <c r="G112" s="242"/>
      <c r="H112" s="238"/>
      <c r="I112" s="241"/>
      <c r="J112" s="240"/>
      <c r="K112" s="19"/>
    </row>
    <row r="113" spans="1:11" ht="19.5" customHeight="1" x14ac:dyDescent="0.25">
      <c r="A113" s="19"/>
      <c r="B113" s="233"/>
      <c r="C113" s="238"/>
      <c r="D113" s="239"/>
      <c r="E113" s="240"/>
      <c r="F113" s="19"/>
      <c r="G113" s="242"/>
      <c r="H113" s="238"/>
      <c r="I113" s="241"/>
      <c r="J113" s="240"/>
      <c r="K113" s="19"/>
    </row>
    <row r="114" spans="1:11" ht="19.5" customHeight="1" x14ac:dyDescent="0.25">
      <c r="A114" s="19"/>
      <c r="B114" s="233"/>
      <c r="C114" s="238"/>
      <c r="D114" s="239"/>
      <c r="E114" s="240"/>
      <c r="F114" s="19"/>
      <c r="G114" s="242"/>
      <c r="H114" s="238"/>
      <c r="I114" s="241"/>
      <c r="J114" s="240"/>
      <c r="K114" s="19"/>
    </row>
    <row r="115" spans="1:11" ht="19.5" customHeight="1" x14ac:dyDescent="0.25">
      <c r="A115" s="19"/>
      <c r="B115" s="233"/>
      <c r="C115" s="238"/>
      <c r="D115" s="239"/>
      <c r="E115" s="240"/>
      <c r="F115" s="19"/>
      <c r="G115" s="242"/>
      <c r="H115" s="238"/>
      <c r="I115" s="241"/>
      <c r="J115" s="240"/>
      <c r="K115" s="19"/>
    </row>
    <row r="116" spans="1:11" ht="19.5" customHeight="1" x14ac:dyDescent="0.25">
      <c r="A116" s="19"/>
      <c r="B116" s="233"/>
      <c r="C116" s="238"/>
      <c r="D116" s="239"/>
      <c r="E116" s="240"/>
      <c r="F116" s="19"/>
      <c r="G116" s="242"/>
      <c r="H116" s="238"/>
      <c r="I116" s="241"/>
      <c r="J116" s="240"/>
      <c r="K116" s="19"/>
    </row>
    <row r="117" spans="1:11" ht="19.5" customHeight="1" x14ac:dyDescent="0.25">
      <c r="A117" s="19"/>
      <c r="B117" s="233"/>
      <c r="C117" s="238"/>
      <c r="D117" s="239"/>
      <c r="E117" s="240"/>
      <c r="F117" s="19"/>
      <c r="G117" s="242"/>
      <c r="H117" s="238"/>
      <c r="I117" s="241"/>
      <c r="J117" s="240"/>
      <c r="K117" s="19"/>
    </row>
    <row r="118" spans="1:11" ht="19.5" customHeight="1" x14ac:dyDescent="0.25">
      <c r="A118" s="19"/>
      <c r="B118" s="233"/>
      <c r="C118" s="238"/>
      <c r="D118" s="239"/>
      <c r="E118" s="240"/>
      <c r="F118" s="19"/>
      <c r="G118" s="242"/>
      <c r="H118" s="238"/>
      <c r="I118" s="241"/>
      <c r="J118" s="240"/>
      <c r="K118" s="19"/>
    </row>
    <row r="119" spans="1:11" ht="19.5" customHeight="1" x14ac:dyDescent="0.25">
      <c r="A119" s="19"/>
      <c r="B119" s="233"/>
      <c r="C119" s="238"/>
      <c r="D119" s="239"/>
      <c r="E119" s="240"/>
      <c r="F119" s="19"/>
      <c r="G119" s="242"/>
      <c r="H119" s="238"/>
      <c r="I119" s="241"/>
      <c r="J119" s="240"/>
      <c r="K119" s="19"/>
    </row>
    <row r="120" spans="1:11" ht="19.5" customHeight="1" x14ac:dyDescent="0.25">
      <c r="A120" s="19"/>
      <c r="B120" s="233"/>
      <c r="C120" s="238"/>
      <c r="D120" s="239"/>
      <c r="E120" s="240"/>
      <c r="F120" s="19"/>
      <c r="G120" s="242"/>
      <c r="H120" s="238"/>
      <c r="I120" s="241"/>
      <c r="J120" s="240"/>
      <c r="K120" s="19"/>
    </row>
    <row r="121" spans="1:11" ht="19.5" customHeight="1" x14ac:dyDescent="0.25">
      <c r="A121" s="19"/>
      <c r="B121" s="233"/>
      <c r="C121" s="238"/>
      <c r="D121" s="239"/>
      <c r="E121" s="240"/>
      <c r="F121" s="19"/>
      <c r="G121" s="242"/>
      <c r="H121" s="238"/>
      <c r="I121" s="241"/>
      <c r="J121" s="240"/>
      <c r="K121" s="19"/>
    </row>
    <row r="122" spans="1:11" ht="19.5" customHeight="1" x14ac:dyDescent="0.25">
      <c r="A122" s="19"/>
      <c r="B122" s="233"/>
      <c r="C122" s="238"/>
      <c r="D122" s="239"/>
      <c r="E122" s="240"/>
      <c r="F122" s="19"/>
      <c r="G122" s="242"/>
      <c r="H122" s="238"/>
      <c r="I122" s="241"/>
      <c r="J122" s="240"/>
      <c r="K122" s="19"/>
    </row>
    <row r="123" spans="1:11" ht="19.5" customHeight="1" x14ac:dyDescent="0.25">
      <c r="A123" s="19"/>
      <c r="B123" s="233"/>
      <c r="C123" s="238"/>
      <c r="D123" s="239"/>
      <c r="E123" s="240"/>
      <c r="F123" s="19"/>
      <c r="G123" s="242"/>
      <c r="H123" s="238"/>
      <c r="I123" s="241"/>
      <c r="J123" s="240"/>
      <c r="K123" s="19"/>
    </row>
    <row r="124" spans="1:11" ht="19.5" customHeight="1" x14ac:dyDescent="0.25">
      <c r="A124" s="19"/>
      <c r="B124" s="233"/>
      <c r="C124" s="238"/>
      <c r="D124" s="239"/>
      <c r="E124" s="240"/>
      <c r="F124" s="19"/>
      <c r="G124" s="242"/>
      <c r="H124" s="238"/>
      <c r="I124" s="241"/>
      <c r="J124" s="240"/>
      <c r="K124" s="19"/>
    </row>
    <row r="125" spans="1:11" ht="19.5" customHeight="1" x14ac:dyDescent="0.25">
      <c r="A125" s="19"/>
      <c r="B125" s="233"/>
      <c r="C125" s="238"/>
      <c r="D125" s="239"/>
      <c r="E125" s="240"/>
      <c r="F125" s="19"/>
      <c r="G125" s="242"/>
      <c r="H125" s="238"/>
      <c r="I125" s="241"/>
      <c r="J125" s="240"/>
      <c r="K125" s="19"/>
    </row>
    <row r="126" spans="1:11" ht="19.5" customHeight="1" x14ac:dyDescent="0.25">
      <c r="A126" s="19"/>
      <c r="B126" s="233"/>
      <c r="C126" s="238"/>
      <c r="D126" s="239"/>
      <c r="E126" s="240"/>
      <c r="F126" s="19"/>
      <c r="G126" s="242"/>
      <c r="H126" s="238"/>
      <c r="I126" s="241"/>
      <c r="J126" s="240"/>
      <c r="K126" s="19"/>
    </row>
    <row r="127" spans="1:11" ht="19.5" customHeight="1" x14ac:dyDescent="0.25">
      <c r="A127" s="19"/>
      <c r="B127" s="233"/>
      <c r="C127" s="238"/>
      <c r="D127" s="239"/>
      <c r="E127" s="240"/>
      <c r="F127" s="19"/>
      <c r="G127" s="242"/>
      <c r="H127" s="238"/>
      <c r="I127" s="241"/>
      <c r="J127" s="240"/>
      <c r="K127" s="19"/>
    </row>
    <row r="128" spans="1:11" ht="19.5" customHeight="1" x14ac:dyDescent="0.25">
      <c r="A128" s="19"/>
      <c r="B128" s="233"/>
      <c r="C128" s="238"/>
      <c r="D128" s="239"/>
      <c r="E128" s="240"/>
      <c r="F128" s="19"/>
      <c r="G128" s="242"/>
      <c r="H128" s="238"/>
      <c r="I128" s="241"/>
      <c r="J128" s="240"/>
      <c r="K128" s="19"/>
    </row>
    <row r="129" spans="1:11" ht="19.5" customHeight="1" x14ac:dyDescent="0.25">
      <c r="A129" s="19"/>
      <c r="B129" s="233"/>
      <c r="C129" s="238"/>
      <c r="D129" s="239"/>
      <c r="E129" s="240"/>
      <c r="F129" s="19"/>
      <c r="G129" s="242"/>
      <c r="H129" s="238"/>
      <c r="I129" s="241"/>
      <c r="J129" s="240"/>
      <c r="K129" s="19"/>
    </row>
    <row r="130" spans="1:11" ht="19.5" customHeight="1" x14ac:dyDescent="0.25">
      <c r="A130" s="19"/>
      <c r="B130" s="233"/>
      <c r="C130" s="238"/>
      <c r="D130" s="239"/>
      <c r="E130" s="240"/>
      <c r="F130" s="19"/>
      <c r="G130" s="242"/>
      <c r="H130" s="238"/>
      <c r="I130" s="241"/>
      <c r="J130" s="240"/>
      <c r="K130" s="19"/>
    </row>
    <row r="131" spans="1:11" ht="19.5" customHeight="1" x14ac:dyDescent="0.25">
      <c r="A131" s="19"/>
      <c r="B131" s="233"/>
      <c r="C131" s="238"/>
      <c r="D131" s="239"/>
      <c r="E131" s="240"/>
      <c r="F131" s="19"/>
      <c r="G131" s="242"/>
      <c r="H131" s="238"/>
      <c r="I131" s="241"/>
      <c r="J131" s="240"/>
      <c r="K131" s="19"/>
    </row>
    <row r="132" spans="1:11" ht="19.5" customHeight="1" x14ac:dyDescent="0.25">
      <c r="A132" s="19"/>
      <c r="B132" s="233"/>
      <c r="C132" s="238"/>
      <c r="D132" s="239"/>
      <c r="E132" s="240"/>
      <c r="F132" s="19"/>
      <c r="G132" s="242"/>
      <c r="H132" s="238"/>
      <c r="I132" s="241"/>
      <c r="J132" s="240"/>
      <c r="K132" s="19"/>
    </row>
    <row r="133" spans="1:11" ht="19.5" customHeight="1" x14ac:dyDescent="0.25">
      <c r="A133" s="19"/>
      <c r="B133" s="233"/>
      <c r="C133" s="238"/>
      <c r="D133" s="239"/>
      <c r="E133" s="240"/>
      <c r="F133" s="19"/>
      <c r="G133" s="242"/>
      <c r="H133" s="238"/>
      <c r="I133" s="241"/>
      <c r="J133" s="240"/>
      <c r="K133" s="19"/>
    </row>
    <row r="134" spans="1:11" ht="19.5" customHeight="1" x14ac:dyDescent="0.25">
      <c r="A134" s="19"/>
      <c r="B134" s="233"/>
      <c r="C134" s="238"/>
      <c r="D134" s="239"/>
      <c r="E134" s="240"/>
      <c r="F134" s="19"/>
      <c r="G134" s="242"/>
      <c r="H134" s="238"/>
      <c r="I134" s="241"/>
      <c r="J134" s="240"/>
      <c r="K134" s="19"/>
    </row>
    <row r="135" spans="1:11" ht="19.5" customHeight="1" x14ac:dyDescent="0.25">
      <c r="A135" s="19"/>
      <c r="B135" s="233"/>
      <c r="C135" s="238"/>
      <c r="D135" s="239"/>
      <c r="E135" s="240"/>
      <c r="F135" s="19"/>
      <c r="G135" s="242"/>
      <c r="H135" s="238"/>
      <c r="I135" s="241"/>
      <c r="J135" s="240"/>
      <c r="K135" s="19"/>
    </row>
    <row r="136" spans="1:11" ht="19.5" customHeight="1" x14ac:dyDescent="0.25">
      <c r="A136" s="19"/>
      <c r="B136" s="233"/>
      <c r="C136" s="238"/>
      <c r="D136" s="239"/>
      <c r="E136" s="240"/>
      <c r="F136" s="19"/>
      <c r="G136" s="242"/>
      <c r="H136" s="238"/>
      <c r="I136" s="241"/>
      <c r="J136" s="240"/>
      <c r="K136" s="19"/>
    </row>
    <row r="137" spans="1:11" ht="19.5" customHeight="1" x14ac:dyDescent="0.25">
      <c r="A137" s="19"/>
      <c r="B137" s="233"/>
      <c r="C137" s="238"/>
      <c r="D137" s="239"/>
      <c r="E137" s="240"/>
      <c r="F137" s="19"/>
      <c r="G137" s="242"/>
      <c r="H137" s="238"/>
      <c r="I137" s="241"/>
      <c r="J137" s="240"/>
      <c r="K137" s="19"/>
    </row>
    <row r="138" spans="1:11" ht="19.5" customHeight="1" x14ac:dyDescent="0.25">
      <c r="A138" s="19"/>
      <c r="B138" s="233"/>
      <c r="C138" s="238"/>
      <c r="D138" s="239"/>
      <c r="E138" s="240"/>
      <c r="F138" s="19"/>
      <c r="G138" s="242"/>
      <c r="H138" s="238"/>
      <c r="I138" s="241"/>
      <c r="J138" s="240"/>
      <c r="K138" s="19"/>
    </row>
    <row r="139" spans="1:11" ht="19.5" customHeight="1" x14ac:dyDescent="0.25">
      <c r="A139" s="19"/>
      <c r="B139" s="233"/>
      <c r="C139" s="238"/>
      <c r="D139" s="239"/>
      <c r="E139" s="240"/>
      <c r="F139" s="19"/>
      <c r="G139" s="245"/>
      <c r="H139" s="246"/>
      <c r="I139" s="126"/>
      <c r="J139" s="247"/>
      <c r="K139" s="19"/>
    </row>
    <row r="140" spans="1:11" ht="19.5" customHeight="1" x14ac:dyDescent="0.25">
      <c r="A140" s="19"/>
      <c r="B140" s="233"/>
      <c r="C140" s="238"/>
      <c r="D140" s="239"/>
      <c r="E140" s="240"/>
      <c r="F140" s="19"/>
      <c r="G140" s="245"/>
      <c r="H140" s="246"/>
      <c r="I140" s="126"/>
      <c r="J140" s="247"/>
      <c r="K140" s="19"/>
    </row>
    <row r="141" spans="1:11" ht="19.5" customHeight="1" x14ac:dyDescent="0.25">
      <c r="A141" s="19"/>
      <c r="B141" s="233"/>
      <c r="C141" s="238"/>
      <c r="D141" s="239"/>
      <c r="E141" s="240"/>
      <c r="F141" s="19"/>
      <c r="G141" s="245"/>
      <c r="H141" s="246"/>
      <c r="I141" s="126"/>
      <c r="J141" s="247"/>
      <c r="K141" s="19"/>
    </row>
    <row r="142" spans="1:11" ht="19.5" customHeight="1" x14ac:dyDescent="0.25">
      <c r="A142" s="19"/>
      <c r="B142" s="233"/>
      <c r="C142" s="238"/>
      <c r="D142" s="239"/>
      <c r="E142" s="240"/>
      <c r="F142" s="19"/>
      <c r="G142" s="245"/>
      <c r="H142" s="246"/>
      <c r="I142" s="126"/>
      <c r="J142" s="247"/>
      <c r="K142" s="19"/>
    </row>
    <row r="143" spans="1:11" ht="19.5" customHeight="1" x14ac:dyDescent="0.25">
      <c r="A143" s="19"/>
      <c r="B143" s="233"/>
      <c r="C143" s="238"/>
      <c r="D143" s="239"/>
      <c r="E143" s="240"/>
      <c r="F143" s="19"/>
      <c r="G143" s="245"/>
      <c r="H143" s="246"/>
      <c r="I143" s="126"/>
      <c r="J143" s="247"/>
      <c r="K143" s="19"/>
    </row>
    <row r="144" spans="1:11" ht="19.5" customHeight="1" x14ac:dyDescent="0.25">
      <c r="A144" s="19"/>
      <c r="B144" s="233"/>
      <c r="C144" s="238"/>
      <c r="D144" s="239"/>
      <c r="E144" s="240"/>
      <c r="F144" s="19"/>
      <c r="G144" s="245"/>
      <c r="H144" s="246"/>
      <c r="I144" s="126"/>
      <c r="J144" s="247"/>
      <c r="K144" s="19"/>
    </row>
    <row r="145" spans="1:11" ht="19.5" customHeight="1" x14ac:dyDescent="0.25">
      <c r="A145" s="19"/>
      <c r="B145" s="233"/>
      <c r="C145" s="238"/>
      <c r="D145" s="239"/>
      <c r="E145" s="240"/>
      <c r="F145" s="19"/>
      <c r="G145" s="245"/>
      <c r="H145" s="246"/>
      <c r="I145" s="126"/>
      <c r="J145" s="247"/>
      <c r="K145" s="19"/>
    </row>
    <row r="146" spans="1:11" ht="19.5" customHeight="1" x14ac:dyDescent="0.25">
      <c r="A146" s="19"/>
      <c r="B146" s="233"/>
      <c r="C146" s="238"/>
      <c r="D146" s="239"/>
      <c r="E146" s="240"/>
      <c r="F146" s="19"/>
      <c r="G146" s="245"/>
      <c r="H146" s="246"/>
      <c r="I146" s="126"/>
      <c r="J146" s="247"/>
      <c r="K146" s="19"/>
    </row>
    <row r="147" spans="1:11" ht="19.5" customHeight="1" x14ac:dyDescent="0.25">
      <c r="A147" s="19"/>
      <c r="B147" s="233"/>
      <c r="C147" s="238"/>
      <c r="D147" s="239"/>
      <c r="E147" s="240"/>
      <c r="F147" s="19"/>
      <c r="G147" s="245"/>
      <c r="H147" s="246"/>
      <c r="I147" s="126"/>
      <c r="J147" s="247"/>
      <c r="K147" s="19"/>
    </row>
    <row r="148" spans="1:11" ht="19.5" customHeight="1" x14ac:dyDescent="0.25">
      <c r="A148" s="19"/>
      <c r="B148" s="233"/>
      <c r="C148" s="238"/>
      <c r="D148" s="239"/>
      <c r="E148" s="240"/>
      <c r="F148" s="19"/>
      <c r="G148" s="245"/>
      <c r="H148" s="246"/>
      <c r="I148" s="126"/>
      <c r="J148" s="247"/>
      <c r="K148" s="19"/>
    </row>
    <row r="149" spans="1:11" ht="19.5" customHeight="1" x14ac:dyDescent="0.25">
      <c r="A149" s="19"/>
      <c r="B149" s="233"/>
      <c r="C149" s="238"/>
      <c r="D149" s="239"/>
      <c r="E149" s="240"/>
      <c r="F149" s="19"/>
      <c r="G149" s="245"/>
      <c r="H149" s="246"/>
      <c r="I149" s="126"/>
      <c r="J149" s="247"/>
      <c r="K149" s="19"/>
    </row>
    <row r="150" spans="1:11" ht="19.5" customHeight="1" x14ac:dyDescent="0.25">
      <c r="A150" s="19"/>
      <c r="B150" s="233"/>
      <c r="C150" s="238"/>
      <c r="D150" s="239"/>
      <c r="E150" s="240"/>
      <c r="F150" s="19"/>
      <c r="G150" s="245"/>
      <c r="H150" s="246"/>
      <c r="I150" s="126"/>
      <c r="J150" s="247"/>
      <c r="K150" s="19"/>
    </row>
    <row r="151" spans="1:11" ht="19.5" customHeight="1" x14ac:dyDescent="0.25">
      <c r="A151" s="19"/>
      <c r="B151" s="233"/>
      <c r="C151" s="238"/>
      <c r="D151" s="239"/>
      <c r="E151" s="240"/>
      <c r="F151" s="19"/>
      <c r="G151" s="245"/>
      <c r="H151" s="246"/>
      <c r="I151" s="126"/>
      <c r="J151" s="247"/>
      <c r="K151" s="19"/>
    </row>
    <row r="152" spans="1:11" ht="19.5" customHeight="1" x14ac:dyDescent="0.25">
      <c r="A152" s="19"/>
      <c r="B152" s="233"/>
      <c r="C152" s="238"/>
      <c r="D152" s="239"/>
      <c r="E152" s="240"/>
      <c r="F152" s="19"/>
      <c r="G152" s="245"/>
      <c r="H152" s="246"/>
      <c r="I152" s="126"/>
      <c r="J152" s="247"/>
      <c r="K152" s="19"/>
    </row>
    <row r="153" spans="1:11" ht="19.5" customHeight="1" x14ac:dyDescent="0.25">
      <c r="A153" s="19"/>
      <c r="B153" s="233"/>
      <c r="C153" s="238"/>
      <c r="D153" s="239"/>
      <c r="E153" s="240"/>
      <c r="F153" s="19"/>
      <c r="G153" s="245"/>
      <c r="H153" s="246"/>
      <c r="I153" s="126"/>
      <c r="J153" s="247"/>
      <c r="K153" s="19"/>
    </row>
    <row r="154" spans="1:11" ht="19.5" customHeight="1" x14ac:dyDescent="0.25">
      <c r="A154" s="19"/>
      <c r="B154" s="233"/>
      <c r="C154" s="238"/>
      <c r="D154" s="239"/>
      <c r="E154" s="240"/>
      <c r="F154" s="19"/>
      <c r="G154" s="245"/>
      <c r="H154" s="246"/>
      <c r="I154" s="126"/>
      <c r="J154" s="247"/>
      <c r="K154" s="19"/>
    </row>
    <row r="155" spans="1:11" ht="19.5" customHeight="1" x14ac:dyDescent="0.25">
      <c r="A155" s="19"/>
      <c r="B155" s="233"/>
      <c r="C155" s="238"/>
      <c r="D155" s="239"/>
      <c r="E155" s="240"/>
      <c r="F155" s="19"/>
      <c r="G155" s="245"/>
      <c r="H155" s="246"/>
      <c r="I155" s="126"/>
      <c r="J155" s="247"/>
      <c r="K155" s="19"/>
    </row>
    <row r="156" spans="1:11" ht="19.5" customHeight="1" x14ac:dyDescent="0.25">
      <c r="A156" s="19"/>
      <c r="B156" s="233"/>
      <c r="C156" s="238"/>
      <c r="D156" s="239"/>
      <c r="E156" s="240"/>
      <c r="F156" s="19"/>
      <c r="G156" s="245"/>
      <c r="H156" s="246"/>
      <c r="I156" s="126"/>
      <c r="J156" s="247"/>
      <c r="K156" s="19"/>
    </row>
    <row r="157" spans="1:11" ht="19.5" customHeight="1" x14ac:dyDescent="0.25">
      <c r="A157" s="19"/>
      <c r="B157" s="233"/>
      <c r="C157" s="238"/>
      <c r="D157" s="239"/>
      <c r="E157" s="240"/>
      <c r="F157" s="19"/>
      <c r="G157" s="245"/>
      <c r="H157" s="246"/>
      <c r="I157" s="126"/>
      <c r="J157" s="247"/>
      <c r="K157" s="19"/>
    </row>
    <row r="158" spans="1:11" ht="19.5" customHeight="1" x14ac:dyDescent="0.25">
      <c r="A158" s="19"/>
      <c r="B158" s="233"/>
      <c r="C158" s="238"/>
      <c r="D158" s="239"/>
      <c r="E158" s="240"/>
      <c r="F158" s="19"/>
      <c r="G158" s="245"/>
      <c r="H158" s="246"/>
      <c r="I158" s="126"/>
      <c r="J158" s="247"/>
      <c r="K158" s="19"/>
    </row>
    <row r="159" spans="1:11" ht="19.5" customHeight="1" x14ac:dyDescent="0.25">
      <c r="A159" s="19"/>
      <c r="B159" s="233"/>
      <c r="C159" s="238"/>
      <c r="D159" s="239"/>
      <c r="E159" s="240"/>
      <c r="F159" s="19"/>
      <c r="G159" s="245"/>
      <c r="H159" s="246"/>
      <c r="I159" s="126"/>
      <c r="J159" s="247"/>
      <c r="K159" s="19"/>
    </row>
    <row r="160" spans="1:11" ht="19.5" customHeight="1" x14ac:dyDescent="0.25">
      <c r="A160" s="19"/>
      <c r="B160" s="245"/>
      <c r="C160" s="246"/>
      <c r="D160" s="248"/>
      <c r="E160" s="247"/>
      <c r="F160" s="19"/>
      <c r="G160" s="245"/>
      <c r="H160" s="246"/>
      <c r="I160" s="126"/>
      <c r="J160" s="247"/>
      <c r="K160" s="19"/>
    </row>
    <row r="161" spans="1:11" ht="19.5" customHeight="1" x14ac:dyDescent="0.25">
      <c r="A161" s="19"/>
      <c r="B161" s="245"/>
      <c r="C161" s="246"/>
      <c r="D161" s="248"/>
      <c r="E161" s="247"/>
      <c r="F161" s="19"/>
      <c r="G161" s="245"/>
      <c r="H161" s="246"/>
      <c r="I161" s="126"/>
      <c r="J161" s="247"/>
      <c r="K161" s="19"/>
    </row>
    <row r="162" spans="1:11" ht="19.5" customHeight="1" x14ac:dyDescent="0.25">
      <c r="A162" s="19"/>
      <c r="B162" s="245"/>
      <c r="C162" s="246"/>
      <c r="D162" s="248"/>
      <c r="E162" s="247"/>
      <c r="F162" s="19"/>
      <c r="G162" s="245"/>
      <c r="H162" s="246"/>
      <c r="I162" s="126"/>
      <c r="J162" s="247"/>
      <c r="K162" s="19"/>
    </row>
    <row r="163" spans="1:11" ht="19.5" customHeight="1" x14ac:dyDescent="0.25">
      <c r="A163" s="19"/>
      <c r="B163" s="245"/>
      <c r="C163" s="246"/>
      <c r="D163" s="248"/>
      <c r="E163" s="247"/>
      <c r="F163" s="19"/>
      <c r="G163" s="245"/>
      <c r="H163" s="246"/>
      <c r="I163" s="126"/>
      <c r="J163" s="247"/>
      <c r="K163" s="19"/>
    </row>
    <row r="164" spans="1:11" ht="19.5" customHeight="1" x14ac:dyDescent="0.25">
      <c r="A164" s="19"/>
      <c r="B164" s="245"/>
      <c r="C164" s="246"/>
      <c r="D164" s="248"/>
      <c r="E164" s="247"/>
      <c r="F164" s="19"/>
      <c r="G164" s="245"/>
      <c r="H164" s="246"/>
      <c r="I164" s="126"/>
      <c r="J164" s="247"/>
      <c r="K164" s="19"/>
    </row>
    <row r="165" spans="1:11" ht="19.5" customHeight="1" x14ac:dyDescent="0.25">
      <c r="A165" s="19"/>
      <c r="B165" s="245"/>
      <c r="C165" s="246"/>
      <c r="D165" s="248"/>
      <c r="E165" s="247"/>
      <c r="F165" s="19"/>
      <c r="G165" s="245"/>
      <c r="H165" s="246"/>
      <c r="I165" s="126"/>
      <c r="J165" s="247"/>
      <c r="K165" s="19"/>
    </row>
    <row r="166" spans="1:11" ht="19.5" customHeight="1" x14ac:dyDescent="0.25">
      <c r="A166" s="19"/>
      <c r="B166" s="245"/>
      <c r="C166" s="246"/>
      <c r="D166" s="248"/>
      <c r="E166" s="247"/>
      <c r="F166" s="19"/>
      <c r="G166" s="245"/>
      <c r="H166" s="246"/>
      <c r="I166" s="126"/>
      <c r="J166" s="247"/>
      <c r="K166" s="19"/>
    </row>
    <row r="167" spans="1:11" ht="19.5" customHeight="1" x14ac:dyDescent="0.25">
      <c r="A167" s="19"/>
      <c r="B167" s="245"/>
      <c r="C167" s="246"/>
      <c r="D167" s="248"/>
      <c r="E167" s="247"/>
      <c r="F167" s="19"/>
      <c r="G167" s="245"/>
      <c r="H167" s="246"/>
      <c r="I167" s="126"/>
      <c r="J167" s="247"/>
      <c r="K167" s="19"/>
    </row>
    <row r="168" spans="1:11" ht="19.5" customHeight="1" x14ac:dyDescent="0.25">
      <c r="A168" s="19"/>
      <c r="B168" s="245"/>
      <c r="C168" s="246"/>
      <c r="D168" s="248"/>
      <c r="E168" s="247"/>
      <c r="F168" s="19"/>
      <c r="G168" s="245"/>
      <c r="H168" s="246"/>
      <c r="I168" s="126"/>
      <c r="J168" s="247"/>
      <c r="K168" s="19"/>
    </row>
    <row r="169" spans="1:11" ht="19.5" customHeight="1" x14ac:dyDescent="0.25">
      <c r="A169" s="19"/>
      <c r="B169" s="245"/>
      <c r="C169" s="246"/>
      <c r="D169" s="248"/>
      <c r="E169" s="247"/>
      <c r="F169" s="19"/>
      <c r="G169" s="245"/>
      <c r="H169" s="246"/>
      <c r="I169" s="126"/>
      <c r="J169" s="247"/>
      <c r="K169" s="19"/>
    </row>
    <row r="170" spans="1:11" ht="19.5" customHeight="1" x14ac:dyDescent="0.25">
      <c r="A170" s="19"/>
      <c r="B170" s="245"/>
      <c r="C170" s="246"/>
      <c r="D170" s="248"/>
      <c r="E170" s="247"/>
      <c r="F170" s="19"/>
      <c r="G170" s="245"/>
      <c r="H170" s="246"/>
      <c r="I170" s="126"/>
      <c r="J170" s="247"/>
      <c r="K170" s="19"/>
    </row>
    <row r="171" spans="1:11" ht="19.5" customHeight="1" x14ac:dyDescent="0.25">
      <c r="A171" s="19"/>
      <c r="B171" s="245"/>
      <c r="C171" s="246"/>
      <c r="D171" s="248"/>
      <c r="E171" s="247"/>
      <c r="F171" s="19"/>
      <c r="G171" s="245"/>
      <c r="H171" s="246"/>
      <c r="I171" s="126"/>
      <c r="J171" s="247"/>
      <c r="K171" s="19"/>
    </row>
    <row r="172" spans="1:11" ht="19.5" customHeight="1" x14ac:dyDescent="0.25">
      <c r="A172" s="19"/>
      <c r="B172" s="245"/>
      <c r="C172" s="246"/>
      <c r="D172" s="248"/>
      <c r="E172" s="247"/>
      <c r="F172" s="19"/>
      <c r="G172" s="245"/>
      <c r="H172" s="246"/>
      <c r="I172" s="126"/>
      <c r="J172" s="247"/>
      <c r="K172" s="19"/>
    </row>
    <row r="173" spans="1:11" ht="19.5" customHeight="1" x14ac:dyDescent="0.25">
      <c r="A173" s="19"/>
      <c r="B173" s="245"/>
      <c r="C173" s="246"/>
      <c r="D173" s="248"/>
      <c r="E173" s="247"/>
      <c r="F173" s="19"/>
      <c r="G173" s="245"/>
      <c r="H173" s="246"/>
      <c r="I173" s="126"/>
      <c r="J173" s="247"/>
      <c r="K173" s="19"/>
    </row>
    <row r="174" spans="1:11" ht="19.5" customHeight="1" x14ac:dyDescent="0.25">
      <c r="A174" s="19"/>
      <c r="B174" s="245"/>
      <c r="C174" s="246"/>
      <c r="D174" s="248"/>
      <c r="E174" s="247"/>
      <c r="F174" s="19"/>
      <c r="G174" s="245"/>
      <c r="H174" s="246"/>
      <c r="I174" s="126"/>
      <c r="J174" s="247"/>
      <c r="K174" s="19"/>
    </row>
    <row r="175" spans="1:11" ht="19.5" customHeight="1" x14ac:dyDescent="0.25">
      <c r="A175" s="19"/>
      <c r="B175" s="245"/>
      <c r="C175" s="246"/>
      <c r="D175" s="248"/>
      <c r="E175" s="247"/>
      <c r="F175" s="19"/>
      <c r="G175" s="245"/>
      <c r="H175" s="246"/>
      <c r="I175" s="126"/>
      <c r="J175" s="247"/>
      <c r="K175" s="19"/>
    </row>
    <row r="176" spans="1:11" ht="19.5" customHeight="1" x14ac:dyDescent="0.25">
      <c r="A176" s="19"/>
      <c r="B176" s="245"/>
      <c r="C176" s="246"/>
      <c r="D176" s="248"/>
      <c r="E176" s="247"/>
      <c r="F176" s="19"/>
      <c r="G176" s="245"/>
      <c r="H176" s="246"/>
      <c r="I176" s="126"/>
      <c r="J176" s="247"/>
      <c r="K176" s="19"/>
    </row>
    <row r="177" spans="1:11" ht="19.5" customHeight="1" x14ac:dyDescent="0.25">
      <c r="A177" s="19"/>
      <c r="B177" s="245"/>
      <c r="C177" s="246"/>
      <c r="D177" s="248"/>
      <c r="E177" s="247"/>
      <c r="F177" s="19"/>
      <c r="G177" s="245"/>
      <c r="H177" s="246"/>
      <c r="I177" s="126"/>
      <c r="J177" s="247"/>
      <c r="K177" s="19"/>
    </row>
    <row r="178" spans="1:11" ht="19.5" customHeight="1" x14ac:dyDescent="0.25">
      <c r="A178" s="19"/>
      <c r="B178" s="245"/>
      <c r="C178" s="246"/>
      <c r="D178" s="248"/>
      <c r="E178" s="247"/>
      <c r="F178" s="19"/>
      <c r="G178" s="245"/>
      <c r="H178" s="246"/>
      <c r="I178" s="126"/>
      <c r="J178" s="247"/>
      <c r="K178" s="19"/>
    </row>
    <row r="179" spans="1:11" ht="19.5" customHeight="1" x14ac:dyDescent="0.25">
      <c r="A179" s="19"/>
      <c r="B179" s="245"/>
      <c r="C179" s="246"/>
      <c r="D179" s="248"/>
      <c r="E179" s="247"/>
      <c r="F179" s="19"/>
      <c r="G179" s="245"/>
      <c r="H179" s="246"/>
      <c r="I179" s="126"/>
      <c r="J179" s="247"/>
      <c r="K179" s="19"/>
    </row>
    <row r="180" spans="1:11" ht="19.5" customHeight="1" x14ac:dyDescent="0.25">
      <c r="A180" s="19"/>
      <c r="B180" s="245"/>
      <c r="C180" s="246"/>
      <c r="D180" s="248"/>
      <c r="E180" s="247"/>
      <c r="F180" s="19"/>
      <c r="G180" s="245"/>
      <c r="H180" s="246"/>
      <c r="I180" s="126"/>
      <c r="J180" s="247"/>
      <c r="K180" s="19"/>
    </row>
    <row r="181" spans="1:11" ht="19.5" customHeight="1" x14ac:dyDescent="0.25">
      <c r="A181" s="19"/>
      <c r="B181" s="245"/>
      <c r="C181" s="246"/>
      <c r="D181" s="248"/>
      <c r="E181" s="247"/>
      <c r="F181" s="19"/>
      <c r="G181" s="245"/>
      <c r="H181" s="246"/>
      <c r="I181" s="126"/>
      <c r="J181" s="247"/>
      <c r="K181" s="19"/>
    </row>
    <row r="182" spans="1:11" ht="19.5" customHeight="1" x14ac:dyDescent="0.25">
      <c r="A182" s="19"/>
      <c r="B182" s="245"/>
      <c r="C182" s="246"/>
      <c r="D182" s="248"/>
      <c r="E182" s="247"/>
      <c r="F182" s="19"/>
      <c r="G182" s="245"/>
      <c r="H182" s="246"/>
      <c r="I182" s="126"/>
      <c r="J182" s="247"/>
      <c r="K182" s="19"/>
    </row>
    <row r="183" spans="1:11" ht="19.5" customHeight="1" x14ac:dyDescent="0.25">
      <c r="A183" s="19"/>
      <c r="B183" s="245"/>
      <c r="C183" s="246"/>
      <c r="D183" s="248"/>
      <c r="E183" s="247"/>
      <c r="F183" s="19"/>
      <c r="G183" s="245"/>
      <c r="H183" s="246"/>
      <c r="I183" s="126"/>
      <c r="J183" s="247"/>
      <c r="K183" s="19"/>
    </row>
    <row r="184" spans="1:11" ht="19.5" customHeight="1" x14ac:dyDescent="0.25">
      <c r="A184" s="19"/>
      <c r="B184" s="245"/>
      <c r="C184" s="246"/>
      <c r="D184" s="248"/>
      <c r="E184" s="247"/>
      <c r="F184" s="19"/>
      <c r="G184" s="245"/>
      <c r="H184" s="246"/>
      <c r="I184" s="126"/>
      <c r="J184" s="247"/>
      <c r="K184" s="19"/>
    </row>
    <row r="185" spans="1:11" ht="19.5" customHeight="1" x14ac:dyDescent="0.25">
      <c r="A185" s="19"/>
      <c r="B185" s="245"/>
      <c r="C185" s="246"/>
      <c r="D185" s="248"/>
      <c r="E185" s="247"/>
      <c r="F185" s="19"/>
      <c r="G185" s="245"/>
      <c r="H185" s="246"/>
      <c r="I185" s="126"/>
      <c r="J185" s="247"/>
      <c r="K185" s="19"/>
    </row>
    <row r="186" spans="1:11" ht="19.5" customHeight="1" x14ac:dyDescent="0.25">
      <c r="A186" s="19"/>
      <c r="B186" s="245"/>
      <c r="C186" s="246"/>
      <c r="D186" s="248"/>
      <c r="E186" s="247"/>
      <c r="F186" s="19"/>
      <c r="G186" s="245"/>
      <c r="H186" s="246"/>
      <c r="I186" s="126"/>
      <c r="J186" s="247"/>
      <c r="K186" s="19"/>
    </row>
    <row r="187" spans="1:11" ht="19.5" customHeight="1" x14ac:dyDescent="0.25">
      <c r="A187" s="19"/>
      <c r="B187" s="245"/>
      <c r="C187" s="246"/>
      <c r="D187" s="248"/>
      <c r="E187" s="247"/>
      <c r="F187" s="19"/>
      <c r="G187" s="245"/>
      <c r="H187" s="246"/>
      <c r="I187" s="126"/>
      <c r="J187" s="247"/>
      <c r="K187" s="19"/>
    </row>
    <row r="188" spans="1:11" ht="19.5" customHeight="1" x14ac:dyDescent="0.25">
      <c r="A188" s="19"/>
      <c r="B188" s="245"/>
      <c r="C188" s="246"/>
      <c r="D188" s="248"/>
      <c r="E188" s="247"/>
      <c r="F188" s="19"/>
      <c r="G188" s="245"/>
      <c r="H188" s="246"/>
      <c r="I188" s="126"/>
      <c r="J188" s="247"/>
      <c r="K188" s="19"/>
    </row>
    <row r="189" spans="1:11" ht="19.5" customHeight="1" x14ac:dyDescent="0.25">
      <c r="A189" s="19"/>
      <c r="B189" s="245"/>
      <c r="C189" s="246"/>
      <c r="D189" s="248"/>
      <c r="E189" s="247"/>
      <c r="F189" s="19"/>
      <c r="G189" s="245"/>
      <c r="H189" s="246"/>
      <c r="I189" s="126"/>
      <c r="J189" s="247"/>
      <c r="K189" s="19"/>
    </row>
    <row r="190" spans="1:11" ht="19.5" customHeight="1" x14ac:dyDescent="0.25">
      <c r="A190" s="19"/>
      <c r="B190" s="245"/>
      <c r="C190" s="246"/>
      <c r="D190" s="248"/>
      <c r="E190" s="247"/>
      <c r="F190" s="19"/>
      <c r="G190" s="245"/>
      <c r="H190" s="246"/>
      <c r="I190" s="126"/>
      <c r="J190" s="247"/>
      <c r="K190" s="19"/>
    </row>
    <row r="191" spans="1:11" ht="19.5" customHeight="1" x14ac:dyDescent="0.25">
      <c r="A191" s="19"/>
      <c r="B191" s="245"/>
      <c r="C191" s="246"/>
      <c r="D191" s="248"/>
      <c r="E191" s="247"/>
      <c r="F191" s="19"/>
      <c r="G191" s="245"/>
      <c r="H191" s="246"/>
      <c r="I191" s="126"/>
      <c r="J191" s="247"/>
      <c r="K191" s="19"/>
    </row>
    <row r="192" spans="1:11" ht="19.5" customHeight="1" x14ac:dyDescent="0.25">
      <c r="A192" s="19"/>
      <c r="B192" s="245"/>
      <c r="C192" s="246"/>
      <c r="D192" s="248"/>
      <c r="E192" s="247"/>
      <c r="F192" s="19"/>
      <c r="G192" s="245"/>
      <c r="H192" s="246"/>
      <c r="I192" s="126"/>
      <c r="J192" s="247"/>
      <c r="K192" s="19"/>
    </row>
    <row r="193" spans="1:11" ht="19.5" customHeight="1" x14ac:dyDescent="0.25">
      <c r="A193" s="19"/>
      <c r="B193" s="245"/>
      <c r="C193" s="246"/>
      <c r="D193" s="248"/>
      <c r="E193" s="247"/>
      <c r="F193" s="19"/>
      <c r="G193" s="245"/>
      <c r="H193" s="246"/>
      <c r="I193" s="126"/>
      <c r="J193" s="247"/>
      <c r="K193" s="19"/>
    </row>
    <row r="194" spans="1:11" ht="19.5" customHeight="1" x14ac:dyDescent="0.25">
      <c r="A194" s="19"/>
      <c r="B194" s="245"/>
      <c r="C194" s="246"/>
      <c r="D194" s="248"/>
      <c r="E194" s="247"/>
      <c r="F194" s="19"/>
      <c r="G194" s="245"/>
      <c r="H194" s="246"/>
      <c r="I194" s="126"/>
      <c r="J194" s="247"/>
      <c r="K194" s="19"/>
    </row>
    <row r="195" spans="1:11" ht="19.5" customHeight="1" x14ac:dyDescent="0.25">
      <c r="A195" s="19"/>
      <c r="B195" s="245"/>
      <c r="C195" s="246"/>
      <c r="D195" s="248"/>
      <c r="E195" s="247"/>
      <c r="F195" s="19"/>
      <c r="G195" s="245"/>
      <c r="H195" s="246"/>
      <c r="I195" s="126"/>
      <c r="J195" s="247"/>
      <c r="K195" s="19"/>
    </row>
    <row r="196" spans="1:11" ht="19.5" customHeight="1" x14ac:dyDescent="0.25">
      <c r="A196" s="19"/>
      <c r="B196" s="245"/>
      <c r="C196" s="246"/>
      <c r="D196" s="248"/>
      <c r="E196" s="247"/>
      <c r="F196" s="19"/>
      <c r="G196" s="245"/>
      <c r="H196" s="246"/>
      <c r="I196" s="126"/>
      <c r="J196" s="247"/>
      <c r="K196" s="19"/>
    </row>
    <row r="197" spans="1:11" ht="19.5" customHeight="1" x14ac:dyDescent="0.25">
      <c r="A197" s="19"/>
      <c r="B197" s="245"/>
      <c r="C197" s="246"/>
      <c r="D197" s="248"/>
      <c r="E197" s="247"/>
      <c r="F197" s="19"/>
      <c r="G197" s="245"/>
      <c r="H197" s="246"/>
      <c r="I197" s="126"/>
      <c r="J197" s="247"/>
      <c r="K197" s="19"/>
    </row>
    <row r="198" spans="1:11" ht="19.5" customHeight="1" x14ac:dyDescent="0.25">
      <c r="A198" s="19"/>
      <c r="B198" s="245"/>
      <c r="C198" s="246"/>
      <c r="D198" s="248"/>
      <c r="E198" s="247"/>
      <c r="F198" s="19"/>
      <c r="G198" s="245"/>
      <c r="H198" s="246"/>
      <c r="I198" s="126"/>
      <c r="J198" s="247"/>
      <c r="K198" s="19"/>
    </row>
    <row r="199" spans="1:11" ht="19.5" customHeight="1" x14ac:dyDescent="0.25">
      <c r="A199" s="19"/>
      <c r="B199" s="245"/>
      <c r="C199" s="246"/>
      <c r="D199" s="248"/>
      <c r="E199" s="247"/>
      <c r="F199" s="19"/>
      <c r="G199" s="245"/>
      <c r="H199" s="246"/>
      <c r="I199" s="126"/>
      <c r="J199" s="247"/>
      <c r="K199" s="19"/>
    </row>
    <row r="200" spans="1:11" ht="19.5" customHeight="1" x14ac:dyDescent="0.25">
      <c r="A200" s="19"/>
      <c r="B200" s="245"/>
      <c r="C200" s="246"/>
      <c r="D200" s="248"/>
      <c r="E200" s="247"/>
      <c r="F200" s="19"/>
      <c r="G200" s="245"/>
      <c r="H200" s="246"/>
      <c r="I200" s="126"/>
      <c r="J200" s="247"/>
      <c r="K200" s="19"/>
    </row>
    <row r="201" spans="1:11" ht="19.5" customHeight="1" x14ac:dyDescent="0.25">
      <c r="A201" s="19"/>
      <c r="B201" s="245"/>
      <c r="C201" s="246"/>
      <c r="D201" s="248"/>
      <c r="E201" s="247"/>
      <c r="F201" s="19"/>
      <c r="G201" s="245"/>
      <c r="H201" s="246"/>
      <c r="I201" s="126"/>
      <c r="J201" s="247"/>
      <c r="K201" s="19"/>
    </row>
    <row r="202" spans="1:11" ht="19.5" customHeight="1" x14ac:dyDescent="0.25">
      <c r="A202" s="19"/>
      <c r="B202" s="245"/>
      <c r="C202" s="246"/>
      <c r="D202" s="248"/>
      <c r="E202" s="247"/>
      <c r="F202" s="19"/>
      <c r="G202" s="245"/>
      <c r="H202" s="246"/>
      <c r="I202" s="126"/>
      <c r="J202" s="247"/>
      <c r="K202" s="19"/>
    </row>
    <row r="203" spans="1:11" ht="19.5" customHeight="1" x14ac:dyDescent="0.25">
      <c r="A203" s="19"/>
      <c r="B203" s="245"/>
      <c r="C203" s="246"/>
      <c r="D203" s="248"/>
      <c r="E203" s="247"/>
      <c r="F203" s="19"/>
      <c r="G203" s="245"/>
      <c r="H203" s="246"/>
      <c r="I203" s="126"/>
      <c r="J203" s="247"/>
      <c r="K203" s="19"/>
    </row>
    <row r="204" spans="1:11" ht="19.5" customHeight="1" x14ac:dyDescent="0.25">
      <c r="A204" s="19"/>
      <c r="B204" s="245"/>
      <c r="C204" s="246"/>
      <c r="D204" s="248"/>
      <c r="E204" s="247"/>
      <c r="F204" s="19"/>
      <c r="G204" s="245"/>
      <c r="H204" s="246"/>
      <c r="I204" s="126"/>
      <c r="J204" s="247"/>
      <c r="K204" s="19"/>
    </row>
    <row r="205" spans="1:11" ht="19.5" customHeight="1" x14ac:dyDescent="0.25">
      <c r="A205" s="19"/>
      <c r="B205" s="245"/>
      <c r="C205" s="246"/>
      <c r="D205" s="248"/>
      <c r="E205" s="247"/>
      <c r="F205" s="19"/>
      <c r="G205" s="245"/>
      <c r="H205" s="246"/>
      <c r="I205" s="126"/>
      <c r="J205" s="247"/>
      <c r="K205" s="19"/>
    </row>
    <row r="206" spans="1:11" ht="19.5" customHeight="1" x14ac:dyDescent="0.25">
      <c r="A206" s="19"/>
      <c r="B206" s="245"/>
      <c r="C206" s="246"/>
      <c r="D206" s="248"/>
      <c r="E206" s="247"/>
      <c r="F206" s="19"/>
      <c r="G206" s="245"/>
      <c r="H206" s="246"/>
      <c r="I206" s="126"/>
      <c r="J206" s="247"/>
      <c r="K206" s="19"/>
    </row>
    <row r="207" spans="1:11" ht="19.5" customHeight="1" x14ac:dyDescent="0.25">
      <c r="A207" s="19"/>
      <c r="B207" s="245"/>
      <c r="C207" s="246"/>
      <c r="D207" s="248"/>
      <c r="E207" s="247"/>
      <c r="F207" s="19"/>
      <c r="G207" s="245"/>
      <c r="H207" s="246"/>
      <c r="I207" s="126"/>
      <c r="J207" s="247"/>
      <c r="K207" s="19"/>
    </row>
    <row r="208" spans="1:11" ht="19.5" customHeight="1" x14ac:dyDescent="0.25">
      <c r="A208" s="19"/>
      <c r="B208" s="245"/>
      <c r="C208" s="246"/>
      <c r="D208" s="248"/>
      <c r="E208" s="247"/>
      <c r="F208" s="19"/>
      <c r="G208" s="245"/>
      <c r="H208" s="246"/>
      <c r="I208" s="126"/>
      <c r="J208" s="247"/>
      <c r="K208" s="19"/>
    </row>
    <row r="209" spans="1:11" ht="19.5" customHeight="1" x14ac:dyDescent="0.25">
      <c r="A209" s="19"/>
      <c r="B209" s="245"/>
      <c r="C209" s="246"/>
      <c r="D209" s="248"/>
      <c r="E209" s="247"/>
      <c r="F209" s="19"/>
      <c r="G209" s="245"/>
      <c r="H209" s="246"/>
      <c r="I209" s="126"/>
      <c r="J209" s="247"/>
      <c r="K209" s="19"/>
    </row>
    <row r="210" spans="1:11" ht="19.5" customHeight="1" x14ac:dyDescent="0.25">
      <c r="A210" s="19"/>
      <c r="B210" s="245"/>
      <c r="C210" s="246"/>
      <c r="D210" s="248"/>
      <c r="E210" s="247"/>
      <c r="F210" s="19"/>
      <c r="G210" s="245"/>
      <c r="H210" s="246"/>
      <c r="I210" s="126"/>
      <c r="J210" s="247"/>
      <c r="K210" s="19"/>
    </row>
    <row r="211" spans="1:11" ht="19.5" customHeight="1" x14ac:dyDescent="0.25">
      <c r="A211" s="19"/>
      <c r="B211" s="245"/>
      <c r="C211" s="246"/>
      <c r="D211" s="248"/>
      <c r="E211" s="247"/>
      <c r="F211" s="19"/>
      <c r="G211" s="245"/>
      <c r="H211" s="246"/>
      <c r="I211" s="126"/>
      <c r="J211" s="247"/>
      <c r="K211" s="19"/>
    </row>
    <row r="212" spans="1:11" ht="19.5" customHeight="1" x14ac:dyDescent="0.25">
      <c r="A212" s="19"/>
      <c r="B212" s="245"/>
      <c r="C212" s="246"/>
      <c r="D212" s="248"/>
      <c r="E212" s="247"/>
      <c r="F212" s="19"/>
      <c r="G212" s="245"/>
      <c r="H212" s="246"/>
      <c r="I212" s="126"/>
      <c r="J212" s="247"/>
      <c r="K212" s="19"/>
    </row>
    <row r="213" spans="1:11" ht="19.5" customHeight="1" x14ac:dyDescent="0.25">
      <c r="A213" s="19"/>
      <c r="B213" s="245"/>
      <c r="C213" s="246"/>
      <c r="D213" s="248"/>
      <c r="E213" s="247"/>
      <c r="F213" s="19"/>
      <c r="G213" s="245"/>
      <c r="H213" s="246"/>
      <c r="I213" s="126"/>
      <c r="J213" s="247"/>
      <c r="K213" s="19"/>
    </row>
    <row r="214" spans="1:11" ht="19.5" customHeight="1" x14ac:dyDescent="0.25">
      <c r="A214" s="19"/>
      <c r="B214" s="245"/>
      <c r="C214" s="246"/>
      <c r="D214" s="248"/>
      <c r="E214" s="247"/>
      <c r="F214" s="19"/>
      <c r="G214" s="245"/>
      <c r="H214" s="246"/>
      <c r="I214" s="126"/>
      <c r="J214" s="247"/>
      <c r="K214" s="19"/>
    </row>
    <row r="215" spans="1:11" ht="19.5" customHeight="1" x14ac:dyDescent="0.25">
      <c r="A215" s="19"/>
      <c r="B215" s="245"/>
      <c r="C215" s="246"/>
      <c r="D215" s="248"/>
      <c r="E215" s="247"/>
      <c r="F215" s="19"/>
      <c r="G215" s="245"/>
      <c r="H215" s="246"/>
      <c r="I215" s="126"/>
      <c r="J215" s="247"/>
      <c r="K215" s="19"/>
    </row>
    <row r="216" spans="1:11" ht="19.5" customHeight="1" x14ac:dyDescent="0.25">
      <c r="A216" s="19"/>
      <c r="B216" s="245"/>
      <c r="C216" s="246"/>
      <c r="D216" s="248"/>
      <c r="E216" s="247"/>
      <c r="F216" s="19"/>
      <c r="G216" s="245"/>
      <c r="H216" s="246"/>
      <c r="I216" s="126"/>
      <c r="J216" s="247"/>
      <c r="K216" s="19"/>
    </row>
    <row r="217" spans="1:11" ht="19.5" customHeight="1" x14ac:dyDescent="0.25">
      <c r="A217" s="19"/>
      <c r="B217" s="245"/>
      <c r="C217" s="246"/>
      <c r="D217" s="248"/>
      <c r="E217" s="247"/>
      <c r="F217" s="19"/>
      <c r="G217" s="245"/>
      <c r="H217" s="246"/>
      <c r="I217" s="126"/>
      <c r="J217" s="247"/>
      <c r="K217" s="19"/>
    </row>
    <row r="218" spans="1:11" ht="19.5" customHeight="1" x14ac:dyDescent="0.25">
      <c r="A218" s="19"/>
      <c r="B218" s="245"/>
      <c r="C218" s="246"/>
      <c r="D218" s="248"/>
      <c r="E218" s="247"/>
      <c r="F218" s="19"/>
      <c r="G218" s="245"/>
      <c r="H218" s="246"/>
      <c r="I218" s="126"/>
      <c r="J218" s="247"/>
      <c r="K218" s="19"/>
    </row>
    <row r="219" spans="1:11" ht="19.5" customHeight="1" x14ac:dyDescent="0.25">
      <c r="A219" s="19"/>
      <c r="B219" s="245"/>
      <c r="C219" s="246"/>
      <c r="D219" s="248"/>
      <c r="E219" s="247"/>
      <c r="F219" s="19"/>
      <c r="G219" s="245"/>
      <c r="H219" s="246"/>
      <c r="I219" s="126"/>
      <c r="J219" s="247"/>
      <c r="K219" s="19"/>
    </row>
    <row r="220" spans="1:11" ht="19.5" customHeight="1" x14ac:dyDescent="0.25">
      <c r="A220" s="19"/>
      <c r="B220" s="245"/>
      <c r="C220" s="246"/>
      <c r="D220" s="248"/>
      <c r="E220" s="247"/>
      <c r="F220" s="19"/>
      <c r="G220" s="245"/>
      <c r="H220" s="246"/>
      <c r="I220" s="126"/>
      <c r="J220" s="247"/>
      <c r="K220" s="19"/>
    </row>
    <row r="221" spans="1:11" ht="15.75" customHeight="1" x14ac:dyDescent="0.25">
      <c r="E221" s="139"/>
      <c r="J221" s="139"/>
    </row>
    <row r="222" spans="1:11" ht="15.75" customHeight="1" x14ac:dyDescent="0.25">
      <c r="E222" s="139"/>
      <c r="J222" s="139"/>
    </row>
    <row r="223" spans="1:11" ht="15.75" customHeight="1" x14ac:dyDescent="0.25">
      <c r="E223" s="139"/>
      <c r="J223" s="139"/>
    </row>
    <row r="224" spans="1:11" ht="15.75" customHeight="1" x14ac:dyDescent="0.25">
      <c r="E224" s="139"/>
      <c r="J224" s="139"/>
    </row>
    <row r="225" spans="5:10" ht="15.75" customHeight="1" x14ac:dyDescent="0.25">
      <c r="E225" s="139"/>
      <c r="J225" s="139"/>
    </row>
    <row r="226" spans="5:10" ht="15.75" customHeight="1" x14ac:dyDescent="0.25">
      <c r="E226" s="139"/>
      <c r="J226" s="139"/>
    </row>
    <row r="227" spans="5:10" ht="15.75" customHeight="1" x14ac:dyDescent="0.25">
      <c r="E227" s="139"/>
      <c r="J227" s="139"/>
    </row>
    <row r="228" spans="5:10" ht="15.75" customHeight="1" x14ac:dyDescent="0.25">
      <c r="E228" s="139"/>
      <c r="J228" s="139"/>
    </row>
    <row r="229" spans="5:10" ht="15.75" customHeight="1" x14ac:dyDescent="0.25">
      <c r="E229" s="139"/>
      <c r="J229" s="139"/>
    </row>
    <row r="230" spans="5:10" ht="15.75" customHeight="1" x14ac:dyDescent="0.25">
      <c r="E230" s="139"/>
      <c r="J230" s="139"/>
    </row>
    <row r="231" spans="5:10" ht="15.75" customHeight="1" x14ac:dyDescent="0.25">
      <c r="E231" s="139"/>
      <c r="J231" s="139"/>
    </row>
    <row r="232" spans="5:10" ht="15.75" customHeight="1" x14ac:dyDescent="0.25">
      <c r="E232" s="139"/>
      <c r="J232" s="139"/>
    </row>
    <row r="233" spans="5:10" ht="15.75" customHeight="1" x14ac:dyDescent="0.25">
      <c r="E233" s="139"/>
      <c r="J233" s="139"/>
    </row>
    <row r="234" spans="5:10" ht="15.75" customHeight="1" x14ac:dyDescent="0.25">
      <c r="E234" s="139"/>
      <c r="J234" s="139"/>
    </row>
    <row r="235" spans="5:10" ht="15.75" customHeight="1" x14ac:dyDescent="0.25">
      <c r="E235" s="139"/>
      <c r="J235" s="139"/>
    </row>
    <row r="236" spans="5:10" ht="15.75" customHeight="1" x14ac:dyDescent="0.25">
      <c r="E236" s="139"/>
      <c r="J236" s="139"/>
    </row>
    <row r="237" spans="5:10" ht="15.75" customHeight="1" x14ac:dyDescent="0.25">
      <c r="E237" s="139"/>
      <c r="J237" s="139"/>
    </row>
    <row r="238" spans="5:10" ht="15.75" customHeight="1" x14ac:dyDescent="0.25">
      <c r="E238" s="139"/>
      <c r="J238" s="139"/>
    </row>
    <row r="239" spans="5:10" ht="15.75" customHeight="1" x14ac:dyDescent="0.25">
      <c r="E239" s="139"/>
      <c r="J239" s="139"/>
    </row>
    <row r="240" spans="5:10" ht="15.75" customHeight="1" x14ac:dyDescent="0.25">
      <c r="E240" s="139"/>
      <c r="J240" s="139"/>
    </row>
    <row r="241" spans="5:10" ht="15.75" customHeight="1" x14ac:dyDescent="0.25">
      <c r="E241" s="139"/>
      <c r="J241" s="139"/>
    </row>
    <row r="242" spans="5:10" ht="15.75" customHeight="1" x14ac:dyDescent="0.25">
      <c r="E242" s="139"/>
      <c r="J242" s="139"/>
    </row>
    <row r="243" spans="5:10" ht="15.75" customHeight="1" x14ac:dyDescent="0.25">
      <c r="E243" s="139"/>
      <c r="J243" s="139"/>
    </row>
    <row r="244" spans="5:10" ht="15.75" customHeight="1" x14ac:dyDescent="0.25">
      <c r="E244" s="139"/>
      <c r="J244" s="139"/>
    </row>
    <row r="245" spans="5:10" ht="15.75" customHeight="1" x14ac:dyDescent="0.25">
      <c r="E245" s="139"/>
      <c r="J245" s="139"/>
    </row>
    <row r="246" spans="5:10" ht="15.75" customHeight="1" x14ac:dyDescent="0.25">
      <c r="E246" s="139"/>
      <c r="J246" s="139"/>
    </row>
    <row r="247" spans="5:10" ht="15.75" customHeight="1" x14ac:dyDescent="0.25">
      <c r="E247" s="139"/>
      <c r="J247" s="139"/>
    </row>
    <row r="248" spans="5:10" ht="15.75" customHeight="1" x14ac:dyDescent="0.25">
      <c r="E248" s="139"/>
      <c r="J248" s="139"/>
    </row>
    <row r="249" spans="5:10" ht="15.75" customHeight="1" x14ac:dyDescent="0.25">
      <c r="E249" s="139"/>
      <c r="J249" s="139"/>
    </row>
    <row r="250" spans="5:10" ht="15.75" customHeight="1" x14ac:dyDescent="0.25">
      <c r="E250" s="139"/>
      <c r="J250" s="139"/>
    </row>
    <row r="251" spans="5:10" ht="15.75" customHeight="1" x14ac:dyDescent="0.25">
      <c r="E251" s="139"/>
      <c r="J251" s="139"/>
    </row>
    <row r="252" spans="5:10" ht="15.75" customHeight="1" x14ac:dyDescent="0.25">
      <c r="E252" s="139"/>
      <c r="J252" s="139"/>
    </row>
    <row r="253" spans="5:10" ht="15.75" customHeight="1" x14ac:dyDescent="0.25">
      <c r="E253" s="139"/>
      <c r="J253" s="139"/>
    </row>
    <row r="254" spans="5:10" ht="15.75" customHeight="1" x14ac:dyDescent="0.25">
      <c r="E254" s="139"/>
      <c r="J254" s="139"/>
    </row>
    <row r="255" spans="5:10" ht="15.75" customHeight="1" x14ac:dyDescent="0.25">
      <c r="E255" s="139"/>
      <c r="J255" s="139"/>
    </row>
    <row r="256" spans="5:10" ht="15.75" customHeight="1" x14ac:dyDescent="0.25">
      <c r="E256" s="139"/>
      <c r="J256" s="139"/>
    </row>
    <row r="257" spans="5:10" ht="15.75" customHeight="1" x14ac:dyDescent="0.25">
      <c r="E257" s="139"/>
      <c r="J257" s="139"/>
    </row>
    <row r="258" spans="5:10" ht="15.75" customHeight="1" x14ac:dyDescent="0.25">
      <c r="E258" s="139"/>
      <c r="J258" s="139"/>
    </row>
    <row r="259" spans="5:10" ht="15.75" customHeight="1" x14ac:dyDescent="0.25">
      <c r="E259" s="139"/>
      <c r="J259" s="139"/>
    </row>
    <row r="260" spans="5:10" ht="15.75" customHeight="1" x14ac:dyDescent="0.25">
      <c r="E260" s="139"/>
      <c r="J260" s="139"/>
    </row>
    <row r="261" spans="5:10" ht="15.75" customHeight="1" x14ac:dyDescent="0.25">
      <c r="E261" s="139"/>
      <c r="J261" s="139"/>
    </row>
    <row r="262" spans="5:10" ht="15.75" customHeight="1" x14ac:dyDescent="0.25">
      <c r="E262" s="139"/>
      <c r="J262" s="139"/>
    </row>
    <row r="263" spans="5:10" ht="15.75" customHeight="1" x14ac:dyDescent="0.25">
      <c r="E263" s="139"/>
      <c r="J263" s="139"/>
    </row>
    <row r="264" spans="5:10" ht="15.75" customHeight="1" x14ac:dyDescent="0.25">
      <c r="E264" s="139"/>
      <c r="J264" s="139"/>
    </row>
    <row r="265" spans="5:10" ht="15.75" customHeight="1" x14ac:dyDescent="0.25">
      <c r="E265" s="139"/>
      <c r="J265" s="139"/>
    </row>
    <row r="266" spans="5:10" ht="15.75" customHeight="1" x14ac:dyDescent="0.25">
      <c r="E266" s="139"/>
      <c r="J266" s="139"/>
    </row>
    <row r="267" spans="5:10" ht="15.75" customHeight="1" x14ac:dyDescent="0.25">
      <c r="E267" s="139"/>
      <c r="J267" s="139"/>
    </row>
    <row r="268" spans="5:10" ht="15.75" customHeight="1" x14ac:dyDescent="0.25">
      <c r="E268" s="139"/>
      <c r="J268" s="139"/>
    </row>
    <row r="269" spans="5:10" ht="15.75" customHeight="1" x14ac:dyDescent="0.25">
      <c r="E269" s="139"/>
      <c r="J269" s="139"/>
    </row>
    <row r="270" spans="5:10" ht="15.75" customHeight="1" x14ac:dyDescent="0.25">
      <c r="E270" s="139"/>
      <c r="J270" s="139"/>
    </row>
    <row r="271" spans="5:10" ht="15.75" customHeight="1" x14ac:dyDescent="0.25">
      <c r="E271" s="139"/>
      <c r="J271" s="139"/>
    </row>
    <row r="272" spans="5:10" ht="15.75" customHeight="1" x14ac:dyDescent="0.25">
      <c r="E272" s="139"/>
      <c r="J272" s="139"/>
    </row>
    <row r="273" spans="5:10" ht="15.75" customHeight="1" x14ac:dyDescent="0.25">
      <c r="E273" s="139"/>
      <c r="J273" s="139"/>
    </row>
    <row r="274" spans="5:10" ht="15.75" customHeight="1" x14ac:dyDescent="0.25">
      <c r="E274" s="139"/>
      <c r="J274" s="139"/>
    </row>
    <row r="275" spans="5:10" ht="15.75" customHeight="1" x14ac:dyDescent="0.25">
      <c r="E275" s="139"/>
      <c r="J275" s="139"/>
    </row>
    <row r="276" spans="5:10" ht="15.75" customHeight="1" x14ac:dyDescent="0.25">
      <c r="E276" s="139"/>
      <c r="J276" s="139"/>
    </row>
    <row r="277" spans="5:10" ht="15.75" customHeight="1" x14ac:dyDescent="0.25">
      <c r="E277" s="139"/>
      <c r="J277" s="139"/>
    </row>
    <row r="278" spans="5:10" ht="15.75" customHeight="1" x14ac:dyDescent="0.25">
      <c r="E278" s="139"/>
      <c r="J278" s="139"/>
    </row>
    <row r="279" spans="5:10" ht="15.75" customHeight="1" x14ac:dyDescent="0.25">
      <c r="E279" s="139"/>
      <c r="J279" s="139"/>
    </row>
    <row r="280" spans="5:10" ht="15.75" customHeight="1" x14ac:dyDescent="0.25">
      <c r="E280" s="139"/>
      <c r="J280" s="139"/>
    </row>
    <row r="281" spans="5:10" ht="15.75" customHeight="1" x14ac:dyDescent="0.25">
      <c r="E281" s="139"/>
      <c r="J281" s="139"/>
    </row>
    <row r="282" spans="5:10" ht="15.75" customHeight="1" x14ac:dyDescent="0.25">
      <c r="E282" s="139"/>
      <c r="J282" s="139"/>
    </row>
    <row r="283" spans="5:10" ht="15.75" customHeight="1" x14ac:dyDescent="0.25">
      <c r="E283" s="139"/>
      <c r="J283" s="139"/>
    </row>
    <row r="284" spans="5:10" ht="15.75" customHeight="1" x14ac:dyDescent="0.25">
      <c r="E284" s="139"/>
      <c r="J284" s="139"/>
    </row>
    <row r="285" spans="5:10" ht="15.75" customHeight="1" x14ac:dyDescent="0.25">
      <c r="E285" s="139"/>
      <c r="J285" s="139"/>
    </row>
    <row r="286" spans="5:10" ht="15.75" customHeight="1" x14ac:dyDescent="0.25">
      <c r="E286" s="139"/>
      <c r="J286" s="139"/>
    </row>
    <row r="287" spans="5:10" ht="15.75" customHeight="1" x14ac:dyDescent="0.25">
      <c r="E287" s="139"/>
      <c r="J287" s="139"/>
    </row>
    <row r="288" spans="5:10" ht="15.75" customHeight="1" x14ac:dyDescent="0.25">
      <c r="E288" s="139"/>
      <c r="J288" s="139"/>
    </row>
    <row r="289" spans="5:10" ht="15.75" customHeight="1" x14ac:dyDescent="0.25">
      <c r="E289" s="139"/>
      <c r="J289" s="139"/>
    </row>
    <row r="290" spans="5:10" ht="15.75" customHeight="1" x14ac:dyDescent="0.25">
      <c r="E290" s="139"/>
      <c r="J290" s="139"/>
    </row>
    <row r="291" spans="5:10" ht="15.75" customHeight="1" x14ac:dyDescent="0.25">
      <c r="E291" s="139"/>
      <c r="J291" s="139"/>
    </row>
    <row r="292" spans="5:10" ht="15.75" customHeight="1" x14ac:dyDescent="0.25">
      <c r="E292" s="139"/>
      <c r="J292" s="139"/>
    </row>
    <row r="293" spans="5:10" ht="15.75" customHeight="1" x14ac:dyDescent="0.25">
      <c r="E293" s="139"/>
      <c r="J293" s="139"/>
    </row>
    <row r="294" spans="5:10" ht="15.75" customHeight="1" x14ac:dyDescent="0.25">
      <c r="E294" s="139"/>
      <c r="J294" s="139"/>
    </row>
    <row r="295" spans="5:10" ht="15.75" customHeight="1" x14ac:dyDescent="0.25">
      <c r="E295" s="139"/>
      <c r="J295" s="139"/>
    </row>
    <row r="296" spans="5:10" ht="15.75" customHeight="1" x14ac:dyDescent="0.25">
      <c r="E296" s="139"/>
      <c r="J296" s="139"/>
    </row>
    <row r="297" spans="5:10" ht="15.75" customHeight="1" x14ac:dyDescent="0.25">
      <c r="E297" s="139"/>
      <c r="J297" s="139"/>
    </row>
    <row r="298" spans="5:10" ht="15.75" customHeight="1" x14ac:dyDescent="0.25">
      <c r="E298" s="139"/>
      <c r="J298" s="139"/>
    </row>
    <row r="299" spans="5:10" ht="15.75" customHeight="1" x14ac:dyDescent="0.25">
      <c r="E299" s="139"/>
      <c r="J299" s="139"/>
    </row>
    <row r="300" spans="5:10" ht="15.75" customHeight="1" x14ac:dyDescent="0.25">
      <c r="E300" s="139"/>
      <c r="J300" s="139"/>
    </row>
    <row r="301" spans="5:10" ht="15.75" customHeight="1" x14ac:dyDescent="0.25">
      <c r="E301" s="139"/>
      <c r="J301" s="139"/>
    </row>
    <row r="302" spans="5:10" ht="15.75" customHeight="1" x14ac:dyDescent="0.25">
      <c r="E302" s="139"/>
      <c r="J302" s="139"/>
    </row>
    <row r="303" spans="5:10" ht="15.75" customHeight="1" x14ac:dyDescent="0.25">
      <c r="E303" s="139"/>
      <c r="J303" s="139"/>
    </row>
    <row r="304" spans="5:10" ht="15.75" customHeight="1" x14ac:dyDescent="0.25">
      <c r="E304" s="139"/>
      <c r="J304" s="139"/>
    </row>
    <row r="305" spans="5:10" ht="15.75" customHeight="1" x14ac:dyDescent="0.25">
      <c r="E305" s="139"/>
      <c r="J305" s="139"/>
    </row>
    <row r="306" spans="5:10" ht="15.75" customHeight="1" x14ac:dyDescent="0.25">
      <c r="E306" s="139"/>
      <c r="J306" s="139"/>
    </row>
    <row r="307" spans="5:10" ht="15.75" customHeight="1" x14ac:dyDescent="0.25">
      <c r="E307" s="139"/>
      <c r="J307" s="139"/>
    </row>
    <row r="308" spans="5:10" ht="15.75" customHeight="1" x14ac:dyDescent="0.25">
      <c r="E308" s="139"/>
      <c r="J308" s="139"/>
    </row>
    <row r="309" spans="5:10" ht="15.75" customHeight="1" x14ac:dyDescent="0.25">
      <c r="E309" s="139"/>
      <c r="J309" s="139"/>
    </row>
    <row r="310" spans="5:10" ht="15.75" customHeight="1" x14ac:dyDescent="0.25">
      <c r="E310" s="139"/>
      <c r="J310" s="139"/>
    </row>
    <row r="311" spans="5:10" ht="15.75" customHeight="1" x14ac:dyDescent="0.25">
      <c r="E311" s="139"/>
      <c r="J311" s="139"/>
    </row>
    <row r="312" spans="5:10" ht="15.75" customHeight="1" x14ac:dyDescent="0.25">
      <c r="E312" s="139"/>
      <c r="J312" s="139"/>
    </row>
    <row r="313" spans="5:10" ht="15.75" customHeight="1" x14ac:dyDescent="0.25">
      <c r="E313" s="139"/>
      <c r="J313" s="139"/>
    </row>
    <row r="314" spans="5:10" ht="15.75" customHeight="1" x14ac:dyDescent="0.25">
      <c r="E314" s="139"/>
      <c r="J314" s="139"/>
    </row>
    <row r="315" spans="5:10" ht="15.75" customHeight="1" x14ac:dyDescent="0.25">
      <c r="E315" s="139"/>
      <c r="J315" s="139"/>
    </row>
    <row r="316" spans="5:10" ht="15.75" customHeight="1" x14ac:dyDescent="0.25">
      <c r="E316" s="139"/>
      <c r="J316" s="139"/>
    </row>
    <row r="317" spans="5:10" ht="15.75" customHeight="1" x14ac:dyDescent="0.25">
      <c r="E317" s="139"/>
      <c r="J317" s="139"/>
    </row>
    <row r="318" spans="5:10" ht="15.75" customHeight="1" x14ac:dyDescent="0.25">
      <c r="E318" s="139"/>
      <c r="J318" s="139"/>
    </row>
    <row r="319" spans="5:10" ht="15.75" customHeight="1" x14ac:dyDescent="0.25">
      <c r="E319" s="139"/>
      <c r="J319" s="139"/>
    </row>
    <row r="320" spans="5:10" ht="15.75" customHeight="1" x14ac:dyDescent="0.25">
      <c r="E320" s="139"/>
      <c r="J320" s="139"/>
    </row>
    <row r="321" spans="5:10" ht="15.75" customHeight="1" x14ac:dyDescent="0.25">
      <c r="E321" s="139"/>
      <c r="J321" s="139"/>
    </row>
    <row r="322" spans="5:10" ht="15.75" customHeight="1" x14ac:dyDescent="0.25">
      <c r="E322" s="139"/>
      <c r="J322" s="139"/>
    </row>
    <row r="323" spans="5:10" ht="15.75" customHeight="1" x14ac:dyDescent="0.25">
      <c r="E323" s="139"/>
      <c r="J323" s="139"/>
    </row>
    <row r="324" spans="5:10" ht="15.75" customHeight="1" x14ac:dyDescent="0.25">
      <c r="E324" s="139"/>
      <c r="J324" s="139"/>
    </row>
    <row r="325" spans="5:10" ht="15.75" customHeight="1" x14ac:dyDescent="0.25">
      <c r="E325" s="139"/>
      <c r="J325" s="139"/>
    </row>
    <row r="326" spans="5:10" ht="15.75" customHeight="1" x14ac:dyDescent="0.25">
      <c r="E326" s="139"/>
      <c r="J326" s="139"/>
    </row>
    <row r="327" spans="5:10" ht="15.75" customHeight="1" x14ac:dyDescent="0.25">
      <c r="E327" s="139"/>
      <c r="J327" s="139"/>
    </row>
    <row r="328" spans="5:10" ht="15.75" customHeight="1" x14ac:dyDescent="0.25">
      <c r="E328" s="139"/>
      <c r="J328" s="139"/>
    </row>
    <row r="329" spans="5:10" ht="15.75" customHeight="1" x14ac:dyDescent="0.25">
      <c r="E329" s="139"/>
      <c r="J329" s="139"/>
    </row>
    <row r="330" spans="5:10" ht="15.75" customHeight="1" x14ac:dyDescent="0.25">
      <c r="E330" s="139"/>
      <c r="J330" s="139"/>
    </row>
    <row r="331" spans="5:10" ht="15.75" customHeight="1" x14ac:dyDescent="0.25">
      <c r="E331" s="139"/>
      <c r="J331" s="139"/>
    </row>
    <row r="332" spans="5:10" ht="15.75" customHeight="1" x14ac:dyDescent="0.25">
      <c r="E332" s="139"/>
      <c r="J332" s="139"/>
    </row>
    <row r="333" spans="5:10" ht="15.75" customHeight="1" x14ac:dyDescent="0.25">
      <c r="E333" s="139"/>
      <c r="J333" s="139"/>
    </row>
    <row r="334" spans="5:10" ht="15.75" customHeight="1" x14ac:dyDescent="0.25">
      <c r="E334" s="139"/>
      <c r="J334" s="139"/>
    </row>
    <row r="335" spans="5:10" ht="15.75" customHeight="1" x14ac:dyDescent="0.25">
      <c r="E335" s="139"/>
      <c r="J335" s="139"/>
    </row>
    <row r="336" spans="5:10" ht="15.75" customHeight="1" x14ac:dyDescent="0.25">
      <c r="E336" s="139"/>
      <c r="J336" s="139"/>
    </row>
    <row r="337" spans="5:10" ht="15.75" customHeight="1" x14ac:dyDescent="0.25">
      <c r="E337" s="139"/>
      <c r="J337" s="139"/>
    </row>
    <row r="338" spans="5:10" ht="15.75" customHeight="1" x14ac:dyDescent="0.25">
      <c r="E338" s="139"/>
      <c r="J338" s="139"/>
    </row>
    <row r="339" spans="5:10" ht="15.75" customHeight="1" x14ac:dyDescent="0.25">
      <c r="E339" s="139"/>
      <c r="J339" s="139"/>
    </row>
    <row r="340" spans="5:10" ht="15.75" customHeight="1" x14ac:dyDescent="0.25">
      <c r="E340" s="139"/>
      <c r="J340" s="139"/>
    </row>
    <row r="341" spans="5:10" ht="15.75" customHeight="1" x14ac:dyDescent="0.25">
      <c r="E341" s="139"/>
      <c r="J341" s="139"/>
    </row>
    <row r="342" spans="5:10" ht="15.75" customHeight="1" x14ac:dyDescent="0.25">
      <c r="E342" s="139"/>
      <c r="J342" s="139"/>
    </row>
    <row r="343" spans="5:10" ht="15.75" customHeight="1" x14ac:dyDescent="0.25">
      <c r="E343" s="139"/>
      <c r="J343" s="139"/>
    </row>
    <row r="344" spans="5:10" ht="15.75" customHeight="1" x14ac:dyDescent="0.25">
      <c r="E344" s="139"/>
      <c r="J344" s="139"/>
    </row>
    <row r="345" spans="5:10" ht="15.75" customHeight="1" x14ac:dyDescent="0.25">
      <c r="E345" s="139"/>
      <c r="J345" s="139"/>
    </row>
    <row r="346" spans="5:10" ht="15.75" customHeight="1" x14ac:dyDescent="0.25">
      <c r="E346" s="139"/>
      <c r="J346" s="139"/>
    </row>
    <row r="347" spans="5:10" ht="15.75" customHeight="1" x14ac:dyDescent="0.25">
      <c r="E347" s="139"/>
      <c r="J347" s="139"/>
    </row>
    <row r="348" spans="5:10" ht="15.75" customHeight="1" x14ac:dyDescent="0.25">
      <c r="E348" s="139"/>
      <c r="J348" s="139"/>
    </row>
    <row r="349" spans="5:10" ht="15.75" customHeight="1" x14ac:dyDescent="0.25">
      <c r="E349" s="139"/>
      <c r="J349" s="139"/>
    </row>
    <row r="350" spans="5:10" ht="15.75" customHeight="1" x14ac:dyDescent="0.25">
      <c r="E350" s="139"/>
      <c r="J350" s="139"/>
    </row>
    <row r="351" spans="5:10" ht="15.75" customHeight="1" x14ac:dyDescent="0.25">
      <c r="E351" s="139"/>
      <c r="J351" s="139"/>
    </row>
    <row r="352" spans="5:10" ht="15.75" customHeight="1" x14ac:dyDescent="0.25">
      <c r="E352" s="139"/>
      <c r="J352" s="139"/>
    </row>
    <row r="353" spans="5:10" ht="15.75" customHeight="1" x14ac:dyDescent="0.25">
      <c r="E353" s="139"/>
      <c r="J353" s="139"/>
    </row>
    <row r="354" spans="5:10" ht="15.75" customHeight="1" x14ac:dyDescent="0.25">
      <c r="E354" s="139"/>
      <c r="J354" s="139"/>
    </row>
    <row r="355" spans="5:10" ht="15.75" customHeight="1" x14ac:dyDescent="0.25">
      <c r="E355" s="139"/>
      <c r="J355" s="139"/>
    </row>
    <row r="356" spans="5:10" ht="15.75" customHeight="1" x14ac:dyDescent="0.25">
      <c r="E356" s="139"/>
      <c r="J356" s="139"/>
    </row>
    <row r="357" spans="5:10" ht="15.75" customHeight="1" x14ac:dyDescent="0.25">
      <c r="E357" s="139"/>
      <c r="J357" s="139"/>
    </row>
    <row r="358" spans="5:10" ht="15.75" customHeight="1" x14ac:dyDescent="0.25">
      <c r="E358" s="139"/>
      <c r="J358" s="139"/>
    </row>
    <row r="359" spans="5:10" ht="15.75" customHeight="1" x14ac:dyDescent="0.25">
      <c r="E359" s="139"/>
      <c r="J359" s="139"/>
    </row>
    <row r="360" spans="5:10" ht="15.75" customHeight="1" x14ac:dyDescent="0.25">
      <c r="E360" s="139"/>
      <c r="J360" s="139"/>
    </row>
    <row r="361" spans="5:10" ht="15.75" customHeight="1" x14ac:dyDescent="0.25">
      <c r="E361" s="139"/>
      <c r="J361" s="139"/>
    </row>
    <row r="362" spans="5:10" ht="15.75" customHeight="1" x14ac:dyDescent="0.25">
      <c r="E362" s="139"/>
      <c r="J362" s="139"/>
    </row>
    <row r="363" spans="5:10" ht="15.75" customHeight="1" x14ac:dyDescent="0.25">
      <c r="E363" s="139"/>
      <c r="J363" s="139"/>
    </row>
    <row r="364" spans="5:10" ht="15.75" customHeight="1" x14ac:dyDescent="0.25">
      <c r="E364" s="139"/>
      <c r="J364" s="139"/>
    </row>
    <row r="365" spans="5:10" ht="15.75" customHeight="1" x14ac:dyDescent="0.25">
      <c r="E365" s="139"/>
      <c r="J365" s="139"/>
    </row>
    <row r="366" spans="5:10" ht="15.75" customHeight="1" x14ac:dyDescent="0.25">
      <c r="E366" s="139"/>
      <c r="J366" s="139"/>
    </row>
    <row r="367" spans="5:10" ht="15.75" customHeight="1" x14ac:dyDescent="0.25">
      <c r="E367" s="139"/>
      <c r="J367" s="139"/>
    </row>
    <row r="368" spans="5:10" ht="15.75" customHeight="1" x14ac:dyDescent="0.25">
      <c r="E368" s="139"/>
      <c r="J368" s="139"/>
    </row>
    <row r="369" spans="5:10" ht="15.75" customHeight="1" x14ac:dyDescent="0.25">
      <c r="E369" s="139"/>
      <c r="J369" s="139"/>
    </row>
    <row r="370" spans="5:10" ht="15.75" customHeight="1" x14ac:dyDescent="0.25">
      <c r="E370" s="139"/>
      <c r="J370" s="139"/>
    </row>
    <row r="371" spans="5:10" ht="15.75" customHeight="1" x14ac:dyDescent="0.25">
      <c r="E371" s="139"/>
      <c r="J371" s="139"/>
    </row>
    <row r="372" spans="5:10" ht="15.75" customHeight="1" x14ac:dyDescent="0.25">
      <c r="E372" s="139"/>
      <c r="J372" s="139"/>
    </row>
    <row r="373" spans="5:10" ht="15.75" customHeight="1" x14ac:dyDescent="0.25">
      <c r="E373" s="139"/>
      <c r="J373" s="139"/>
    </row>
    <row r="374" spans="5:10" ht="15.75" customHeight="1" x14ac:dyDescent="0.25">
      <c r="E374" s="139"/>
      <c r="J374" s="139"/>
    </row>
    <row r="375" spans="5:10" ht="15.75" customHeight="1" x14ac:dyDescent="0.25">
      <c r="E375" s="139"/>
      <c r="J375" s="139"/>
    </row>
    <row r="376" spans="5:10" ht="15.75" customHeight="1" x14ac:dyDescent="0.25">
      <c r="E376" s="139"/>
      <c r="J376" s="139"/>
    </row>
    <row r="377" spans="5:10" ht="15.75" customHeight="1" x14ac:dyDescent="0.25">
      <c r="E377" s="139"/>
      <c r="J377" s="139"/>
    </row>
    <row r="378" spans="5:10" ht="15.75" customHeight="1" x14ac:dyDescent="0.25">
      <c r="E378" s="139"/>
      <c r="J378" s="139"/>
    </row>
    <row r="379" spans="5:10" ht="15.75" customHeight="1" x14ac:dyDescent="0.25">
      <c r="E379" s="139"/>
      <c r="J379" s="139"/>
    </row>
    <row r="380" spans="5:10" ht="15.75" customHeight="1" x14ac:dyDescent="0.25">
      <c r="E380" s="139"/>
      <c r="J380" s="139"/>
    </row>
    <row r="381" spans="5:10" ht="15.75" customHeight="1" x14ac:dyDescent="0.25">
      <c r="E381" s="139"/>
      <c r="J381" s="139"/>
    </row>
    <row r="382" spans="5:10" ht="15.75" customHeight="1" x14ac:dyDescent="0.25">
      <c r="E382" s="139"/>
      <c r="J382" s="139"/>
    </row>
    <row r="383" spans="5:10" ht="15.75" customHeight="1" x14ac:dyDescent="0.25">
      <c r="E383" s="139"/>
      <c r="J383" s="139"/>
    </row>
    <row r="384" spans="5:10" ht="15.75" customHeight="1" x14ac:dyDescent="0.25">
      <c r="E384" s="139"/>
      <c r="J384" s="139"/>
    </row>
    <row r="385" spans="5:10" ht="15.75" customHeight="1" x14ac:dyDescent="0.25">
      <c r="E385" s="139"/>
      <c r="J385" s="139"/>
    </row>
    <row r="386" spans="5:10" ht="15.75" customHeight="1" x14ac:dyDescent="0.25">
      <c r="E386" s="139"/>
      <c r="J386" s="139"/>
    </row>
    <row r="387" spans="5:10" ht="15.75" customHeight="1" x14ac:dyDescent="0.25">
      <c r="E387" s="139"/>
      <c r="J387" s="139"/>
    </row>
    <row r="388" spans="5:10" ht="15.75" customHeight="1" x14ac:dyDescent="0.25">
      <c r="E388" s="139"/>
      <c r="J388" s="139"/>
    </row>
    <row r="389" spans="5:10" ht="15.75" customHeight="1" x14ac:dyDescent="0.25">
      <c r="E389" s="139"/>
      <c r="J389" s="139"/>
    </row>
    <row r="390" spans="5:10" ht="15.75" customHeight="1" x14ac:dyDescent="0.25">
      <c r="E390" s="139"/>
      <c r="J390" s="139"/>
    </row>
    <row r="391" spans="5:10" ht="15.75" customHeight="1" x14ac:dyDescent="0.25">
      <c r="E391" s="139"/>
      <c r="J391" s="139"/>
    </row>
    <row r="392" spans="5:10" ht="15.75" customHeight="1" x14ac:dyDescent="0.25">
      <c r="E392" s="139"/>
      <c r="J392" s="139"/>
    </row>
    <row r="393" spans="5:10" ht="15.75" customHeight="1" x14ac:dyDescent="0.25">
      <c r="E393" s="139"/>
      <c r="J393" s="139"/>
    </row>
    <row r="394" spans="5:10" ht="15.75" customHeight="1" x14ac:dyDescent="0.25">
      <c r="E394" s="139"/>
      <c r="J394" s="139"/>
    </row>
    <row r="395" spans="5:10" ht="15.75" customHeight="1" x14ac:dyDescent="0.25">
      <c r="E395" s="139"/>
      <c r="J395" s="139"/>
    </row>
    <row r="396" spans="5:10" ht="15.75" customHeight="1" x14ac:dyDescent="0.25">
      <c r="E396" s="139"/>
      <c r="J396" s="139"/>
    </row>
    <row r="397" spans="5:10" ht="15.75" customHeight="1" x14ac:dyDescent="0.25">
      <c r="E397" s="139"/>
      <c r="J397" s="139"/>
    </row>
    <row r="398" spans="5:10" ht="15.75" customHeight="1" x14ac:dyDescent="0.25">
      <c r="E398" s="139"/>
      <c r="J398" s="139"/>
    </row>
    <row r="399" spans="5:10" ht="15.75" customHeight="1" x14ac:dyDescent="0.25">
      <c r="E399" s="139"/>
      <c r="J399" s="139"/>
    </row>
    <row r="400" spans="5:10" ht="15.75" customHeight="1" x14ac:dyDescent="0.25">
      <c r="E400" s="139"/>
      <c r="J400" s="139"/>
    </row>
    <row r="401" spans="5:10" ht="15.75" customHeight="1" x14ac:dyDescent="0.25">
      <c r="E401" s="139"/>
      <c r="J401" s="139"/>
    </row>
    <row r="402" spans="5:10" ht="15.75" customHeight="1" x14ac:dyDescent="0.25">
      <c r="E402" s="139"/>
      <c r="J402" s="139"/>
    </row>
    <row r="403" spans="5:10" ht="15.75" customHeight="1" x14ac:dyDescent="0.25">
      <c r="E403" s="139"/>
      <c r="J403" s="139"/>
    </row>
    <row r="404" spans="5:10" ht="15.75" customHeight="1" x14ac:dyDescent="0.25">
      <c r="E404" s="139"/>
      <c r="J404" s="139"/>
    </row>
    <row r="405" spans="5:10" ht="15.75" customHeight="1" x14ac:dyDescent="0.25">
      <c r="E405" s="139"/>
      <c r="J405" s="139"/>
    </row>
    <row r="406" spans="5:10" ht="15.75" customHeight="1" x14ac:dyDescent="0.25">
      <c r="E406" s="139"/>
      <c r="J406" s="139"/>
    </row>
    <row r="407" spans="5:10" ht="15.75" customHeight="1" x14ac:dyDescent="0.25">
      <c r="E407" s="139"/>
      <c r="J407" s="139"/>
    </row>
    <row r="408" spans="5:10" ht="15.75" customHeight="1" x14ac:dyDescent="0.25">
      <c r="E408" s="139"/>
      <c r="J408" s="139"/>
    </row>
    <row r="409" spans="5:10" ht="15.75" customHeight="1" x14ac:dyDescent="0.25">
      <c r="E409" s="139"/>
      <c r="J409" s="139"/>
    </row>
    <row r="410" spans="5:10" ht="15.75" customHeight="1" x14ac:dyDescent="0.25">
      <c r="E410" s="139"/>
      <c r="J410" s="139"/>
    </row>
    <row r="411" spans="5:10" ht="15.75" customHeight="1" x14ac:dyDescent="0.25">
      <c r="E411" s="139"/>
      <c r="J411" s="139"/>
    </row>
    <row r="412" spans="5:10" ht="15.75" customHeight="1" x14ac:dyDescent="0.25">
      <c r="E412" s="139"/>
      <c r="J412" s="139"/>
    </row>
    <row r="413" spans="5:10" ht="15.75" customHeight="1" x14ac:dyDescent="0.25">
      <c r="E413" s="139"/>
      <c r="J413" s="139"/>
    </row>
    <row r="414" spans="5:10" ht="15.75" customHeight="1" x14ac:dyDescent="0.25">
      <c r="E414" s="139"/>
      <c r="J414" s="139"/>
    </row>
    <row r="415" spans="5:10" ht="15.75" customHeight="1" x14ac:dyDescent="0.25">
      <c r="E415" s="139"/>
      <c r="J415" s="139"/>
    </row>
    <row r="416" spans="5:10" ht="15.75" customHeight="1" x14ac:dyDescent="0.25">
      <c r="E416" s="139"/>
      <c r="J416" s="139"/>
    </row>
    <row r="417" spans="5:10" ht="15.75" customHeight="1" x14ac:dyDescent="0.25">
      <c r="E417" s="139"/>
      <c r="J417" s="139"/>
    </row>
    <row r="418" spans="5:10" ht="15.75" customHeight="1" x14ac:dyDescent="0.25">
      <c r="E418" s="139"/>
      <c r="J418" s="139"/>
    </row>
    <row r="419" spans="5:10" ht="15.75" customHeight="1" x14ac:dyDescent="0.25">
      <c r="E419" s="139"/>
      <c r="J419" s="139"/>
    </row>
    <row r="420" spans="5:10" ht="15.75" customHeight="1" x14ac:dyDescent="0.25">
      <c r="E420" s="139"/>
      <c r="J420" s="139"/>
    </row>
    <row r="421" spans="5:10" ht="15.75" customHeight="1" x14ac:dyDescent="0.25">
      <c r="E421" s="139"/>
      <c r="J421" s="139"/>
    </row>
    <row r="422" spans="5:10" ht="15.75" customHeight="1" x14ac:dyDescent="0.25">
      <c r="E422" s="139"/>
      <c r="J422" s="139"/>
    </row>
    <row r="423" spans="5:10" ht="15.75" customHeight="1" x14ac:dyDescent="0.25">
      <c r="E423" s="139"/>
      <c r="J423" s="139"/>
    </row>
    <row r="424" spans="5:10" ht="15.75" customHeight="1" x14ac:dyDescent="0.25">
      <c r="E424" s="139"/>
      <c r="J424" s="139"/>
    </row>
    <row r="425" spans="5:10" ht="15.75" customHeight="1" x14ac:dyDescent="0.25">
      <c r="E425" s="139"/>
      <c r="J425" s="139"/>
    </row>
    <row r="426" spans="5:10" ht="15.75" customHeight="1" x14ac:dyDescent="0.25">
      <c r="E426" s="139"/>
      <c r="J426" s="139"/>
    </row>
    <row r="427" spans="5:10" ht="15.75" customHeight="1" x14ac:dyDescent="0.25">
      <c r="E427" s="139"/>
      <c r="J427" s="139"/>
    </row>
    <row r="428" spans="5:10" ht="15.75" customHeight="1" x14ac:dyDescent="0.25">
      <c r="E428" s="139"/>
      <c r="J428" s="139"/>
    </row>
    <row r="429" spans="5:10" ht="15.75" customHeight="1" x14ac:dyDescent="0.25">
      <c r="E429" s="139"/>
      <c r="J429" s="139"/>
    </row>
    <row r="430" spans="5:10" ht="15.75" customHeight="1" x14ac:dyDescent="0.25">
      <c r="E430" s="139"/>
      <c r="J430" s="139"/>
    </row>
    <row r="431" spans="5:10" ht="15.75" customHeight="1" x14ac:dyDescent="0.25">
      <c r="E431" s="139"/>
      <c r="J431" s="139"/>
    </row>
    <row r="432" spans="5:10" ht="15.75" customHeight="1" x14ac:dyDescent="0.25">
      <c r="E432" s="139"/>
      <c r="J432" s="139"/>
    </row>
    <row r="433" spans="5:10" ht="15.75" customHeight="1" x14ac:dyDescent="0.25">
      <c r="E433" s="139"/>
      <c r="J433" s="139"/>
    </row>
    <row r="434" spans="5:10" ht="15.75" customHeight="1" x14ac:dyDescent="0.25">
      <c r="E434" s="139"/>
      <c r="J434" s="139"/>
    </row>
    <row r="435" spans="5:10" ht="15.75" customHeight="1" x14ac:dyDescent="0.25">
      <c r="E435" s="139"/>
      <c r="J435" s="139"/>
    </row>
    <row r="436" spans="5:10" ht="15.75" customHeight="1" x14ac:dyDescent="0.25">
      <c r="E436" s="139"/>
      <c r="J436" s="139"/>
    </row>
    <row r="437" spans="5:10" ht="15.75" customHeight="1" x14ac:dyDescent="0.25">
      <c r="E437" s="139"/>
      <c r="J437" s="139"/>
    </row>
    <row r="438" spans="5:10" ht="15.75" customHeight="1" x14ac:dyDescent="0.25">
      <c r="E438" s="139"/>
      <c r="J438" s="139"/>
    </row>
    <row r="439" spans="5:10" ht="15.75" customHeight="1" x14ac:dyDescent="0.25">
      <c r="E439" s="139"/>
      <c r="J439" s="139"/>
    </row>
    <row r="440" spans="5:10" ht="15.75" customHeight="1" x14ac:dyDescent="0.25">
      <c r="E440" s="139"/>
      <c r="J440" s="139"/>
    </row>
    <row r="441" spans="5:10" ht="15.75" customHeight="1" x14ac:dyDescent="0.25">
      <c r="E441" s="139"/>
      <c r="J441" s="139"/>
    </row>
    <row r="442" spans="5:10" ht="15.75" customHeight="1" x14ac:dyDescent="0.25">
      <c r="E442" s="139"/>
      <c r="J442" s="139"/>
    </row>
    <row r="443" spans="5:10" ht="15.75" customHeight="1" x14ac:dyDescent="0.25">
      <c r="E443" s="139"/>
      <c r="J443" s="139"/>
    </row>
    <row r="444" spans="5:10" ht="15.75" customHeight="1" x14ac:dyDescent="0.25">
      <c r="E444" s="139"/>
      <c r="J444" s="139"/>
    </row>
    <row r="445" spans="5:10" ht="15.75" customHeight="1" x14ac:dyDescent="0.25">
      <c r="E445" s="139"/>
      <c r="J445" s="139"/>
    </row>
    <row r="446" spans="5:10" ht="15.75" customHeight="1" x14ac:dyDescent="0.25">
      <c r="E446" s="139"/>
      <c r="J446" s="139"/>
    </row>
    <row r="447" spans="5:10" ht="15.75" customHeight="1" x14ac:dyDescent="0.25">
      <c r="E447" s="139"/>
      <c r="J447" s="139"/>
    </row>
    <row r="448" spans="5:10" ht="15.75" customHeight="1" x14ac:dyDescent="0.25">
      <c r="E448" s="139"/>
      <c r="J448" s="139"/>
    </row>
    <row r="449" spans="5:10" ht="15.75" customHeight="1" x14ac:dyDescent="0.25">
      <c r="E449" s="139"/>
      <c r="J449" s="139"/>
    </row>
    <row r="450" spans="5:10" ht="15.75" customHeight="1" x14ac:dyDescent="0.25">
      <c r="E450" s="139"/>
      <c r="J450" s="139"/>
    </row>
    <row r="451" spans="5:10" ht="15.75" customHeight="1" x14ac:dyDescent="0.25">
      <c r="E451" s="139"/>
      <c r="J451" s="139"/>
    </row>
    <row r="452" spans="5:10" ht="15.75" customHeight="1" x14ac:dyDescent="0.25">
      <c r="E452" s="139"/>
      <c r="J452" s="139"/>
    </row>
    <row r="453" spans="5:10" ht="15.75" customHeight="1" x14ac:dyDescent="0.25">
      <c r="E453" s="139"/>
      <c r="J453" s="139"/>
    </row>
    <row r="454" spans="5:10" ht="15.75" customHeight="1" x14ac:dyDescent="0.25">
      <c r="E454" s="139"/>
      <c r="J454" s="139"/>
    </row>
    <row r="455" spans="5:10" ht="15.75" customHeight="1" x14ac:dyDescent="0.25">
      <c r="E455" s="139"/>
      <c r="J455" s="139"/>
    </row>
    <row r="456" spans="5:10" ht="15.75" customHeight="1" x14ac:dyDescent="0.25">
      <c r="E456" s="139"/>
      <c r="J456" s="139"/>
    </row>
    <row r="457" spans="5:10" ht="15.75" customHeight="1" x14ac:dyDescent="0.25">
      <c r="E457" s="139"/>
      <c r="J457" s="139"/>
    </row>
    <row r="458" spans="5:10" ht="15.75" customHeight="1" x14ac:dyDescent="0.25">
      <c r="E458" s="139"/>
      <c r="J458" s="139"/>
    </row>
    <row r="459" spans="5:10" ht="15.75" customHeight="1" x14ac:dyDescent="0.25">
      <c r="E459" s="139"/>
      <c r="J459" s="139"/>
    </row>
    <row r="460" spans="5:10" ht="15.75" customHeight="1" x14ac:dyDescent="0.25">
      <c r="E460" s="139"/>
      <c r="J460" s="139"/>
    </row>
    <row r="461" spans="5:10" ht="15.75" customHeight="1" x14ac:dyDescent="0.25">
      <c r="E461" s="139"/>
      <c r="J461" s="139"/>
    </row>
    <row r="462" spans="5:10" ht="15.75" customHeight="1" x14ac:dyDescent="0.25">
      <c r="E462" s="139"/>
      <c r="J462" s="139"/>
    </row>
    <row r="463" spans="5:10" ht="15.75" customHeight="1" x14ac:dyDescent="0.25">
      <c r="E463" s="139"/>
      <c r="J463" s="139"/>
    </row>
    <row r="464" spans="5:10" ht="15.75" customHeight="1" x14ac:dyDescent="0.25">
      <c r="E464" s="139"/>
      <c r="J464" s="139"/>
    </row>
    <row r="465" spans="5:10" ht="15.75" customHeight="1" x14ac:dyDescent="0.25">
      <c r="E465" s="139"/>
      <c r="J465" s="139"/>
    </row>
    <row r="466" spans="5:10" ht="15.75" customHeight="1" x14ac:dyDescent="0.25">
      <c r="E466" s="139"/>
      <c r="J466" s="139"/>
    </row>
    <row r="467" spans="5:10" ht="15.75" customHeight="1" x14ac:dyDescent="0.25">
      <c r="E467" s="139"/>
      <c r="J467" s="139"/>
    </row>
    <row r="468" spans="5:10" ht="15.75" customHeight="1" x14ac:dyDescent="0.25">
      <c r="E468" s="139"/>
      <c r="J468" s="139"/>
    </row>
    <row r="469" spans="5:10" ht="15.75" customHeight="1" x14ac:dyDescent="0.25">
      <c r="E469" s="139"/>
      <c r="J469" s="139"/>
    </row>
    <row r="470" spans="5:10" ht="15.75" customHeight="1" x14ac:dyDescent="0.25">
      <c r="E470" s="139"/>
      <c r="J470" s="139"/>
    </row>
    <row r="471" spans="5:10" ht="15.75" customHeight="1" x14ac:dyDescent="0.25">
      <c r="E471" s="139"/>
      <c r="J471" s="139"/>
    </row>
    <row r="472" spans="5:10" ht="15.75" customHeight="1" x14ac:dyDescent="0.25">
      <c r="E472" s="139"/>
      <c r="J472" s="139"/>
    </row>
    <row r="473" spans="5:10" ht="15.75" customHeight="1" x14ac:dyDescent="0.25">
      <c r="E473" s="139"/>
      <c r="J473" s="139"/>
    </row>
    <row r="474" spans="5:10" ht="15.75" customHeight="1" x14ac:dyDescent="0.25">
      <c r="E474" s="139"/>
      <c r="J474" s="139"/>
    </row>
    <row r="475" spans="5:10" ht="15.75" customHeight="1" x14ac:dyDescent="0.25">
      <c r="E475" s="139"/>
      <c r="J475" s="139"/>
    </row>
    <row r="476" spans="5:10" ht="15.75" customHeight="1" x14ac:dyDescent="0.25">
      <c r="E476" s="139"/>
      <c r="J476" s="139"/>
    </row>
    <row r="477" spans="5:10" ht="15.75" customHeight="1" x14ac:dyDescent="0.25">
      <c r="E477" s="139"/>
      <c r="J477" s="139"/>
    </row>
    <row r="478" spans="5:10" ht="15.75" customHeight="1" x14ac:dyDescent="0.25">
      <c r="E478" s="139"/>
      <c r="J478" s="139"/>
    </row>
    <row r="479" spans="5:10" ht="15.75" customHeight="1" x14ac:dyDescent="0.25">
      <c r="E479" s="139"/>
      <c r="J479" s="139"/>
    </row>
    <row r="480" spans="5:10" ht="15.75" customHeight="1" x14ac:dyDescent="0.25">
      <c r="E480" s="139"/>
      <c r="J480" s="139"/>
    </row>
    <row r="481" spans="5:10" ht="15.75" customHeight="1" x14ac:dyDescent="0.25">
      <c r="E481" s="139"/>
      <c r="J481" s="139"/>
    </row>
    <row r="482" spans="5:10" ht="15.75" customHeight="1" x14ac:dyDescent="0.25">
      <c r="E482" s="139"/>
      <c r="J482" s="139"/>
    </row>
    <row r="483" spans="5:10" ht="15.75" customHeight="1" x14ac:dyDescent="0.25">
      <c r="E483" s="139"/>
      <c r="J483" s="139"/>
    </row>
    <row r="484" spans="5:10" ht="15.75" customHeight="1" x14ac:dyDescent="0.25">
      <c r="E484" s="139"/>
      <c r="J484" s="139"/>
    </row>
    <row r="485" spans="5:10" ht="15.75" customHeight="1" x14ac:dyDescent="0.25">
      <c r="E485" s="139"/>
      <c r="J485" s="139"/>
    </row>
    <row r="486" spans="5:10" ht="15.75" customHeight="1" x14ac:dyDescent="0.25">
      <c r="E486" s="139"/>
      <c r="J486" s="139"/>
    </row>
    <row r="487" spans="5:10" ht="15.75" customHeight="1" x14ac:dyDescent="0.25">
      <c r="E487" s="139"/>
      <c r="J487" s="139"/>
    </row>
    <row r="488" spans="5:10" ht="15.75" customHeight="1" x14ac:dyDescent="0.25">
      <c r="E488" s="139"/>
      <c r="J488" s="139"/>
    </row>
    <row r="489" spans="5:10" ht="15.75" customHeight="1" x14ac:dyDescent="0.25">
      <c r="E489" s="139"/>
      <c r="J489" s="139"/>
    </row>
    <row r="490" spans="5:10" ht="15.75" customHeight="1" x14ac:dyDescent="0.25">
      <c r="E490" s="139"/>
      <c r="J490" s="139"/>
    </row>
    <row r="491" spans="5:10" ht="15.75" customHeight="1" x14ac:dyDescent="0.25">
      <c r="E491" s="139"/>
      <c r="J491" s="139"/>
    </row>
    <row r="492" spans="5:10" ht="15.75" customHeight="1" x14ac:dyDescent="0.25">
      <c r="E492" s="139"/>
      <c r="J492" s="139"/>
    </row>
    <row r="493" spans="5:10" ht="15.75" customHeight="1" x14ac:dyDescent="0.25">
      <c r="E493" s="139"/>
      <c r="J493" s="139"/>
    </row>
    <row r="494" spans="5:10" ht="15.75" customHeight="1" x14ac:dyDescent="0.25">
      <c r="E494" s="139"/>
      <c r="J494" s="139"/>
    </row>
    <row r="495" spans="5:10" ht="15.75" customHeight="1" x14ac:dyDescent="0.25">
      <c r="E495" s="139"/>
      <c r="J495" s="139"/>
    </row>
    <row r="496" spans="5:10" ht="15.75" customHeight="1" x14ac:dyDescent="0.25">
      <c r="E496" s="139"/>
      <c r="J496" s="139"/>
    </row>
    <row r="497" spans="5:10" ht="15.75" customHeight="1" x14ac:dyDescent="0.25">
      <c r="E497" s="139"/>
      <c r="J497" s="139"/>
    </row>
    <row r="498" spans="5:10" ht="15.75" customHeight="1" x14ac:dyDescent="0.25">
      <c r="E498" s="139"/>
      <c r="J498" s="139"/>
    </row>
    <row r="499" spans="5:10" ht="15.75" customHeight="1" x14ac:dyDescent="0.25">
      <c r="E499" s="139"/>
      <c r="J499" s="139"/>
    </row>
    <row r="500" spans="5:10" ht="15.75" customHeight="1" x14ac:dyDescent="0.25">
      <c r="E500" s="139"/>
      <c r="J500" s="139"/>
    </row>
    <row r="501" spans="5:10" ht="15.75" customHeight="1" x14ac:dyDescent="0.25">
      <c r="E501" s="139"/>
      <c r="J501" s="139"/>
    </row>
    <row r="502" spans="5:10" ht="15.75" customHeight="1" x14ac:dyDescent="0.25">
      <c r="E502" s="139"/>
      <c r="J502" s="139"/>
    </row>
    <row r="503" spans="5:10" ht="15.75" customHeight="1" x14ac:dyDescent="0.25">
      <c r="E503" s="139"/>
      <c r="J503" s="139"/>
    </row>
    <row r="504" spans="5:10" ht="15.75" customHeight="1" x14ac:dyDescent="0.25">
      <c r="E504" s="139"/>
      <c r="J504" s="139"/>
    </row>
    <row r="505" spans="5:10" ht="15.75" customHeight="1" x14ac:dyDescent="0.25">
      <c r="E505" s="139"/>
      <c r="J505" s="139"/>
    </row>
    <row r="506" spans="5:10" ht="15.75" customHeight="1" x14ac:dyDescent="0.25">
      <c r="E506" s="139"/>
      <c r="J506" s="139"/>
    </row>
    <row r="507" spans="5:10" ht="15.75" customHeight="1" x14ac:dyDescent="0.25">
      <c r="E507" s="139"/>
      <c r="J507" s="139"/>
    </row>
    <row r="508" spans="5:10" ht="15.75" customHeight="1" x14ac:dyDescent="0.25">
      <c r="E508" s="139"/>
      <c r="J508" s="139"/>
    </row>
    <row r="509" spans="5:10" ht="15.75" customHeight="1" x14ac:dyDescent="0.25">
      <c r="E509" s="139"/>
      <c r="J509" s="139"/>
    </row>
    <row r="510" spans="5:10" ht="15.75" customHeight="1" x14ac:dyDescent="0.25">
      <c r="E510" s="139"/>
      <c r="J510" s="139"/>
    </row>
    <row r="511" spans="5:10" ht="15.75" customHeight="1" x14ac:dyDescent="0.25">
      <c r="E511" s="139"/>
      <c r="J511" s="139"/>
    </row>
    <row r="512" spans="5:10" ht="15.75" customHeight="1" x14ac:dyDescent="0.25">
      <c r="E512" s="139"/>
      <c r="J512" s="139"/>
    </row>
    <row r="513" spans="5:10" ht="15.75" customHeight="1" x14ac:dyDescent="0.25">
      <c r="E513" s="139"/>
      <c r="J513" s="139"/>
    </row>
    <row r="514" spans="5:10" ht="15.75" customHeight="1" x14ac:dyDescent="0.25">
      <c r="E514" s="139"/>
      <c r="J514" s="139"/>
    </row>
    <row r="515" spans="5:10" ht="15.75" customHeight="1" x14ac:dyDescent="0.25">
      <c r="E515" s="139"/>
      <c r="J515" s="139"/>
    </row>
    <row r="516" spans="5:10" ht="15.75" customHeight="1" x14ac:dyDescent="0.25">
      <c r="E516" s="139"/>
      <c r="J516" s="139"/>
    </row>
    <row r="517" spans="5:10" ht="15.75" customHeight="1" x14ac:dyDescent="0.25">
      <c r="E517" s="139"/>
      <c r="J517" s="139"/>
    </row>
    <row r="518" spans="5:10" ht="15.75" customHeight="1" x14ac:dyDescent="0.25">
      <c r="E518" s="139"/>
      <c r="J518" s="139"/>
    </row>
    <row r="519" spans="5:10" ht="15.75" customHeight="1" x14ac:dyDescent="0.25">
      <c r="E519" s="139"/>
      <c r="J519" s="139"/>
    </row>
    <row r="520" spans="5:10" ht="15.75" customHeight="1" x14ac:dyDescent="0.25">
      <c r="E520" s="139"/>
      <c r="J520" s="139"/>
    </row>
    <row r="521" spans="5:10" ht="15.75" customHeight="1" x14ac:dyDescent="0.25">
      <c r="E521" s="139"/>
      <c r="J521" s="139"/>
    </row>
    <row r="522" spans="5:10" ht="15.75" customHeight="1" x14ac:dyDescent="0.25">
      <c r="E522" s="139"/>
      <c r="J522" s="139"/>
    </row>
    <row r="523" spans="5:10" ht="15.75" customHeight="1" x14ac:dyDescent="0.25">
      <c r="E523" s="139"/>
      <c r="J523" s="139"/>
    </row>
    <row r="524" spans="5:10" ht="15.75" customHeight="1" x14ac:dyDescent="0.25">
      <c r="E524" s="139"/>
      <c r="J524" s="139"/>
    </row>
    <row r="525" spans="5:10" ht="15.75" customHeight="1" x14ac:dyDescent="0.25">
      <c r="E525" s="139"/>
      <c r="J525" s="139"/>
    </row>
    <row r="526" spans="5:10" ht="15.75" customHeight="1" x14ac:dyDescent="0.25">
      <c r="E526" s="139"/>
      <c r="J526" s="139"/>
    </row>
    <row r="527" spans="5:10" ht="15.75" customHeight="1" x14ac:dyDescent="0.25">
      <c r="E527" s="139"/>
      <c r="J527" s="139"/>
    </row>
    <row r="528" spans="5:10" ht="15.75" customHeight="1" x14ac:dyDescent="0.25">
      <c r="E528" s="139"/>
      <c r="J528" s="139"/>
    </row>
    <row r="529" spans="5:10" ht="15.75" customHeight="1" x14ac:dyDescent="0.25">
      <c r="E529" s="139"/>
      <c r="J529" s="139"/>
    </row>
    <row r="530" spans="5:10" ht="15.75" customHeight="1" x14ac:dyDescent="0.25">
      <c r="E530" s="139"/>
      <c r="J530" s="139"/>
    </row>
    <row r="531" spans="5:10" ht="15.75" customHeight="1" x14ac:dyDescent="0.25">
      <c r="E531" s="139"/>
      <c r="J531" s="139"/>
    </row>
    <row r="532" spans="5:10" ht="15.75" customHeight="1" x14ac:dyDescent="0.25">
      <c r="E532" s="139"/>
      <c r="J532" s="139"/>
    </row>
    <row r="533" spans="5:10" ht="15.75" customHeight="1" x14ac:dyDescent="0.25">
      <c r="E533" s="139"/>
      <c r="J533" s="139"/>
    </row>
    <row r="534" spans="5:10" ht="15.75" customHeight="1" x14ac:dyDescent="0.25">
      <c r="E534" s="139"/>
      <c r="J534" s="139"/>
    </row>
    <row r="535" spans="5:10" ht="15.75" customHeight="1" x14ac:dyDescent="0.25">
      <c r="E535" s="139"/>
      <c r="J535" s="139"/>
    </row>
    <row r="536" spans="5:10" ht="15.75" customHeight="1" x14ac:dyDescent="0.25">
      <c r="E536" s="139"/>
      <c r="J536" s="139"/>
    </row>
    <row r="537" spans="5:10" ht="15.75" customHeight="1" x14ac:dyDescent="0.25">
      <c r="E537" s="139"/>
      <c r="J537" s="139"/>
    </row>
    <row r="538" spans="5:10" ht="15.75" customHeight="1" x14ac:dyDescent="0.25">
      <c r="E538" s="139"/>
      <c r="J538" s="139"/>
    </row>
    <row r="539" spans="5:10" ht="15.75" customHeight="1" x14ac:dyDescent="0.25">
      <c r="E539" s="139"/>
      <c r="J539" s="139"/>
    </row>
    <row r="540" spans="5:10" ht="15.75" customHeight="1" x14ac:dyDescent="0.25">
      <c r="E540" s="139"/>
      <c r="J540" s="139"/>
    </row>
    <row r="541" spans="5:10" ht="15.75" customHeight="1" x14ac:dyDescent="0.25">
      <c r="E541" s="139"/>
      <c r="J541" s="139"/>
    </row>
    <row r="542" spans="5:10" ht="15.75" customHeight="1" x14ac:dyDescent="0.25">
      <c r="E542" s="139"/>
      <c r="J542" s="139"/>
    </row>
    <row r="543" spans="5:10" ht="15.75" customHeight="1" x14ac:dyDescent="0.25">
      <c r="E543" s="139"/>
      <c r="J543" s="139"/>
    </row>
    <row r="544" spans="5:10" ht="15.75" customHeight="1" x14ac:dyDescent="0.25">
      <c r="E544" s="139"/>
      <c r="J544" s="139"/>
    </row>
    <row r="545" spans="5:10" ht="15.75" customHeight="1" x14ac:dyDescent="0.25">
      <c r="E545" s="139"/>
      <c r="J545" s="139"/>
    </row>
    <row r="546" spans="5:10" ht="15.75" customHeight="1" x14ac:dyDescent="0.25">
      <c r="E546" s="139"/>
      <c r="J546" s="139"/>
    </row>
    <row r="547" spans="5:10" ht="15.75" customHeight="1" x14ac:dyDescent="0.25">
      <c r="E547" s="139"/>
      <c r="J547" s="139"/>
    </row>
    <row r="548" spans="5:10" ht="15.75" customHeight="1" x14ac:dyDescent="0.25">
      <c r="E548" s="139"/>
      <c r="J548" s="139"/>
    </row>
    <row r="549" spans="5:10" ht="15.75" customHeight="1" x14ac:dyDescent="0.25">
      <c r="E549" s="139"/>
      <c r="J549" s="139"/>
    </row>
    <row r="550" spans="5:10" ht="15.75" customHeight="1" x14ac:dyDescent="0.25">
      <c r="E550" s="139"/>
      <c r="J550" s="139"/>
    </row>
    <row r="551" spans="5:10" ht="15.75" customHeight="1" x14ac:dyDescent="0.25">
      <c r="E551" s="139"/>
      <c r="J551" s="139"/>
    </row>
    <row r="552" spans="5:10" ht="15.75" customHeight="1" x14ac:dyDescent="0.25">
      <c r="E552" s="139"/>
      <c r="J552" s="139"/>
    </row>
    <row r="553" spans="5:10" ht="15.75" customHeight="1" x14ac:dyDescent="0.25">
      <c r="E553" s="139"/>
      <c r="J553" s="139"/>
    </row>
    <row r="554" spans="5:10" ht="15.75" customHeight="1" x14ac:dyDescent="0.25">
      <c r="E554" s="139"/>
      <c r="J554" s="139"/>
    </row>
    <row r="555" spans="5:10" ht="15.75" customHeight="1" x14ac:dyDescent="0.25">
      <c r="E555" s="139"/>
      <c r="J555" s="139"/>
    </row>
    <row r="556" spans="5:10" ht="15.75" customHeight="1" x14ac:dyDescent="0.25">
      <c r="E556" s="139"/>
      <c r="J556" s="139"/>
    </row>
    <row r="557" spans="5:10" ht="15.75" customHeight="1" x14ac:dyDescent="0.25">
      <c r="E557" s="139"/>
      <c r="J557" s="139"/>
    </row>
    <row r="558" spans="5:10" ht="15.75" customHeight="1" x14ac:dyDescent="0.25">
      <c r="E558" s="139"/>
      <c r="J558" s="139"/>
    </row>
    <row r="559" spans="5:10" ht="15.75" customHeight="1" x14ac:dyDescent="0.25">
      <c r="E559" s="139"/>
      <c r="J559" s="139"/>
    </row>
    <row r="560" spans="5:10" ht="15.75" customHeight="1" x14ac:dyDescent="0.25">
      <c r="E560" s="139"/>
      <c r="J560" s="139"/>
    </row>
    <row r="561" spans="5:10" ht="15.75" customHeight="1" x14ac:dyDescent="0.25">
      <c r="E561" s="139"/>
      <c r="J561" s="139"/>
    </row>
    <row r="562" spans="5:10" ht="15.75" customHeight="1" x14ac:dyDescent="0.25">
      <c r="E562" s="139"/>
      <c r="J562" s="139"/>
    </row>
    <row r="563" spans="5:10" ht="15.75" customHeight="1" x14ac:dyDescent="0.25">
      <c r="E563" s="139"/>
      <c r="J563" s="139"/>
    </row>
    <row r="564" spans="5:10" ht="15.75" customHeight="1" x14ac:dyDescent="0.25">
      <c r="E564" s="139"/>
      <c r="J564" s="139"/>
    </row>
    <row r="565" spans="5:10" ht="15.75" customHeight="1" x14ac:dyDescent="0.25">
      <c r="E565" s="139"/>
      <c r="J565" s="139"/>
    </row>
    <row r="566" spans="5:10" ht="15.75" customHeight="1" x14ac:dyDescent="0.25">
      <c r="E566" s="139"/>
      <c r="J566" s="139"/>
    </row>
    <row r="567" spans="5:10" ht="15.75" customHeight="1" x14ac:dyDescent="0.25">
      <c r="E567" s="139"/>
      <c r="J567" s="139"/>
    </row>
    <row r="568" spans="5:10" ht="15.75" customHeight="1" x14ac:dyDescent="0.25">
      <c r="E568" s="139"/>
      <c r="J568" s="139"/>
    </row>
    <row r="569" spans="5:10" ht="15.75" customHeight="1" x14ac:dyDescent="0.25">
      <c r="E569" s="139"/>
      <c r="J569" s="139"/>
    </row>
    <row r="570" spans="5:10" ht="15.75" customHeight="1" x14ac:dyDescent="0.25">
      <c r="E570" s="139"/>
      <c r="J570" s="139"/>
    </row>
    <row r="571" spans="5:10" ht="15.75" customHeight="1" x14ac:dyDescent="0.25">
      <c r="E571" s="139"/>
      <c r="J571" s="139"/>
    </row>
    <row r="572" spans="5:10" ht="15.75" customHeight="1" x14ac:dyDescent="0.25">
      <c r="E572" s="139"/>
      <c r="J572" s="139"/>
    </row>
    <row r="573" spans="5:10" ht="15.75" customHeight="1" x14ac:dyDescent="0.25">
      <c r="E573" s="139"/>
      <c r="J573" s="139"/>
    </row>
    <row r="574" spans="5:10" ht="15.75" customHeight="1" x14ac:dyDescent="0.25">
      <c r="E574" s="139"/>
      <c r="J574" s="139"/>
    </row>
    <row r="575" spans="5:10" ht="15.75" customHeight="1" x14ac:dyDescent="0.25">
      <c r="E575" s="139"/>
      <c r="J575" s="139"/>
    </row>
    <row r="576" spans="5:10" ht="15.75" customHeight="1" x14ac:dyDescent="0.25">
      <c r="E576" s="139"/>
      <c r="J576" s="139"/>
    </row>
    <row r="577" spans="5:10" ht="15.75" customHeight="1" x14ac:dyDescent="0.25">
      <c r="E577" s="139"/>
      <c r="J577" s="139"/>
    </row>
    <row r="578" spans="5:10" ht="15.75" customHeight="1" x14ac:dyDescent="0.25">
      <c r="E578" s="139"/>
      <c r="J578" s="139"/>
    </row>
    <row r="579" spans="5:10" ht="15.75" customHeight="1" x14ac:dyDescent="0.25">
      <c r="E579" s="139"/>
      <c r="J579" s="139"/>
    </row>
    <row r="580" spans="5:10" ht="15.75" customHeight="1" x14ac:dyDescent="0.25">
      <c r="E580" s="139"/>
      <c r="J580" s="139"/>
    </row>
    <row r="581" spans="5:10" ht="15.75" customHeight="1" x14ac:dyDescent="0.25">
      <c r="E581" s="139"/>
      <c r="J581" s="139"/>
    </row>
    <row r="582" spans="5:10" ht="15.75" customHeight="1" x14ac:dyDescent="0.25">
      <c r="E582" s="139"/>
      <c r="J582" s="139"/>
    </row>
    <row r="583" spans="5:10" ht="15.75" customHeight="1" x14ac:dyDescent="0.25">
      <c r="E583" s="139"/>
      <c r="J583" s="139"/>
    </row>
    <row r="584" spans="5:10" ht="15.75" customHeight="1" x14ac:dyDescent="0.25">
      <c r="E584" s="139"/>
      <c r="J584" s="139"/>
    </row>
    <row r="585" spans="5:10" ht="15.75" customHeight="1" x14ac:dyDescent="0.25">
      <c r="E585" s="139"/>
      <c r="J585" s="139"/>
    </row>
    <row r="586" spans="5:10" ht="15.75" customHeight="1" x14ac:dyDescent="0.25">
      <c r="E586" s="139"/>
      <c r="J586" s="139"/>
    </row>
    <row r="587" spans="5:10" ht="15.75" customHeight="1" x14ac:dyDescent="0.25">
      <c r="E587" s="139"/>
      <c r="J587" s="139"/>
    </row>
    <row r="588" spans="5:10" ht="15.75" customHeight="1" x14ac:dyDescent="0.25">
      <c r="E588" s="139"/>
      <c r="J588" s="139"/>
    </row>
    <row r="589" spans="5:10" ht="15.75" customHeight="1" x14ac:dyDescent="0.25">
      <c r="E589" s="139"/>
      <c r="J589" s="139"/>
    </row>
    <row r="590" spans="5:10" ht="15.75" customHeight="1" x14ac:dyDescent="0.25">
      <c r="E590" s="139"/>
      <c r="J590" s="139"/>
    </row>
    <row r="591" spans="5:10" ht="15.75" customHeight="1" x14ac:dyDescent="0.25">
      <c r="E591" s="139"/>
      <c r="J591" s="139"/>
    </row>
    <row r="592" spans="5:10" ht="15.75" customHeight="1" x14ac:dyDescent="0.25">
      <c r="E592" s="139"/>
      <c r="J592" s="139"/>
    </row>
    <row r="593" spans="5:10" ht="15.75" customHeight="1" x14ac:dyDescent="0.25">
      <c r="E593" s="139"/>
      <c r="J593" s="139"/>
    </row>
    <row r="594" spans="5:10" ht="15.75" customHeight="1" x14ac:dyDescent="0.25">
      <c r="E594" s="139"/>
      <c r="J594" s="139"/>
    </row>
    <row r="595" spans="5:10" ht="15.75" customHeight="1" x14ac:dyDescent="0.25">
      <c r="E595" s="139"/>
      <c r="J595" s="139"/>
    </row>
    <row r="596" spans="5:10" ht="15.75" customHeight="1" x14ac:dyDescent="0.25">
      <c r="E596" s="139"/>
      <c r="J596" s="139"/>
    </row>
    <row r="597" spans="5:10" ht="15.75" customHeight="1" x14ac:dyDescent="0.25">
      <c r="E597" s="139"/>
      <c r="J597" s="139"/>
    </row>
    <row r="598" spans="5:10" ht="15.75" customHeight="1" x14ac:dyDescent="0.25">
      <c r="E598" s="139"/>
      <c r="J598" s="139"/>
    </row>
    <row r="599" spans="5:10" ht="15.75" customHeight="1" x14ac:dyDescent="0.25">
      <c r="E599" s="139"/>
      <c r="J599" s="139"/>
    </row>
    <row r="600" spans="5:10" ht="15.75" customHeight="1" x14ac:dyDescent="0.25">
      <c r="E600" s="139"/>
      <c r="J600" s="139"/>
    </row>
    <row r="601" spans="5:10" ht="15.75" customHeight="1" x14ac:dyDescent="0.25">
      <c r="E601" s="139"/>
      <c r="J601" s="139"/>
    </row>
    <row r="602" spans="5:10" ht="15.75" customHeight="1" x14ac:dyDescent="0.25">
      <c r="E602" s="139"/>
      <c r="J602" s="139"/>
    </row>
    <row r="603" spans="5:10" ht="15.75" customHeight="1" x14ac:dyDescent="0.25">
      <c r="E603" s="139"/>
      <c r="J603" s="139"/>
    </row>
    <row r="604" spans="5:10" ht="15.75" customHeight="1" x14ac:dyDescent="0.25">
      <c r="E604" s="139"/>
      <c r="J604" s="139"/>
    </row>
    <row r="605" spans="5:10" ht="15.75" customHeight="1" x14ac:dyDescent="0.25">
      <c r="E605" s="139"/>
      <c r="J605" s="139"/>
    </row>
    <row r="606" spans="5:10" ht="15.75" customHeight="1" x14ac:dyDescent="0.25">
      <c r="E606" s="139"/>
      <c r="J606" s="139"/>
    </row>
    <row r="607" spans="5:10" ht="15.75" customHeight="1" x14ac:dyDescent="0.25">
      <c r="E607" s="139"/>
      <c r="J607" s="139"/>
    </row>
    <row r="608" spans="5:10" ht="15.75" customHeight="1" x14ac:dyDescent="0.25">
      <c r="E608" s="139"/>
      <c r="J608" s="139"/>
    </row>
    <row r="609" spans="5:10" ht="15.75" customHeight="1" x14ac:dyDescent="0.25">
      <c r="E609" s="139"/>
      <c r="J609" s="139"/>
    </row>
    <row r="610" spans="5:10" ht="15.75" customHeight="1" x14ac:dyDescent="0.25">
      <c r="E610" s="139"/>
      <c r="J610" s="139"/>
    </row>
    <row r="611" spans="5:10" ht="15.75" customHeight="1" x14ac:dyDescent="0.25">
      <c r="E611" s="139"/>
      <c r="J611" s="139"/>
    </row>
    <row r="612" spans="5:10" ht="15.75" customHeight="1" x14ac:dyDescent="0.25">
      <c r="E612" s="139"/>
      <c r="J612" s="139"/>
    </row>
    <row r="613" spans="5:10" ht="15.75" customHeight="1" x14ac:dyDescent="0.25">
      <c r="E613" s="139"/>
      <c r="J613" s="139"/>
    </row>
    <row r="614" spans="5:10" ht="15.75" customHeight="1" x14ac:dyDescent="0.25">
      <c r="E614" s="139"/>
      <c r="J614" s="139"/>
    </row>
    <row r="615" spans="5:10" ht="15.75" customHeight="1" x14ac:dyDescent="0.25">
      <c r="E615" s="139"/>
      <c r="J615" s="139"/>
    </row>
    <row r="616" spans="5:10" ht="15.75" customHeight="1" x14ac:dyDescent="0.25">
      <c r="E616" s="139"/>
      <c r="J616" s="139"/>
    </row>
    <row r="617" spans="5:10" ht="15.75" customHeight="1" x14ac:dyDescent="0.25">
      <c r="E617" s="139"/>
      <c r="J617" s="139"/>
    </row>
    <row r="618" spans="5:10" ht="15.75" customHeight="1" x14ac:dyDescent="0.25">
      <c r="E618" s="139"/>
      <c r="J618" s="139"/>
    </row>
    <row r="619" spans="5:10" ht="15.75" customHeight="1" x14ac:dyDescent="0.25">
      <c r="E619" s="139"/>
      <c r="J619" s="139"/>
    </row>
    <row r="620" spans="5:10" ht="15.75" customHeight="1" x14ac:dyDescent="0.25">
      <c r="E620" s="139"/>
      <c r="J620" s="139"/>
    </row>
    <row r="621" spans="5:10" ht="15.75" customHeight="1" x14ac:dyDescent="0.25">
      <c r="E621" s="139"/>
      <c r="J621" s="139"/>
    </row>
    <row r="622" spans="5:10" ht="15.75" customHeight="1" x14ac:dyDescent="0.25">
      <c r="E622" s="139"/>
      <c r="J622" s="139"/>
    </row>
    <row r="623" spans="5:10" ht="15.75" customHeight="1" x14ac:dyDescent="0.25">
      <c r="E623" s="139"/>
      <c r="J623" s="139"/>
    </row>
    <row r="624" spans="5:10" ht="15.75" customHeight="1" x14ac:dyDescent="0.25">
      <c r="E624" s="139"/>
      <c r="J624" s="139"/>
    </row>
    <row r="625" spans="5:10" ht="15.75" customHeight="1" x14ac:dyDescent="0.25">
      <c r="E625" s="139"/>
      <c r="J625" s="139"/>
    </row>
    <row r="626" spans="5:10" ht="15.75" customHeight="1" x14ac:dyDescent="0.25">
      <c r="E626" s="139"/>
      <c r="J626" s="139"/>
    </row>
    <row r="627" spans="5:10" ht="15.75" customHeight="1" x14ac:dyDescent="0.25">
      <c r="E627" s="139"/>
      <c r="J627" s="139"/>
    </row>
    <row r="628" spans="5:10" ht="15.75" customHeight="1" x14ac:dyDescent="0.25">
      <c r="E628" s="139"/>
      <c r="J628" s="139"/>
    </row>
    <row r="629" spans="5:10" ht="15.75" customHeight="1" x14ac:dyDescent="0.25">
      <c r="E629" s="139"/>
      <c r="J629" s="139"/>
    </row>
    <row r="630" spans="5:10" ht="15.75" customHeight="1" x14ac:dyDescent="0.25">
      <c r="E630" s="139"/>
      <c r="J630" s="139"/>
    </row>
    <row r="631" spans="5:10" ht="15.75" customHeight="1" x14ac:dyDescent="0.25">
      <c r="E631" s="139"/>
      <c r="J631" s="139"/>
    </row>
    <row r="632" spans="5:10" ht="15.75" customHeight="1" x14ac:dyDescent="0.25">
      <c r="E632" s="139"/>
      <c r="J632" s="139"/>
    </row>
    <row r="633" spans="5:10" ht="15.75" customHeight="1" x14ac:dyDescent="0.25">
      <c r="E633" s="139"/>
      <c r="J633" s="139"/>
    </row>
    <row r="634" spans="5:10" ht="15.75" customHeight="1" x14ac:dyDescent="0.25">
      <c r="E634" s="139"/>
      <c r="J634" s="139"/>
    </row>
    <row r="635" spans="5:10" ht="15.75" customHeight="1" x14ac:dyDescent="0.25">
      <c r="E635" s="139"/>
      <c r="J635" s="139"/>
    </row>
    <row r="636" spans="5:10" ht="15.75" customHeight="1" x14ac:dyDescent="0.25">
      <c r="E636" s="139"/>
      <c r="J636" s="139"/>
    </row>
    <row r="637" spans="5:10" ht="15.75" customHeight="1" x14ac:dyDescent="0.25">
      <c r="E637" s="139"/>
      <c r="J637" s="139"/>
    </row>
    <row r="638" spans="5:10" ht="15.75" customHeight="1" x14ac:dyDescent="0.25">
      <c r="E638" s="139"/>
      <c r="J638" s="139"/>
    </row>
    <row r="639" spans="5:10" ht="15.75" customHeight="1" x14ac:dyDescent="0.25">
      <c r="E639" s="139"/>
      <c r="J639" s="139"/>
    </row>
    <row r="640" spans="5:10" ht="15.75" customHeight="1" x14ac:dyDescent="0.25">
      <c r="E640" s="139"/>
      <c r="J640" s="139"/>
    </row>
    <row r="641" spans="5:10" ht="15.75" customHeight="1" x14ac:dyDescent="0.25">
      <c r="E641" s="139"/>
      <c r="J641" s="139"/>
    </row>
    <row r="642" spans="5:10" ht="15.75" customHeight="1" x14ac:dyDescent="0.25">
      <c r="E642" s="139"/>
      <c r="J642" s="139"/>
    </row>
    <row r="643" spans="5:10" ht="15.75" customHeight="1" x14ac:dyDescent="0.25">
      <c r="E643" s="139"/>
      <c r="J643" s="139"/>
    </row>
    <row r="644" spans="5:10" ht="15.75" customHeight="1" x14ac:dyDescent="0.25">
      <c r="E644" s="139"/>
      <c r="J644" s="139"/>
    </row>
    <row r="645" spans="5:10" ht="15.75" customHeight="1" x14ac:dyDescent="0.25">
      <c r="E645" s="139"/>
      <c r="J645" s="139"/>
    </row>
    <row r="646" spans="5:10" ht="15.75" customHeight="1" x14ac:dyDescent="0.25">
      <c r="E646" s="139"/>
      <c r="J646" s="139"/>
    </row>
    <row r="647" spans="5:10" ht="15.75" customHeight="1" x14ac:dyDescent="0.25">
      <c r="E647" s="139"/>
      <c r="J647" s="139"/>
    </row>
    <row r="648" spans="5:10" ht="15.75" customHeight="1" x14ac:dyDescent="0.25">
      <c r="E648" s="139"/>
      <c r="J648" s="139"/>
    </row>
    <row r="649" spans="5:10" ht="15.75" customHeight="1" x14ac:dyDescent="0.25">
      <c r="E649" s="139"/>
      <c r="J649" s="139"/>
    </row>
    <row r="650" spans="5:10" ht="15.75" customHeight="1" x14ac:dyDescent="0.25">
      <c r="E650" s="139"/>
      <c r="J650" s="139"/>
    </row>
    <row r="651" spans="5:10" ht="15.75" customHeight="1" x14ac:dyDescent="0.25">
      <c r="E651" s="139"/>
      <c r="J651" s="139"/>
    </row>
    <row r="652" spans="5:10" ht="15.75" customHeight="1" x14ac:dyDescent="0.25">
      <c r="E652" s="139"/>
      <c r="J652" s="139"/>
    </row>
    <row r="653" spans="5:10" ht="15.75" customHeight="1" x14ac:dyDescent="0.25">
      <c r="E653" s="139"/>
      <c r="J653" s="139"/>
    </row>
    <row r="654" spans="5:10" ht="15.75" customHeight="1" x14ac:dyDescent="0.25">
      <c r="E654" s="139"/>
      <c r="J654" s="139"/>
    </row>
    <row r="655" spans="5:10" ht="15.75" customHeight="1" x14ac:dyDescent="0.25">
      <c r="E655" s="139"/>
      <c r="J655" s="139"/>
    </row>
    <row r="656" spans="5:10" ht="15.75" customHeight="1" x14ac:dyDescent="0.25">
      <c r="E656" s="139"/>
      <c r="J656" s="139"/>
    </row>
    <row r="657" spans="5:10" ht="15.75" customHeight="1" x14ac:dyDescent="0.25">
      <c r="E657" s="139"/>
      <c r="J657" s="139"/>
    </row>
    <row r="658" spans="5:10" ht="15.75" customHeight="1" x14ac:dyDescent="0.25">
      <c r="E658" s="139"/>
      <c r="J658" s="139"/>
    </row>
    <row r="659" spans="5:10" ht="15.75" customHeight="1" x14ac:dyDescent="0.25">
      <c r="E659" s="139"/>
      <c r="J659" s="139"/>
    </row>
    <row r="660" spans="5:10" ht="15.75" customHeight="1" x14ac:dyDescent="0.25">
      <c r="E660" s="139"/>
      <c r="J660" s="139"/>
    </row>
    <row r="661" spans="5:10" ht="15.75" customHeight="1" x14ac:dyDescent="0.25">
      <c r="E661" s="139"/>
      <c r="J661" s="139"/>
    </row>
    <row r="662" spans="5:10" ht="15.75" customHeight="1" x14ac:dyDescent="0.25">
      <c r="E662" s="139"/>
      <c r="J662" s="139"/>
    </row>
    <row r="663" spans="5:10" ht="15.75" customHeight="1" x14ac:dyDescent="0.25">
      <c r="E663" s="139"/>
      <c r="J663" s="139"/>
    </row>
    <row r="664" spans="5:10" ht="15.75" customHeight="1" x14ac:dyDescent="0.25">
      <c r="E664" s="139"/>
      <c r="J664" s="139"/>
    </row>
    <row r="665" spans="5:10" ht="15.75" customHeight="1" x14ac:dyDescent="0.25">
      <c r="E665" s="139"/>
      <c r="J665" s="139"/>
    </row>
    <row r="666" spans="5:10" ht="15.75" customHeight="1" x14ac:dyDescent="0.25">
      <c r="E666" s="139"/>
      <c r="J666" s="139"/>
    </row>
    <row r="667" spans="5:10" ht="15.75" customHeight="1" x14ac:dyDescent="0.25">
      <c r="E667" s="139"/>
      <c r="J667" s="139"/>
    </row>
    <row r="668" spans="5:10" ht="15.75" customHeight="1" x14ac:dyDescent="0.25">
      <c r="E668" s="139"/>
      <c r="J668" s="139"/>
    </row>
    <row r="669" spans="5:10" ht="15.75" customHeight="1" x14ac:dyDescent="0.25">
      <c r="E669" s="139"/>
      <c r="J669" s="139"/>
    </row>
    <row r="670" spans="5:10" ht="15.75" customHeight="1" x14ac:dyDescent="0.25">
      <c r="E670" s="139"/>
      <c r="J670" s="139"/>
    </row>
    <row r="671" spans="5:10" ht="15.75" customHeight="1" x14ac:dyDescent="0.25">
      <c r="E671" s="139"/>
      <c r="J671" s="139"/>
    </row>
    <row r="672" spans="5:10" ht="15.75" customHeight="1" x14ac:dyDescent="0.25">
      <c r="E672" s="139"/>
      <c r="J672" s="139"/>
    </row>
    <row r="673" spans="5:10" ht="15.75" customHeight="1" x14ac:dyDescent="0.25">
      <c r="E673" s="139"/>
      <c r="J673" s="139"/>
    </row>
    <row r="674" spans="5:10" ht="15.75" customHeight="1" x14ac:dyDescent="0.25">
      <c r="E674" s="139"/>
      <c r="J674" s="139"/>
    </row>
    <row r="675" spans="5:10" ht="15.75" customHeight="1" x14ac:dyDescent="0.25">
      <c r="E675" s="139"/>
      <c r="J675" s="139"/>
    </row>
    <row r="676" spans="5:10" ht="15.75" customHeight="1" x14ac:dyDescent="0.25">
      <c r="E676" s="139"/>
      <c r="J676" s="139"/>
    </row>
    <row r="677" spans="5:10" ht="15.75" customHeight="1" x14ac:dyDescent="0.25">
      <c r="E677" s="139"/>
      <c r="J677" s="139"/>
    </row>
    <row r="678" spans="5:10" ht="15.75" customHeight="1" x14ac:dyDescent="0.25">
      <c r="E678" s="139"/>
      <c r="J678" s="139"/>
    </row>
    <row r="679" spans="5:10" ht="15.75" customHeight="1" x14ac:dyDescent="0.25">
      <c r="E679" s="139"/>
      <c r="J679" s="139"/>
    </row>
    <row r="680" spans="5:10" ht="15.75" customHeight="1" x14ac:dyDescent="0.25">
      <c r="E680" s="139"/>
      <c r="J680" s="139"/>
    </row>
    <row r="681" spans="5:10" ht="15.75" customHeight="1" x14ac:dyDescent="0.25">
      <c r="E681" s="139"/>
      <c r="J681" s="139"/>
    </row>
    <row r="682" spans="5:10" ht="15.75" customHeight="1" x14ac:dyDescent="0.25">
      <c r="E682" s="139"/>
      <c r="J682" s="139"/>
    </row>
    <row r="683" spans="5:10" ht="15.75" customHeight="1" x14ac:dyDescent="0.25">
      <c r="E683" s="139"/>
      <c r="J683" s="139"/>
    </row>
    <row r="684" spans="5:10" ht="15.75" customHeight="1" x14ac:dyDescent="0.25">
      <c r="E684" s="139"/>
      <c r="J684" s="139"/>
    </row>
    <row r="685" spans="5:10" ht="15.75" customHeight="1" x14ac:dyDescent="0.25">
      <c r="E685" s="139"/>
      <c r="J685" s="139"/>
    </row>
    <row r="686" spans="5:10" ht="15.75" customHeight="1" x14ac:dyDescent="0.25">
      <c r="E686" s="139"/>
      <c r="J686" s="139"/>
    </row>
    <row r="687" spans="5:10" ht="15.75" customHeight="1" x14ac:dyDescent="0.25">
      <c r="E687" s="139"/>
      <c r="J687" s="139"/>
    </row>
    <row r="688" spans="5:10" ht="15.75" customHeight="1" x14ac:dyDescent="0.25">
      <c r="E688" s="139"/>
      <c r="J688" s="139"/>
    </row>
    <row r="689" spans="5:10" ht="15.75" customHeight="1" x14ac:dyDescent="0.25">
      <c r="E689" s="139"/>
      <c r="J689" s="139"/>
    </row>
    <row r="690" spans="5:10" ht="15.75" customHeight="1" x14ac:dyDescent="0.25">
      <c r="E690" s="139"/>
      <c r="J690" s="139"/>
    </row>
    <row r="691" spans="5:10" ht="15.75" customHeight="1" x14ac:dyDescent="0.25">
      <c r="E691" s="139"/>
      <c r="J691" s="139"/>
    </row>
    <row r="692" spans="5:10" ht="15.75" customHeight="1" x14ac:dyDescent="0.25">
      <c r="E692" s="139"/>
      <c r="J692" s="139"/>
    </row>
    <row r="693" spans="5:10" ht="15.75" customHeight="1" x14ac:dyDescent="0.25">
      <c r="E693" s="139"/>
      <c r="J693" s="139"/>
    </row>
    <row r="694" spans="5:10" ht="15.75" customHeight="1" x14ac:dyDescent="0.25">
      <c r="E694" s="139"/>
      <c r="J694" s="139"/>
    </row>
    <row r="695" spans="5:10" ht="15.75" customHeight="1" x14ac:dyDescent="0.25">
      <c r="E695" s="139"/>
      <c r="J695" s="139"/>
    </row>
    <row r="696" spans="5:10" ht="15.75" customHeight="1" x14ac:dyDescent="0.25">
      <c r="E696" s="139"/>
      <c r="J696" s="139"/>
    </row>
    <row r="697" spans="5:10" ht="15.75" customHeight="1" x14ac:dyDescent="0.25">
      <c r="E697" s="139"/>
      <c r="J697" s="139"/>
    </row>
    <row r="698" spans="5:10" ht="15.75" customHeight="1" x14ac:dyDescent="0.25">
      <c r="E698" s="139"/>
      <c r="J698" s="139"/>
    </row>
    <row r="699" spans="5:10" ht="15.75" customHeight="1" x14ac:dyDescent="0.25">
      <c r="E699" s="139"/>
      <c r="J699" s="139"/>
    </row>
    <row r="700" spans="5:10" ht="15.75" customHeight="1" x14ac:dyDescent="0.25">
      <c r="E700" s="139"/>
      <c r="J700" s="139"/>
    </row>
    <row r="701" spans="5:10" ht="15.75" customHeight="1" x14ac:dyDescent="0.25">
      <c r="E701" s="139"/>
      <c r="J701" s="139"/>
    </row>
    <row r="702" spans="5:10" ht="15.75" customHeight="1" x14ac:dyDescent="0.25">
      <c r="E702" s="139"/>
      <c r="J702" s="139"/>
    </row>
    <row r="703" spans="5:10" ht="15.75" customHeight="1" x14ac:dyDescent="0.25">
      <c r="E703" s="139"/>
      <c r="J703" s="139"/>
    </row>
    <row r="704" spans="5:10" ht="15.75" customHeight="1" x14ac:dyDescent="0.25">
      <c r="E704" s="139"/>
      <c r="J704" s="139"/>
    </row>
    <row r="705" spans="5:10" ht="15.75" customHeight="1" x14ac:dyDescent="0.25">
      <c r="E705" s="139"/>
      <c r="J705" s="139"/>
    </row>
    <row r="706" spans="5:10" ht="15.75" customHeight="1" x14ac:dyDescent="0.25">
      <c r="E706" s="139"/>
      <c r="J706" s="139"/>
    </row>
    <row r="707" spans="5:10" ht="15.75" customHeight="1" x14ac:dyDescent="0.25">
      <c r="E707" s="139"/>
      <c r="J707" s="139"/>
    </row>
    <row r="708" spans="5:10" ht="15.75" customHeight="1" x14ac:dyDescent="0.25">
      <c r="E708" s="139"/>
      <c r="J708" s="139"/>
    </row>
    <row r="709" spans="5:10" ht="15.75" customHeight="1" x14ac:dyDescent="0.25">
      <c r="E709" s="139"/>
      <c r="J709" s="139"/>
    </row>
    <row r="710" spans="5:10" ht="15.75" customHeight="1" x14ac:dyDescent="0.25">
      <c r="E710" s="139"/>
      <c r="J710" s="139"/>
    </row>
    <row r="711" spans="5:10" ht="15.75" customHeight="1" x14ac:dyDescent="0.25">
      <c r="E711" s="139"/>
      <c r="J711" s="139"/>
    </row>
    <row r="712" spans="5:10" ht="15.75" customHeight="1" x14ac:dyDescent="0.25">
      <c r="E712" s="139"/>
      <c r="J712" s="139"/>
    </row>
    <row r="713" spans="5:10" ht="15.75" customHeight="1" x14ac:dyDescent="0.25">
      <c r="E713" s="139"/>
      <c r="J713" s="139"/>
    </row>
    <row r="714" spans="5:10" ht="15.75" customHeight="1" x14ac:dyDescent="0.25">
      <c r="E714" s="139"/>
      <c r="J714" s="139"/>
    </row>
    <row r="715" spans="5:10" ht="15.75" customHeight="1" x14ac:dyDescent="0.25">
      <c r="E715" s="139"/>
      <c r="J715" s="139"/>
    </row>
    <row r="716" spans="5:10" ht="15.75" customHeight="1" x14ac:dyDescent="0.25">
      <c r="E716" s="139"/>
      <c r="J716" s="139"/>
    </row>
    <row r="717" spans="5:10" ht="15.75" customHeight="1" x14ac:dyDescent="0.25">
      <c r="E717" s="139"/>
      <c r="J717" s="139"/>
    </row>
    <row r="718" spans="5:10" ht="15.75" customHeight="1" x14ac:dyDescent="0.25">
      <c r="E718" s="139"/>
      <c r="J718" s="139"/>
    </row>
    <row r="719" spans="5:10" ht="15.75" customHeight="1" x14ac:dyDescent="0.25">
      <c r="E719" s="139"/>
      <c r="J719" s="139"/>
    </row>
    <row r="720" spans="5:10" ht="15.75" customHeight="1" x14ac:dyDescent="0.25">
      <c r="E720" s="139"/>
      <c r="J720" s="139"/>
    </row>
    <row r="721" spans="5:10" ht="15.75" customHeight="1" x14ac:dyDescent="0.25">
      <c r="E721" s="139"/>
      <c r="J721" s="139"/>
    </row>
    <row r="722" spans="5:10" ht="15.75" customHeight="1" x14ac:dyDescent="0.25">
      <c r="E722" s="139"/>
      <c r="J722" s="139"/>
    </row>
    <row r="723" spans="5:10" ht="15.75" customHeight="1" x14ac:dyDescent="0.25">
      <c r="E723" s="139"/>
      <c r="J723" s="139"/>
    </row>
    <row r="724" spans="5:10" ht="15.75" customHeight="1" x14ac:dyDescent="0.25">
      <c r="E724" s="139"/>
      <c r="J724" s="139"/>
    </row>
    <row r="725" spans="5:10" ht="15.75" customHeight="1" x14ac:dyDescent="0.25">
      <c r="E725" s="139"/>
      <c r="J725" s="139"/>
    </row>
    <row r="726" spans="5:10" ht="15.75" customHeight="1" x14ac:dyDescent="0.25">
      <c r="E726" s="139"/>
      <c r="J726" s="139"/>
    </row>
    <row r="727" spans="5:10" ht="15.75" customHeight="1" x14ac:dyDescent="0.25">
      <c r="E727" s="139"/>
      <c r="J727" s="139"/>
    </row>
    <row r="728" spans="5:10" ht="15.75" customHeight="1" x14ac:dyDescent="0.25">
      <c r="E728" s="139"/>
      <c r="J728" s="139"/>
    </row>
    <row r="729" spans="5:10" ht="15.75" customHeight="1" x14ac:dyDescent="0.25">
      <c r="E729" s="139"/>
      <c r="J729" s="139"/>
    </row>
    <row r="730" spans="5:10" ht="15.75" customHeight="1" x14ac:dyDescent="0.25">
      <c r="E730" s="139"/>
      <c r="J730" s="139"/>
    </row>
    <row r="731" spans="5:10" ht="15.75" customHeight="1" x14ac:dyDescent="0.25">
      <c r="E731" s="139"/>
      <c r="J731" s="139"/>
    </row>
    <row r="732" spans="5:10" ht="15.75" customHeight="1" x14ac:dyDescent="0.25">
      <c r="E732" s="139"/>
      <c r="J732" s="139"/>
    </row>
    <row r="733" spans="5:10" ht="15.75" customHeight="1" x14ac:dyDescent="0.25">
      <c r="E733" s="139"/>
      <c r="J733" s="139"/>
    </row>
    <row r="734" spans="5:10" ht="15.75" customHeight="1" x14ac:dyDescent="0.25">
      <c r="E734" s="139"/>
      <c r="J734" s="139"/>
    </row>
    <row r="735" spans="5:10" ht="15.75" customHeight="1" x14ac:dyDescent="0.25">
      <c r="E735" s="139"/>
      <c r="J735" s="139"/>
    </row>
    <row r="736" spans="5:10" ht="15.75" customHeight="1" x14ac:dyDescent="0.25">
      <c r="E736" s="139"/>
      <c r="J736" s="139"/>
    </row>
    <row r="737" spans="5:10" ht="15.75" customHeight="1" x14ac:dyDescent="0.25">
      <c r="E737" s="139"/>
      <c r="J737" s="139"/>
    </row>
    <row r="738" spans="5:10" ht="15.75" customHeight="1" x14ac:dyDescent="0.25">
      <c r="E738" s="139"/>
      <c r="J738" s="139"/>
    </row>
    <row r="739" spans="5:10" ht="15.75" customHeight="1" x14ac:dyDescent="0.25">
      <c r="E739" s="139"/>
      <c r="J739" s="139"/>
    </row>
    <row r="740" spans="5:10" ht="15.75" customHeight="1" x14ac:dyDescent="0.25">
      <c r="E740" s="139"/>
      <c r="J740" s="139"/>
    </row>
    <row r="741" spans="5:10" ht="15.75" customHeight="1" x14ac:dyDescent="0.25">
      <c r="E741" s="139"/>
      <c r="J741" s="139"/>
    </row>
    <row r="742" spans="5:10" ht="15.75" customHeight="1" x14ac:dyDescent="0.25">
      <c r="E742" s="139"/>
      <c r="J742" s="139"/>
    </row>
    <row r="743" spans="5:10" ht="15.75" customHeight="1" x14ac:dyDescent="0.25">
      <c r="E743" s="139"/>
      <c r="J743" s="139"/>
    </row>
    <row r="744" spans="5:10" ht="15.75" customHeight="1" x14ac:dyDescent="0.25">
      <c r="E744" s="139"/>
      <c r="J744" s="139"/>
    </row>
    <row r="745" spans="5:10" ht="15.75" customHeight="1" x14ac:dyDescent="0.25">
      <c r="E745" s="139"/>
      <c r="J745" s="139"/>
    </row>
    <row r="746" spans="5:10" ht="15.75" customHeight="1" x14ac:dyDescent="0.25">
      <c r="E746" s="139"/>
      <c r="J746" s="139"/>
    </row>
    <row r="747" spans="5:10" ht="15.75" customHeight="1" x14ac:dyDescent="0.25">
      <c r="E747" s="139"/>
      <c r="J747" s="139"/>
    </row>
    <row r="748" spans="5:10" ht="15.75" customHeight="1" x14ac:dyDescent="0.25">
      <c r="E748" s="139"/>
      <c r="J748" s="139"/>
    </row>
    <row r="749" spans="5:10" ht="15.75" customHeight="1" x14ac:dyDescent="0.25">
      <c r="E749" s="139"/>
      <c r="J749" s="139"/>
    </row>
    <row r="750" spans="5:10" ht="15.75" customHeight="1" x14ac:dyDescent="0.25">
      <c r="E750" s="139"/>
      <c r="J750" s="139"/>
    </row>
    <row r="751" spans="5:10" ht="15.75" customHeight="1" x14ac:dyDescent="0.25">
      <c r="E751" s="139"/>
      <c r="J751" s="139"/>
    </row>
    <row r="752" spans="5:10" ht="15.75" customHeight="1" x14ac:dyDescent="0.25">
      <c r="E752" s="139"/>
      <c r="J752" s="139"/>
    </row>
    <row r="753" spans="5:10" ht="15.75" customHeight="1" x14ac:dyDescent="0.25">
      <c r="E753" s="139"/>
      <c r="J753" s="139"/>
    </row>
    <row r="754" spans="5:10" ht="15.75" customHeight="1" x14ac:dyDescent="0.25">
      <c r="E754" s="139"/>
      <c r="J754" s="139"/>
    </row>
    <row r="755" spans="5:10" ht="15.75" customHeight="1" x14ac:dyDescent="0.25">
      <c r="E755" s="139"/>
      <c r="J755" s="139"/>
    </row>
    <row r="756" spans="5:10" ht="15.75" customHeight="1" x14ac:dyDescent="0.25">
      <c r="E756" s="139"/>
      <c r="J756" s="139"/>
    </row>
    <row r="757" spans="5:10" ht="15.75" customHeight="1" x14ac:dyDescent="0.25">
      <c r="E757" s="139"/>
      <c r="J757" s="139"/>
    </row>
    <row r="758" spans="5:10" ht="15.75" customHeight="1" x14ac:dyDescent="0.25">
      <c r="E758" s="139"/>
      <c r="J758" s="139"/>
    </row>
    <row r="759" spans="5:10" ht="15.75" customHeight="1" x14ac:dyDescent="0.25">
      <c r="E759" s="139"/>
      <c r="J759" s="139"/>
    </row>
    <row r="760" spans="5:10" ht="15.75" customHeight="1" x14ac:dyDescent="0.25">
      <c r="E760" s="139"/>
      <c r="J760" s="139"/>
    </row>
    <row r="761" spans="5:10" ht="15.75" customHeight="1" x14ac:dyDescent="0.25">
      <c r="E761" s="139"/>
      <c r="J761" s="139"/>
    </row>
    <row r="762" spans="5:10" ht="15.75" customHeight="1" x14ac:dyDescent="0.25">
      <c r="E762" s="139"/>
      <c r="J762" s="139"/>
    </row>
    <row r="763" spans="5:10" ht="15.75" customHeight="1" x14ac:dyDescent="0.25">
      <c r="E763" s="139"/>
      <c r="J763" s="139"/>
    </row>
    <row r="764" spans="5:10" ht="15.75" customHeight="1" x14ac:dyDescent="0.25">
      <c r="E764" s="139"/>
      <c r="J764" s="139"/>
    </row>
    <row r="765" spans="5:10" ht="15.75" customHeight="1" x14ac:dyDescent="0.25">
      <c r="E765" s="139"/>
      <c r="J765" s="139"/>
    </row>
    <row r="766" spans="5:10" ht="15.75" customHeight="1" x14ac:dyDescent="0.25">
      <c r="E766" s="139"/>
      <c r="J766" s="139"/>
    </row>
    <row r="767" spans="5:10" ht="15.75" customHeight="1" x14ac:dyDescent="0.25">
      <c r="E767" s="139"/>
      <c r="J767" s="139"/>
    </row>
    <row r="768" spans="5:10" ht="15.75" customHeight="1" x14ac:dyDescent="0.25">
      <c r="E768" s="139"/>
      <c r="J768" s="139"/>
    </row>
    <row r="769" spans="5:10" ht="15.75" customHeight="1" x14ac:dyDescent="0.25">
      <c r="E769" s="139"/>
      <c r="J769" s="139"/>
    </row>
    <row r="770" spans="5:10" ht="15.75" customHeight="1" x14ac:dyDescent="0.25">
      <c r="E770" s="139"/>
      <c r="J770" s="139"/>
    </row>
    <row r="771" spans="5:10" ht="15.75" customHeight="1" x14ac:dyDescent="0.25">
      <c r="E771" s="139"/>
      <c r="J771" s="139"/>
    </row>
    <row r="772" spans="5:10" ht="15.75" customHeight="1" x14ac:dyDescent="0.25">
      <c r="E772" s="139"/>
      <c r="J772" s="139"/>
    </row>
    <row r="773" spans="5:10" ht="15.75" customHeight="1" x14ac:dyDescent="0.25">
      <c r="E773" s="139"/>
      <c r="J773" s="139"/>
    </row>
    <row r="774" spans="5:10" ht="15.75" customHeight="1" x14ac:dyDescent="0.25">
      <c r="E774" s="139"/>
      <c r="J774" s="139"/>
    </row>
    <row r="775" spans="5:10" ht="15.75" customHeight="1" x14ac:dyDescent="0.25">
      <c r="E775" s="139"/>
      <c r="J775" s="139"/>
    </row>
    <row r="776" spans="5:10" ht="15.75" customHeight="1" x14ac:dyDescent="0.25">
      <c r="E776" s="139"/>
      <c r="J776" s="139"/>
    </row>
    <row r="777" spans="5:10" ht="15.75" customHeight="1" x14ac:dyDescent="0.25">
      <c r="E777" s="139"/>
      <c r="J777" s="139"/>
    </row>
    <row r="778" spans="5:10" ht="15.75" customHeight="1" x14ac:dyDescent="0.25">
      <c r="E778" s="139"/>
      <c r="J778" s="139"/>
    </row>
    <row r="779" spans="5:10" ht="15.75" customHeight="1" x14ac:dyDescent="0.25">
      <c r="E779" s="139"/>
      <c r="J779" s="139"/>
    </row>
    <row r="780" spans="5:10" ht="15.75" customHeight="1" x14ac:dyDescent="0.25">
      <c r="E780" s="139"/>
      <c r="J780" s="139"/>
    </row>
    <row r="781" spans="5:10" ht="15.75" customHeight="1" x14ac:dyDescent="0.25">
      <c r="E781" s="139"/>
      <c r="J781" s="139"/>
    </row>
    <row r="782" spans="5:10" ht="15.75" customHeight="1" x14ac:dyDescent="0.25">
      <c r="E782" s="139"/>
      <c r="J782" s="139"/>
    </row>
    <row r="783" spans="5:10" ht="15.75" customHeight="1" x14ac:dyDescent="0.25">
      <c r="E783" s="139"/>
      <c r="J783" s="139"/>
    </row>
    <row r="784" spans="5:10" ht="15.75" customHeight="1" x14ac:dyDescent="0.25">
      <c r="E784" s="139"/>
      <c r="J784" s="139"/>
    </row>
    <row r="785" spans="5:10" ht="15.75" customHeight="1" x14ac:dyDescent="0.25">
      <c r="E785" s="139"/>
      <c r="J785" s="139"/>
    </row>
    <row r="786" spans="5:10" ht="15.75" customHeight="1" x14ac:dyDescent="0.25">
      <c r="E786" s="139"/>
      <c r="J786" s="139"/>
    </row>
    <row r="787" spans="5:10" ht="15.75" customHeight="1" x14ac:dyDescent="0.25">
      <c r="E787" s="139"/>
      <c r="J787" s="139"/>
    </row>
    <row r="788" spans="5:10" ht="15.75" customHeight="1" x14ac:dyDescent="0.25">
      <c r="E788" s="139"/>
      <c r="J788" s="139"/>
    </row>
    <row r="789" spans="5:10" ht="15.75" customHeight="1" x14ac:dyDescent="0.25">
      <c r="E789" s="139"/>
      <c r="J789" s="139"/>
    </row>
    <row r="790" spans="5:10" ht="15.75" customHeight="1" x14ac:dyDescent="0.25">
      <c r="E790" s="139"/>
      <c r="J790" s="139"/>
    </row>
    <row r="791" spans="5:10" ht="15.75" customHeight="1" x14ac:dyDescent="0.25">
      <c r="E791" s="139"/>
      <c r="J791" s="139"/>
    </row>
    <row r="792" spans="5:10" ht="15.75" customHeight="1" x14ac:dyDescent="0.25">
      <c r="E792" s="139"/>
      <c r="J792" s="139"/>
    </row>
    <row r="793" spans="5:10" ht="15.75" customHeight="1" x14ac:dyDescent="0.25">
      <c r="E793" s="139"/>
      <c r="J793" s="139"/>
    </row>
    <row r="794" spans="5:10" ht="15.75" customHeight="1" x14ac:dyDescent="0.25">
      <c r="E794" s="139"/>
      <c r="J794" s="139"/>
    </row>
    <row r="795" spans="5:10" ht="15.75" customHeight="1" x14ac:dyDescent="0.25">
      <c r="E795" s="139"/>
      <c r="J795" s="139"/>
    </row>
    <row r="796" spans="5:10" ht="15.75" customHeight="1" x14ac:dyDescent="0.25">
      <c r="E796" s="139"/>
      <c r="J796" s="139"/>
    </row>
    <row r="797" spans="5:10" ht="15.75" customHeight="1" x14ac:dyDescent="0.25">
      <c r="E797" s="139"/>
      <c r="J797" s="139"/>
    </row>
    <row r="798" spans="5:10" ht="15.75" customHeight="1" x14ac:dyDescent="0.25">
      <c r="E798" s="139"/>
      <c r="J798" s="139"/>
    </row>
    <row r="799" spans="5:10" ht="15.75" customHeight="1" x14ac:dyDescent="0.25">
      <c r="E799" s="139"/>
      <c r="J799" s="139"/>
    </row>
    <row r="800" spans="5:10" ht="15.75" customHeight="1" x14ac:dyDescent="0.25">
      <c r="E800" s="139"/>
      <c r="J800" s="139"/>
    </row>
    <row r="801" spans="5:10" ht="15.75" customHeight="1" x14ac:dyDescent="0.25">
      <c r="E801" s="139"/>
      <c r="J801" s="139"/>
    </row>
    <row r="802" spans="5:10" ht="15.75" customHeight="1" x14ac:dyDescent="0.25">
      <c r="E802" s="139"/>
      <c r="J802" s="139"/>
    </row>
    <row r="803" spans="5:10" ht="15.75" customHeight="1" x14ac:dyDescent="0.25">
      <c r="E803" s="139"/>
      <c r="J803" s="139"/>
    </row>
    <row r="804" spans="5:10" ht="15.75" customHeight="1" x14ac:dyDescent="0.25">
      <c r="E804" s="139"/>
      <c r="J804" s="139"/>
    </row>
    <row r="805" spans="5:10" ht="15.75" customHeight="1" x14ac:dyDescent="0.25">
      <c r="E805" s="139"/>
      <c r="J805" s="139"/>
    </row>
    <row r="806" spans="5:10" ht="15.75" customHeight="1" x14ac:dyDescent="0.25">
      <c r="E806" s="139"/>
      <c r="J806" s="139"/>
    </row>
    <row r="807" spans="5:10" ht="15.75" customHeight="1" x14ac:dyDescent="0.25">
      <c r="E807" s="139"/>
      <c r="J807" s="139"/>
    </row>
    <row r="808" spans="5:10" ht="15.75" customHeight="1" x14ac:dyDescent="0.25">
      <c r="E808" s="139"/>
      <c r="J808" s="139"/>
    </row>
    <row r="809" spans="5:10" ht="15.75" customHeight="1" x14ac:dyDescent="0.25">
      <c r="E809" s="139"/>
      <c r="J809" s="139"/>
    </row>
    <row r="810" spans="5:10" ht="15.75" customHeight="1" x14ac:dyDescent="0.25">
      <c r="E810" s="139"/>
      <c r="J810" s="139"/>
    </row>
    <row r="811" spans="5:10" ht="15.75" customHeight="1" x14ac:dyDescent="0.25">
      <c r="E811" s="139"/>
      <c r="J811" s="139"/>
    </row>
    <row r="812" spans="5:10" ht="15.75" customHeight="1" x14ac:dyDescent="0.25">
      <c r="E812" s="139"/>
      <c r="J812" s="139"/>
    </row>
    <row r="813" spans="5:10" ht="15.75" customHeight="1" x14ac:dyDescent="0.25">
      <c r="E813" s="139"/>
      <c r="J813" s="139"/>
    </row>
    <row r="814" spans="5:10" ht="15.75" customHeight="1" x14ac:dyDescent="0.25">
      <c r="E814" s="139"/>
      <c r="J814" s="139"/>
    </row>
    <row r="815" spans="5:10" ht="15.75" customHeight="1" x14ac:dyDescent="0.25">
      <c r="E815" s="139"/>
      <c r="J815" s="139"/>
    </row>
    <row r="816" spans="5:10" ht="15.75" customHeight="1" x14ac:dyDescent="0.25">
      <c r="E816" s="139"/>
      <c r="J816" s="139"/>
    </row>
    <row r="817" spans="5:10" ht="15.75" customHeight="1" x14ac:dyDescent="0.25">
      <c r="E817" s="139"/>
      <c r="J817" s="139"/>
    </row>
    <row r="818" spans="5:10" ht="15.75" customHeight="1" x14ac:dyDescent="0.25">
      <c r="E818" s="139"/>
      <c r="J818" s="139"/>
    </row>
    <row r="819" spans="5:10" ht="15.75" customHeight="1" x14ac:dyDescent="0.25">
      <c r="E819" s="139"/>
      <c r="J819" s="139"/>
    </row>
    <row r="820" spans="5:10" ht="15.75" customHeight="1" x14ac:dyDescent="0.25">
      <c r="E820" s="139"/>
      <c r="J820" s="139"/>
    </row>
    <row r="821" spans="5:10" ht="15.75" customHeight="1" x14ac:dyDescent="0.25">
      <c r="E821" s="139"/>
      <c r="J821" s="139"/>
    </row>
    <row r="822" spans="5:10" ht="15.75" customHeight="1" x14ac:dyDescent="0.25">
      <c r="E822" s="139"/>
      <c r="J822" s="139"/>
    </row>
    <row r="823" spans="5:10" ht="15.75" customHeight="1" x14ac:dyDescent="0.25">
      <c r="E823" s="139"/>
      <c r="J823" s="139"/>
    </row>
    <row r="824" spans="5:10" ht="15.75" customHeight="1" x14ac:dyDescent="0.25">
      <c r="E824" s="139"/>
      <c r="J824" s="139"/>
    </row>
    <row r="825" spans="5:10" ht="15.75" customHeight="1" x14ac:dyDescent="0.25">
      <c r="E825" s="139"/>
      <c r="J825" s="139"/>
    </row>
    <row r="826" spans="5:10" ht="15.75" customHeight="1" x14ac:dyDescent="0.25">
      <c r="E826" s="139"/>
      <c r="J826" s="139"/>
    </row>
    <row r="827" spans="5:10" ht="15.75" customHeight="1" x14ac:dyDescent="0.25">
      <c r="E827" s="139"/>
      <c r="J827" s="139"/>
    </row>
    <row r="828" spans="5:10" ht="15.75" customHeight="1" x14ac:dyDescent="0.25">
      <c r="E828" s="139"/>
      <c r="J828" s="139"/>
    </row>
    <row r="829" spans="5:10" ht="15.75" customHeight="1" x14ac:dyDescent="0.25">
      <c r="E829" s="139"/>
      <c r="J829" s="139"/>
    </row>
    <row r="830" spans="5:10" ht="15.75" customHeight="1" x14ac:dyDescent="0.25">
      <c r="E830" s="139"/>
      <c r="J830" s="139"/>
    </row>
    <row r="831" spans="5:10" ht="15.75" customHeight="1" x14ac:dyDescent="0.25">
      <c r="E831" s="139"/>
      <c r="J831" s="139"/>
    </row>
    <row r="832" spans="5:10" ht="15.75" customHeight="1" x14ac:dyDescent="0.25">
      <c r="E832" s="139"/>
      <c r="J832" s="139"/>
    </row>
    <row r="833" spans="5:10" ht="15.75" customHeight="1" x14ac:dyDescent="0.25">
      <c r="E833" s="139"/>
      <c r="J833" s="139"/>
    </row>
    <row r="834" spans="5:10" ht="15.75" customHeight="1" x14ac:dyDescent="0.25">
      <c r="E834" s="139"/>
      <c r="J834" s="139"/>
    </row>
    <row r="835" spans="5:10" ht="15.75" customHeight="1" x14ac:dyDescent="0.25">
      <c r="E835" s="139"/>
      <c r="J835" s="139"/>
    </row>
    <row r="836" spans="5:10" ht="15.75" customHeight="1" x14ac:dyDescent="0.25">
      <c r="E836" s="139"/>
      <c r="J836" s="139"/>
    </row>
    <row r="837" spans="5:10" ht="15.75" customHeight="1" x14ac:dyDescent="0.25">
      <c r="E837" s="139"/>
      <c r="J837" s="139"/>
    </row>
    <row r="838" spans="5:10" ht="15.75" customHeight="1" x14ac:dyDescent="0.25">
      <c r="E838" s="139"/>
      <c r="J838" s="139"/>
    </row>
    <row r="839" spans="5:10" ht="15.75" customHeight="1" x14ac:dyDescent="0.25">
      <c r="E839" s="139"/>
      <c r="J839" s="139"/>
    </row>
    <row r="840" spans="5:10" ht="15.75" customHeight="1" x14ac:dyDescent="0.25">
      <c r="E840" s="139"/>
      <c r="J840" s="139"/>
    </row>
    <row r="841" spans="5:10" ht="15.75" customHeight="1" x14ac:dyDescent="0.25">
      <c r="E841" s="139"/>
      <c r="J841" s="139"/>
    </row>
    <row r="842" spans="5:10" ht="15.75" customHeight="1" x14ac:dyDescent="0.25">
      <c r="E842" s="139"/>
      <c r="J842" s="139"/>
    </row>
    <row r="843" spans="5:10" ht="15.75" customHeight="1" x14ac:dyDescent="0.25">
      <c r="E843" s="139"/>
      <c r="J843" s="139"/>
    </row>
    <row r="844" spans="5:10" ht="15.75" customHeight="1" x14ac:dyDescent="0.25">
      <c r="E844" s="139"/>
      <c r="J844" s="139"/>
    </row>
    <row r="845" spans="5:10" ht="15.75" customHeight="1" x14ac:dyDescent="0.25">
      <c r="E845" s="139"/>
      <c r="J845" s="139"/>
    </row>
    <row r="846" spans="5:10" ht="15.75" customHeight="1" x14ac:dyDescent="0.25">
      <c r="E846" s="139"/>
      <c r="J846" s="139"/>
    </row>
    <row r="847" spans="5:10" ht="15.75" customHeight="1" x14ac:dyDescent="0.25">
      <c r="E847" s="139"/>
      <c r="J847" s="139"/>
    </row>
    <row r="848" spans="5:10" ht="15.75" customHeight="1" x14ac:dyDescent="0.25">
      <c r="E848" s="139"/>
      <c r="J848" s="139"/>
    </row>
    <row r="849" spans="5:10" ht="15.75" customHeight="1" x14ac:dyDescent="0.25">
      <c r="E849" s="139"/>
      <c r="J849" s="139"/>
    </row>
    <row r="850" spans="5:10" ht="15.75" customHeight="1" x14ac:dyDescent="0.25">
      <c r="E850" s="139"/>
      <c r="J850" s="139"/>
    </row>
    <row r="851" spans="5:10" ht="15.75" customHeight="1" x14ac:dyDescent="0.25">
      <c r="E851" s="139"/>
      <c r="J851" s="139"/>
    </row>
    <row r="852" spans="5:10" ht="15.75" customHeight="1" x14ac:dyDescent="0.25">
      <c r="E852" s="139"/>
      <c r="J852" s="139"/>
    </row>
    <row r="853" spans="5:10" ht="15.75" customHeight="1" x14ac:dyDescent="0.25">
      <c r="E853" s="139"/>
      <c r="J853" s="139"/>
    </row>
    <row r="854" spans="5:10" ht="15.75" customHeight="1" x14ac:dyDescent="0.25">
      <c r="E854" s="139"/>
      <c r="J854" s="139"/>
    </row>
    <row r="855" spans="5:10" ht="15.75" customHeight="1" x14ac:dyDescent="0.25">
      <c r="E855" s="139"/>
      <c r="J855" s="139"/>
    </row>
    <row r="856" spans="5:10" ht="15.75" customHeight="1" x14ac:dyDescent="0.25">
      <c r="E856" s="139"/>
      <c r="J856" s="139"/>
    </row>
    <row r="857" spans="5:10" ht="15.75" customHeight="1" x14ac:dyDescent="0.25">
      <c r="E857" s="139"/>
      <c r="J857" s="139"/>
    </row>
    <row r="858" spans="5:10" ht="15.75" customHeight="1" x14ac:dyDescent="0.25">
      <c r="E858" s="139"/>
      <c r="J858" s="139"/>
    </row>
    <row r="859" spans="5:10" ht="15.75" customHeight="1" x14ac:dyDescent="0.25">
      <c r="E859" s="139"/>
      <c r="J859" s="139"/>
    </row>
    <row r="860" spans="5:10" ht="15.75" customHeight="1" x14ac:dyDescent="0.25">
      <c r="E860" s="139"/>
      <c r="J860" s="139"/>
    </row>
    <row r="861" spans="5:10" ht="15.75" customHeight="1" x14ac:dyDescent="0.25">
      <c r="E861" s="139"/>
      <c r="J861" s="139"/>
    </row>
    <row r="862" spans="5:10" ht="15.75" customHeight="1" x14ac:dyDescent="0.25">
      <c r="E862" s="139"/>
      <c r="J862" s="139"/>
    </row>
    <row r="863" spans="5:10" ht="15.75" customHeight="1" x14ac:dyDescent="0.25">
      <c r="E863" s="139"/>
      <c r="J863" s="139"/>
    </row>
    <row r="864" spans="5:10" ht="15.75" customHeight="1" x14ac:dyDescent="0.25">
      <c r="E864" s="139"/>
      <c r="J864" s="139"/>
    </row>
    <row r="865" spans="5:10" ht="15.75" customHeight="1" x14ac:dyDescent="0.25">
      <c r="E865" s="139"/>
      <c r="J865" s="139"/>
    </row>
    <row r="866" spans="5:10" ht="15.75" customHeight="1" x14ac:dyDescent="0.25">
      <c r="E866" s="139"/>
      <c r="J866" s="139"/>
    </row>
    <row r="867" spans="5:10" ht="15.75" customHeight="1" x14ac:dyDescent="0.25">
      <c r="E867" s="139"/>
      <c r="J867" s="139"/>
    </row>
    <row r="868" spans="5:10" ht="15.75" customHeight="1" x14ac:dyDescent="0.25">
      <c r="E868" s="139"/>
      <c r="J868" s="139"/>
    </row>
    <row r="869" spans="5:10" ht="15.75" customHeight="1" x14ac:dyDescent="0.25">
      <c r="E869" s="139"/>
      <c r="J869" s="139"/>
    </row>
    <row r="870" spans="5:10" ht="15.75" customHeight="1" x14ac:dyDescent="0.25">
      <c r="E870" s="139"/>
      <c r="J870" s="139"/>
    </row>
    <row r="871" spans="5:10" ht="15.75" customHeight="1" x14ac:dyDescent="0.25">
      <c r="E871" s="139"/>
      <c r="J871" s="139"/>
    </row>
    <row r="872" spans="5:10" ht="15.75" customHeight="1" x14ac:dyDescent="0.25">
      <c r="E872" s="139"/>
      <c r="J872" s="139"/>
    </row>
    <row r="873" spans="5:10" ht="15.75" customHeight="1" x14ac:dyDescent="0.25">
      <c r="E873" s="139"/>
      <c r="J873" s="139"/>
    </row>
    <row r="874" spans="5:10" ht="15.75" customHeight="1" x14ac:dyDescent="0.25">
      <c r="E874" s="139"/>
      <c r="J874" s="139"/>
    </row>
    <row r="875" spans="5:10" ht="15.75" customHeight="1" x14ac:dyDescent="0.25">
      <c r="E875" s="139"/>
      <c r="J875" s="139"/>
    </row>
    <row r="876" spans="5:10" ht="15.75" customHeight="1" x14ac:dyDescent="0.25">
      <c r="E876" s="139"/>
      <c r="J876" s="139"/>
    </row>
    <row r="877" spans="5:10" ht="15.75" customHeight="1" x14ac:dyDescent="0.25">
      <c r="E877" s="139"/>
      <c r="J877" s="139"/>
    </row>
    <row r="878" spans="5:10" ht="15.75" customHeight="1" x14ac:dyDescent="0.25">
      <c r="E878" s="139"/>
      <c r="J878" s="139"/>
    </row>
    <row r="879" spans="5:10" ht="15.75" customHeight="1" x14ac:dyDescent="0.25">
      <c r="E879" s="139"/>
      <c r="J879" s="139"/>
    </row>
    <row r="880" spans="5:10" ht="15.75" customHeight="1" x14ac:dyDescent="0.25">
      <c r="E880" s="139"/>
      <c r="J880" s="139"/>
    </row>
    <row r="881" spans="5:10" ht="15.75" customHeight="1" x14ac:dyDescent="0.25">
      <c r="E881" s="139"/>
      <c r="J881" s="139"/>
    </row>
    <row r="882" spans="5:10" ht="15.75" customHeight="1" x14ac:dyDescent="0.25">
      <c r="E882" s="139"/>
      <c r="J882" s="139"/>
    </row>
    <row r="883" spans="5:10" ht="15.75" customHeight="1" x14ac:dyDescent="0.25">
      <c r="E883" s="139"/>
      <c r="J883" s="139"/>
    </row>
    <row r="884" spans="5:10" ht="15.75" customHeight="1" x14ac:dyDescent="0.25">
      <c r="E884" s="139"/>
      <c r="J884" s="139"/>
    </row>
    <row r="885" spans="5:10" ht="15.75" customHeight="1" x14ac:dyDescent="0.25">
      <c r="E885" s="139"/>
      <c r="J885" s="139"/>
    </row>
    <row r="886" spans="5:10" ht="15.75" customHeight="1" x14ac:dyDescent="0.25">
      <c r="E886" s="139"/>
      <c r="J886" s="139"/>
    </row>
    <row r="887" spans="5:10" ht="15.75" customHeight="1" x14ac:dyDescent="0.25">
      <c r="E887" s="139"/>
      <c r="J887" s="139"/>
    </row>
    <row r="888" spans="5:10" ht="15.75" customHeight="1" x14ac:dyDescent="0.25">
      <c r="E888" s="139"/>
      <c r="J888" s="139"/>
    </row>
    <row r="889" spans="5:10" ht="15.75" customHeight="1" x14ac:dyDescent="0.25">
      <c r="E889" s="139"/>
      <c r="J889" s="139"/>
    </row>
    <row r="890" spans="5:10" ht="15.75" customHeight="1" x14ac:dyDescent="0.25">
      <c r="E890" s="139"/>
      <c r="J890" s="139"/>
    </row>
    <row r="891" spans="5:10" ht="15.75" customHeight="1" x14ac:dyDescent="0.25">
      <c r="E891" s="139"/>
      <c r="J891" s="139"/>
    </row>
    <row r="892" spans="5:10" ht="15.75" customHeight="1" x14ac:dyDescent="0.25">
      <c r="E892" s="139"/>
      <c r="J892" s="139"/>
    </row>
    <row r="893" spans="5:10" ht="15.75" customHeight="1" x14ac:dyDescent="0.25">
      <c r="E893" s="139"/>
      <c r="J893" s="139"/>
    </row>
    <row r="894" spans="5:10" ht="15.75" customHeight="1" x14ac:dyDescent="0.25">
      <c r="E894" s="139"/>
      <c r="J894" s="139"/>
    </row>
    <row r="895" spans="5:10" ht="15.75" customHeight="1" x14ac:dyDescent="0.25">
      <c r="E895" s="139"/>
      <c r="J895" s="139"/>
    </row>
    <row r="896" spans="5:10" ht="15.75" customHeight="1" x14ac:dyDescent="0.25">
      <c r="E896" s="139"/>
      <c r="J896" s="139"/>
    </row>
    <row r="897" spans="5:10" ht="15.75" customHeight="1" x14ac:dyDescent="0.25">
      <c r="E897" s="139"/>
      <c r="J897" s="139"/>
    </row>
    <row r="898" spans="5:10" ht="15.75" customHeight="1" x14ac:dyDescent="0.25">
      <c r="E898" s="139"/>
      <c r="J898" s="139"/>
    </row>
    <row r="899" spans="5:10" ht="15.75" customHeight="1" x14ac:dyDescent="0.25">
      <c r="E899" s="139"/>
      <c r="J899" s="139"/>
    </row>
    <row r="900" spans="5:10" ht="15.75" customHeight="1" x14ac:dyDescent="0.25">
      <c r="E900" s="139"/>
      <c r="J900" s="139"/>
    </row>
    <row r="901" spans="5:10" ht="15.75" customHeight="1" x14ac:dyDescent="0.25">
      <c r="E901" s="139"/>
      <c r="J901" s="139"/>
    </row>
    <row r="902" spans="5:10" ht="15.75" customHeight="1" x14ac:dyDescent="0.25">
      <c r="E902" s="139"/>
      <c r="J902" s="139"/>
    </row>
    <row r="903" spans="5:10" ht="15.75" customHeight="1" x14ac:dyDescent="0.25">
      <c r="E903" s="139"/>
      <c r="J903" s="139"/>
    </row>
    <row r="904" spans="5:10" ht="15.75" customHeight="1" x14ac:dyDescent="0.25">
      <c r="E904" s="139"/>
      <c r="J904" s="139"/>
    </row>
    <row r="905" spans="5:10" ht="15.75" customHeight="1" x14ac:dyDescent="0.25">
      <c r="E905" s="139"/>
      <c r="J905" s="139"/>
    </row>
    <row r="906" spans="5:10" ht="15.75" customHeight="1" x14ac:dyDescent="0.25">
      <c r="E906" s="139"/>
      <c r="J906" s="139"/>
    </row>
    <row r="907" spans="5:10" ht="15.75" customHeight="1" x14ac:dyDescent="0.25">
      <c r="E907" s="139"/>
      <c r="J907" s="139"/>
    </row>
    <row r="908" spans="5:10" ht="15.75" customHeight="1" x14ac:dyDescent="0.25">
      <c r="E908" s="139"/>
      <c r="J908" s="139"/>
    </row>
    <row r="909" spans="5:10" ht="15.75" customHeight="1" x14ac:dyDescent="0.25">
      <c r="E909" s="139"/>
      <c r="J909" s="139"/>
    </row>
    <row r="910" spans="5:10" ht="15.75" customHeight="1" x14ac:dyDescent="0.25">
      <c r="E910" s="139"/>
      <c r="J910" s="139"/>
    </row>
    <row r="911" spans="5:10" ht="15.75" customHeight="1" x14ac:dyDescent="0.25">
      <c r="E911" s="139"/>
      <c r="J911" s="139"/>
    </row>
    <row r="912" spans="5:10" ht="15.75" customHeight="1" x14ac:dyDescent="0.25">
      <c r="E912" s="139"/>
      <c r="J912" s="139"/>
    </row>
    <row r="913" spans="5:10" ht="15.75" customHeight="1" x14ac:dyDescent="0.25">
      <c r="E913" s="139"/>
      <c r="J913" s="139"/>
    </row>
    <row r="914" spans="5:10" ht="15.75" customHeight="1" x14ac:dyDescent="0.25">
      <c r="E914" s="139"/>
      <c r="J914" s="139"/>
    </row>
    <row r="915" spans="5:10" ht="15.75" customHeight="1" x14ac:dyDescent="0.25">
      <c r="E915" s="139"/>
      <c r="J915" s="139"/>
    </row>
    <row r="916" spans="5:10" ht="15.75" customHeight="1" x14ac:dyDescent="0.25">
      <c r="E916" s="139"/>
      <c r="J916" s="139"/>
    </row>
    <row r="917" spans="5:10" ht="15.75" customHeight="1" x14ac:dyDescent="0.25">
      <c r="E917" s="139"/>
      <c r="J917" s="139"/>
    </row>
    <row r="918" spans="5:10" ht="15.75" customHeight="1" x14ac:dyDescent="0.25">
      <c r="E918" s="139"/>
      <c r="J918" s="139"/>
    </row>
    <row r="919" spans="5:10" ht="15.75" customHeight="1" x14ac:dyDescent="0.25">
      <c r="E919" s="139"/>
      <c r="J919" s="139"/>
    </row>
    <row r="920" spans="5:10" ht="15.75" customHeight="1" x14ac:dyDescent="0.25">
      <c r="E920" s="139"/>
      <c r="J920" s="139"/>
    </row>
    <row r="921" spans="5:10" ht="15.75" customHeight="1" x14ac:dyDescent="0.25">
      <c r="E921" s="139"/>
      <c r="J921" s="139"/>
    </row>
    <row r="922" spans="5:10" ht="15.75" customHeight="1" x14ac:dyDescent="0.25">
      <c r="E922" s="139"/>
      <c r="J922" s="139"/>
    </row>
    <row r="923" spans="5:10" ht="15.75" customHeight="1" x14ac:dyDescent="0.25">
      <c r="E923" s="139"/>
      <c r="J923" s="139"/>
    </row>
    <row r="924" spans="5:10" ht="15.75" customHeight="1" x14ac:dyDescent="0.25">
      <c r="E924" s="139"/>
      <c r="J924" s="139"/>
    </row>
    <row r="925" spans="5:10" ht="15.75" customHeight="1" x14ac:dyDescent="0.25">
      <c r="E925" s="139"/>
      <c r="J925" s="139"/>
    </row>
    <row r="926" spans="5:10" ht="15.75" customHeight="1" x14ac:dyDescent="0.25">
      <c r="E926" s="139"/>
      <c r="J926" s="139"/>
    </row>
    <row r="927" spans="5:10" ht="15.75" customHeight="1" x14ac:dyDescent="0.25">
      <c r="E927" s="139"/>
      <c r="J927" s="139"/>
    </row>
    <row r="928" spans="5:10" ht="15.75" customHeight="1" x14ac:dyDescent="0.25">
      <c r="E928" s="139"/>
      <c r="J928" s="139"/>
    </row>
    <row r="929" spans="5:10" ht="15.75" customHeight="1" x14ac:dyDescent="0.25">
      <c r="E929" s="139"/>
      <c r="J929" s="139"/>
    </row>
    <row r="930" spans="5:10" ht="15.75" customHeight="1" x14ac:dyDescent="0.25">
      <c r="E930" s="139"/>
      <c r="J930" s="139"/>
    </row>
    <row r="931" spans="5:10" ht="15.75" customHeight="1" x14ac:dyDescent="0.25">
      <c r="E931" s="139"/>
      <c r="J931" s="139"/>
    </row>
    <row r="932" spans="5:10" ht="15.75" customHeight="1" x14ac:dyDescent="0.25">
      <c r="E932" s="139"/>
      <c r="J932" s="139"/>
    </row>
    <row r="933" spans="5:10" ht="15.75" customHeight="1" x14ac:dyDescent="0.25">
      <c r="E933" s="139"/>
      <c r="J933" s="139"/>
    </row>
    <row r="934" spans="5:10" ht="15.75" customHeight="1" x14ac:dyDescent="0.25">
      <c r="E934" s="139"/>
      <c r="J934" s="139"/>
    </row>
    <row r="935" spans="5:10" ht="15.75" customHeight="1" x14ac:dyDescent="0.25">
      <c r="E935" s="139"/>
      <c r="J935" s="139"/>
    </row>
    <row r="936" spans="5:10" ht="15.75" customHeight="1" x14ac:dyDescent="0.25">
      <c r="E936" s="139"/>
      <c r="J936" s="139"/>
    </row>
    <row r="937" spans="5:10" ht="15.75" customHeight="1" x14ac:dyDescent="0.25">
      <c r="E937" s="139"/>
      <c r="J937" s="139"/>
    </row>
    <row r="938" spans="5:10" ht="15.75" customHeight="1" x14ac:dyDescent="0.25">
      <c r="E938" s="139"/>
      <c r="J938" s="139"/>
    </row>
    <row r="939" spans="5:10" ht="15.75" customHeight="1" x14ac:dyDescent="0.25">
      <c r="E939" s="139"/>
      <c r="J939" s="139"/>
    </row>
    <row r="940" spans="5:10" ht="15.75" customHeight="1" x14ac:dyDescent="0.25">
      <c r="E940" s="139"/>
      <c r="J940" s="139"/>
    </row>
    <row r="941" spans="5:10" ht="15.75" customHeight="1" x14ac:dyDescent="0.25">
      <c r="E941" s="139"/>
      <c r="J941" s="139"/>
    </row>
    <row r="942" spans="5:10" ht="15.75" customHeight="1" x14ac:dyDescent="0.25">
      <c r="E942" s="139"/>
      <c r="J942" s="139"/>
    </row>
    <row r="943" spans="5:10" ht="15.75" customHeight="1" x14ac:dyDescent="0.25">
      <c r="E943" s="139"/>
      <c r="J943" s="139"/>
    </row>
    <row r="944" spans="5:10" ht="15.75" customHeight="1" x14ac:dyDescent="0.25">
      <c r="E944" s="139"/>
      <c r="J944" s="139"/>
    </row>
    <row r="945" spans="5:10" ht="15.75" customHeight="1" x14ac:dyDescent="0.25">
      <c r="E945" s="139"/>
      <c r="J945" s="139"/>
    </row>
    <row r="946" spans="5:10" ht="15.75" customHeight="1" x14ac:dyDescent="0.25">
      <c r="E946" s="139"/>
      <c r="J946" s="139"/>
    </row>
    <row r="947" spans="5:10" ht="15.75" customHeight="1" x14ac:dyDescent="0.25">
      <c r="E947" s="139"/>
      <c r="J947" s="139"/>
    </row>
    <row r="948" spans="5:10" ht="15.75" customHeight="1" x14ac:dyDescent="0.25">
      <c r="E948" s="139"/>
      <c r="J948" s="139"/>
    </row>
    <row r="949" spans="5:10" ht="15.75" customHeight="1" x14ac:dyDescent="0.25">
      <c r="E949" s="139"/>
      <c r="J949" s="139"/>
    </row>
    <row r="950" spans="5:10" ht="15.75" customHeight="1" x14ac:dyDescent="0.25">
      <c r="E950" s="139"/>
      <c r="J950" s="139"/>
    </row>
    <row r="951" spans="5:10" ht="15.75" customHeight="1" x14ac:dyDescent="0.25">
      <c r="E951" s="139"/>
      <c r="J951" s="139"/>
    </row>
    <row r="952" spans="5:10" ht="15.75" customHeight="1" x14ac:dyDescent="0.25">
      <c r="E952" s="139"/>
      <c r="J952" s="139"/>
    </row>
    <row r="953" spans="5:10" ht="15.75" customHeight="1" x14ac:dyDescent="0.25">
      <c r="E953" s="139"/>
      <c r="J953" s="139"/>
    </row>
    <row r="954" spans="5:10" ht="15.75" customHeight="1" x14ac:dyDescent="0.25">
      <c r="E954" s="139"/>
      <c r="J954" s="139"/>
    </row>
    <row r="955" spans="5:10" ht="15.75" customHeight="1" x14ac:dyDescent="0.25">
      <c r="E955" s="139"/>
      <c r="J955" s="139"/>
    </row>
    <row r="956" spans="5:10" ht="15.75" customHeight="1" x14ac:dyDescent="0.25">
      <c r="E956" s="139"/>
      <c r="J956" s="139"/>
    </row>
    <row r="957" spans="5:10" ht="15.75" customHeight="1" x14ac:dyDescent="0.25">
      <c r="E957" s="139"/>
      <c r="J957" s="139"/>
    </row>
    <row r="958" spans="5:10" ht="15.75" customHeight="1" x14ac:dyDescent="0.25">
      <c r="E958" s="139"/>
      <c r="J958" s="139"/>
    </row>
    <row r="959" spans="5:10" ht="15.75" customHeight="1" x14ac:dyDescent="0.25">
      <c r="E959" s="139"/>
      <c r="J959" s="139"/>
    </row>
    <row r="960" spans="5:10" ht="15.75" customHeight="1" x14ac:dyDescent="0.25">
      <c r="E960" s="139"/>
      <c r="J960" s="139"/>
    </row>
    <row r="961" spans="5:10" ht="15.75" customHeight="1" x14ac:dyDescent="0.25">
      <c r="E961" s="139"/>
      <c r="J961" s="139"/>
    </row>
    <row r="962" spans="5:10" ht="15.75" customHeight="1" x14ac:dyDescent="0.25">
      <c r="E962" s="139"/>
      <c r="J962" s="139"/>
    </row>
    <row r="963" spans="5:10" ht="15.75" customHeight="1" x14ac:dyDescent="0.25">
      <c r="E963" s="139"/>
      <c r="J963" s="139"/>
    </row>
    <row r="964" spans="5:10" ht="15.75" customHeight="1" x14ac:dyDescent="0.25">
      <c r="E964" s="139"/>
      <c r="J964" s="139"/>
    </row>
    <row r="965" spans="5:10" ht="15.75" customHeight="1" x14ac:dyDescent="0.25">
      <c r="E965" s="139"/>
      <c r="J965" s="139"/>
    </row>
    <row r="966" spans="5:10" ht="15.75" customHeight="1" x14ac:dyDescent="0.25">
      <c r="E966" s="139"/>
      <c r="J966" s="139"/>
    </row>
    <row r="967" spans="5:10" ht="15.75" customHeight="1" x14ac:dyDescent="0.25">
      <c r="E967" s="139"/>
      <c r="J967" s="139"/>
    </row>
    <row r="968" spans="5:10" ht="15.75" customHeight="1" x14ac:dyDescent="0.25">
      <c r="E968" s="139"/>
      <c r="J968" s="139"/>
    </row>
    <row r="969" spans="5:10" ht="15.75" customHeight="1" x14ac:dyDescent="0.25">
      <c r="E969" s="139"/>
      <c r="J969" s="139"/>
    </row>
    <row r="970" spans="5:10" ht="15.75" customHeight="1" x14ac:dyDescent="0.25">
      <c r="E970" s="139"/>
      <c r="J970" s="139"/>
    </row>
    <row r="971" spans="5:10" ht="15.75" customHeight="1" x14ac:dyDescent="0.25">
      <c r="E971" s="139"/>
      <c r="J971" s="139"/>
    </row>
    <row r="972" spans="5:10" ht="15.75" customHeight="1" x14ac:dyDescent="0.25">
      <c r="E972" s="139"/>
      <c r="J972" s="139"/>
    </row>
    <row r="973" spans="5:10" ht="15.75" customHeight="1" x14ac:dyDescent="0.25">
      <c r="E973" s="139"/>
      <c r="J973" s="139"/>
    </row>
    <row r="974" spans="5:10" ht="15.75" customHeight="1" x14ac:dyDescent="0.25">
      <c r="E974" s="139"/>
      <c r="J974" s="139"/>
    </row>
    <row r="975" spans="5:10" ht="15.75" customHeight="1" x14ac:dyDescent="0.25">
      <c r="E975" s="139"/>
      <c r="J975" s="139"/>
    </row>
    <row r="976" spans="5:10" ht="15.75" customHeight="1" x14ac:dyDescent="0.25">
      <c r="E976" s="139"/>
      <c r="J976" s="139"/>
    </row>
    <row r="977" spans="5:10" ht="15.75" customHeight="1" x14ac:dyDescent="0.25">
      <c r="E977" s="139"/>
      <c r="J977" s="139"/>
    </row>
    <row r="978" spans="5:10" ht="15.75" customHeight="1" x14ac:dyDescent="0.25">
      <c r="E978" s="139"/>
      <c r="J978" s="139"/>
    </row>
    <row r="979" spans="5:10" ht="15.75" customHeight="1" x14ac:dyDescent="0.25">
      <c r="E979" s="139"/>
      <c r="J979" s="139"/>
    </row>
    <row r="980" spans="5:10" ht="15.75" customHeight="1" x14ac:dyDescent="0.25">
      <c r="E980" s="139"/>
      <c r="J980" s="139"/>
    </row>
    <row r="981" spans="5:10" ht="15.75" customHeight="1" x14ac:dyDescent="0.25">
      <c r="E981" s="139"/>
      <c r="J981" s="139"/>
    </row>
    <row r="982" spans="5:10" ht="15.75" customHeight="1" x14ac:dyDescent="0.25">
      <c r="E982" s="139"/>
      <c r="J982" s="139"/>
    </row>
    <row r="983" spans="5:10" ht="15.75" customHeight="1" x14ac:dyDescent="0.25">
      <c r="E983" s="139"/>
      <c r="J983" s="139"/>
    </row>
    <row r="984" spans="5:10" ht="15.75" customHeight="1" x14ac:dyDescent="0.25">
      <c r="E984" s="139"/>
      <c r="J984" s="139"/>
    </row>
    <row r="985" spans="5:10" ht="15.75" customHeight="1" x14ac:dyDescent="0.25">
      <c r="E985" s="139"/>
      <c r="J985" s="139"/>
    </row>
    <row r="986" spans="5:10" ht="15.75" customHeight="1" x14ac:dyDescent="0.25">
      <c r="E986" s="139"/>
      <c r="J986" s="139"/>
    </row>
    <row r="987" spans="5:10" ht="15.75" customHeight="1" x14ac:dyDescent="0.25">
      <c r="E987" s="139"/>
      <c r="J987" s="139"/>
    </row>
    <row r="988" spans="5:10" ht="15.75" customHeight="1" x14ac:dyDescent="0.25">
      <c r="E988" s="139"/>
      <c r="J988" s="139"/>
    </row>
    <row r="989" spans="5:10" ht="15.75" customHeight="1" x14ac:dyDescent="0.25">
      <c r="E989" s="139"/>
      <c r="J989" s="139"/>
    </row>
    <row r="990" spans="5:10" ht="15.75" customHeight="1" x14ac:dyDescent="0.25">
      <c r="E990" s="139"/>
      <c r="J990" s="139"/>
    </row>
    <row r="991" spans="5:10" ht="15.75" customHeight="1" x14ac:dyDescent="0.25">
      <c r="E991" s="139"/>
      <c r="J991" s="139"/>
    </row>
    <row r="992" spans="5:10" ht="15.75" customHeight="1" x14ac:dyDescent="0.25">
      <c r="E992" s="139"/>
      <c r="J992" s="139"/>
    </row>
    <row r="993" spans="5:10" ht="15.75" customHeight="1" x14ac:dyDescent="0.25">
      <c r="E993" s="139"/>
      <c r="J993" s="139"/>
    </row>
    <row r="994" spans="5:10" ht="15.75" customHeight="1" x14ac:dyDescent="0.25">
      <c r="E994" s="139"/>
      <c r="J994" s="139"/>
    </row>
    <row r="995" spans="5:10" ht="15.75" customHeight="1" x14ac:dyDescent="0.25">
      <c r="E995" s="139"/>
      <c r="J995" s="139"/>
    </row>
    <row r="996" spans="5:10" ht="15.75" customHeight="1" x14ac:dyDescent="0.25">
      <c r="E996" s="139"/>
      <c r="J996" s="139"/>
    </row>
    <row r="997" spans="5:10" ht="15.75" customHeight="1" x14ac:dyDescent="0.25">
      <c r="E997" s="139"/>
      <c r="J997" s="139"/>
    </row>
    <row r="998" spans="5:10" ht="15.75" customHeight="1" x14ac:dyDescent="0.25">
      <c r="E998" s="139"/>
      <c r="J998" s="139"/>
    </row>
    <row r="999" spans="5:10" ht="15.75" customHeight="1" x14ac:dyDescent="0.25">
      <c r="E999" s="139"/>
      <c r="J999" s="139"/>
    </row>
    <row r="1000" spans="5:10" ht="15.75" customHeight="1" x14ac:dyDescent="0.25">
      <c r="E1000" s="139"/>
      <c r="J1000" s="139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700-000000000000}">
          <x14:formula1>
            <xm:f>January!$B$27:$C$44</xm:f>
          </x14:formula1>
          <xm:sqref>E5:E1000</xm:sqref>
        </x14:dataValidation>
        <x14:dataValidation type="list" allowBlank="1" xr:uid="{00000000-0002-0000-0700-000001000000}">
          <x14:formula1>
            <xm:f>January!$H$27:$I$44</xm:f>
          </x14:formula1>
          <xm:sqref>J5:J1000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1000"/>
  <sheetViews>
    <sheetView showGridLines="0" workbookViewId="0"/>
  </sheetViews>
  <sheetFormatPr defaultColWidth="12.6640625" defaultRowHeight="15" customHeight="1" x14ac:dyDescent="0.25"/>
  <cols>
    <col min="1" max="1" width="6.109375" customWidth="1"/>
    <col min="2" max="3" width="8.88671875" customWidth="1"/>
    <col min="4" max="4" width="16.77734375" customWidth="1"/>
    <col min="5" max="5" width="14.88671875" customWidth="1"/>
    <col min="6" max="6" width="11" customWidth="1"/>
    <col min="7" max="7" width="16.21875" customWidth="1"/>
    <col min="8" max="9" width="8.88671875" customWidth="1"/>
    <col min="10" max="10" width="12.6640625" customWidth="1"/>
    <col min="11" max="11" width="12.33203125" customWidth="1"/>
    <col min="12" max="12" width="13.77734375" customWidth="1"/>
    <col min="13" max="13" width="6.109375" customWidth="1"/>
  </cols>
  <sheetData>
    <row r="1" spans="1:13" ht="12" customHeight="1" x14ac:dyDescent="0.3">
      <c r="A1" s="142"/>
      <c r="B1" s="142"/>
      <c r="C1" s="142"/>
      <c r="D1" s="142"/>
      <c r="E1" s="142"/>
      <c r="F1" s="142"/>
      <c r="G1" s="143"/>
      <c r="H1" s="142"/>
      <c r="I1" s="142"/>
      <c r="J1" s="142"/>
      <c r="K1" s="142"/>
      <c r="L1" s="142"/>
      <c r="M1" s="142"/>
    </row>
    <row r="2" spans="1:13" ht="21" customHeight="1" x14ac:dyDescent="0.25">
      <c r="A2" s="144"/>
      <c r="B2" s="269" t="s">
        <v>28</v>
      </c>
      <c r="C2" s="266"/>
      <c r="D2" s="266"/>
      <c r="E2" s="266"/>
      <c r="F2" s="266"/>
      <c r="G2" s="266"/>
      <c r="H2" s="266"/>
      <c r="I2" s="270" t="s">
        <v>1</v>
      </c>
      <c r="J2" s="266"/>
      <c r="K2" s="266"/>
      <c r="L2" s="266"/>
      <c r="M2" s="144"/>
    </row>
    <row r="3" spans="1:13" ht="16.5" customHeight="1" x14ac:dyDescent="0.25">
      <c r="A3" s="145"/>
      <c r="B3" s="271" t="s">
        <v>29</v>
      </c>
      <c r="C3" s="266"/>
      <c r="D3" s="266"/>
      <c r="E3" s="266"/>
      <c r="F3" s="266"/>
      <c r="G3" s="266"/>
      <c r="H3" s="146"/>
      <c r="I3" s="272" t="s">
        <v>30</v>
      </c>
      <c r="J3" s="266"/>
      <c r="K3" s="266"/>
      <c r="L3" s="266"/>
      <c r="M3" s="147"/>
    </row>
    <row r="4" spans="1:13" ht="10.5" customHeight="1" x14ac:dyDescent="0.25">
      <c r="A4" s="145"/>
      <c r="B4" s="266"/>
      <c r="C4" s="266"/>
      <c r="D4" s="266"/>
      <c r="E4" s="266"/>
      <c r="F4" s="266"/>
      <c r="G4" s="266"/>
      <c r="H4" s="146"/>
      <c r="I4" s="273" t="s">
        <v>31</v>
      </c>
      <c r="J4" s="266"/>
      <c r="K4" s="266"/>
      <c r="L4" s="266"/>
      <c r="M4" s="266"/>
    </row>
    <row r="5" spans="1:13" ht="15.75" customHeight="1" x14ac:dyDescent="0.25">
      <c r="A5" s="145"/>
      <c r="B5" s="271" t="s">
        <v>32</v>
      </c>
      <c r="C5" s="266"/>
      <c r="D5" s="266"/>
      <c r="E5" s="266"/>
      <c r="F5" s="266"/>
      <c r="G5" s="266"/>
      <c r="H5" s="146"/>
      <c r="I5" s="266"/>
      <c r="J5" s="266"/>
      <c r="K5" s="266"/>
      <c r="L5" s="266"/>
      <c r="M5" s="266"/>
    </row>
    <row r="6" spans="1:13" ht="23.25" customHeight="1" x14ac:dyDescent="0.3">
      <c r="A6" s="148"/>
      <c r="B6" s="266"/>
      <c r="C6" s="266"/>
      <c r="D6" s="266"/>
      <c r="E6" s="266"/>
      <c r="F6" s="266"/>
      <c r="G6" s="266"/>
      <c r="H6" s="149"/>
      <c r="I6" s="142"/>
      <c r="J6" s="142"/>
      <c r="K6" s="142"/>
      <c r="L6" s="142"/>
      <c r="M6" s="142"/>
    </row>
    <row r="7" spans="1:13" ht="30" customHeight="1" x14ac:dyDescent="0.3">
      <c r="A7" s="150"/>
      <c r="B7" s="151"/>
      <c r="C7" s="151"/>
      <c r="D7" s="151"/>
      <c r="E7" s="152"/>
      <c r="F7" s="153"/>
      <c r="G7" s="154"/>
      <c r="H7" s="155"/>
      <c r="I7" s="155"/>
      <c r="J7" s="153"/>
      <c r="K7" s="153"/>
      <c r="L7" s="153"/>
      <c r="M7" s="153"/>
    </row>
    <row r="8" spans="1:13" ht="18" customHeight="1" x14ac:dyDescent="0.3">
      <c r="A8" s="156"/>
      <c r="B8" s="275" t="s">
        <v>65</v>
      </c>
      <c r="C8" s="266"/>
      <c r="D8" s="266"/>
      <c r="E8" s="266"/>
      <c r="F8" s="153"/>
      <c r="G8" s="157"/>
      <c r="H8" s="153"/>
      <c r="I8" s="158"/>
      <c r="J8" s="274" t="s">
        <v>34</v>
      </c>
      <c r="K8" s="266"/>
      <c r="L8" s="159">
        <f>February!E17</f>
        <v>3000000</v>
      </c>
      <c r="M8" s="153"/>
    </row>
    <row r="9" spans="1:13" ht="18" customHeight="1" x14ac:dyDescent="0.25">
      <c r="A9" s="156"/>
      <c r="B9" s="266"/>
      <c r="C9" s="266"/>
      <c r="D9" s="266"/>
      <c r="E9" s="266"/>
      <c r="F9" s="153"/>
      <c r="G9" s="157"/>
      <c r="H9" s="153"/>
      <c r="I9" s="160"/>
      <c r="J9" s="153"/>
      <c r="K9" s="153"/>
      <c r="L9" s="157"/>
      <c r="M9" s="153"/>
    </row>
    <row r="10" spans="1:13" ht="18" customHeight="1" x14ac:dyDescent="0.25">
      <c r="A10" s="153"/>
      <c r="B10" s="161"/>
      <c r="C10" s="161"/>
      <c r="D10" s="161"/>
      <c r="E10" s="161"/>
      <c r="F10" s="153"/>
      <c r="G10" s="157"/>
      <c r="H10" s="153"/>
      <c r="I10" s="160"/>
      <c r="J10" s="153"/>
      <c r="K10" s="153"/>
      <c r="L10" s="157"/>
      <c r="M10" s="153"/>
    </row>
    <row r="11" spans="1:13" ht="12" customHeight="1" x14ac:dyDescent="0.3">
      <c r="A11" s="150"/>
      <c r="B11" s="162"/>
      <c r="C11" s="162"/>
      <c r="D11" s="163"/>
      <c r="E11" s="150"/>
      <c r="F11" s="150"/>
      <c r="G11" s="158"/>
      <c r="H11" s="164"/>
      <c r="I11" s="165"/>
      <c r="J11" s="165"/>
      <c r="K11" s="165"/>
      <c r="L11" s="166"/>
      <c r="M11" s="150"/>
    </row>
    <row r="12" spans="1:13" ht="18" customHeight="1" x14ac:dyDescent="0.3">
      <c r="A12" s="158"/>
      <c r="B12" s="150"/>
      <c r="C12" s="158"/>
      <c r="D12" s="276" t="str">
        <f ca="1">IFERROR(__xludf.DUMMYFUNCTION("SPARKLINE(D17,{""charttype"",""column"";""ymin"", 0; ""ymax"",MAX(D17:E17);""firstcolor"",""#334960""})"),"")</f>
        <v/>
      </c>
      <c r="E12" s="278" t="str">
        <f ca="1">IFERROR(__xludf.DUMMYFUNCTION("SPARKLINE(E17,{""charttype"",""column"";""ymin"", 0; ""ymax"",max(D17:E17);""firstcolor"",""#f46524""})"),"")</f>
        <v/>
      </c>
      <c r="F12" s="150"/>
      <c r="G12" s="150"/>
      <c r="H12" s="167"/>
      <c r="I12" s="168"/>
      <c r="J12" s="168"/>
      <c r="K12" s="168"/>
      <c r="L12" s="169"/>
      <c r="M12" s="158"/>
    </row>
    <row r="13" spans="1:13" ht="18" customHeight="1" x14ac:dyDescent="0.6">
      <c r="A13" s="158"/>
      <c r="B13" s="150"/>
      <c r="C13" s="150"/>
      <c r="D13" s="277"/>
      <c r="E13" s="266"/>
      <c r="F13" s="150"/>
      <c r="G13" s="150"/>
      <c r="H13" s="167"/>
      <c r="I13" s="279">
        <f>IFERROR(E17/D17-1, "")</f>
        <v>0</v>
      </c>
      <c r="J13" s="266"/>
      <c r="K13" s="266"/>
      <c r="L13" s="169"/>
      <c r="M13" s="170"/>
    </row>
    <row r="14" spans="1:13" ht="24" customHeight="1" x14ac:dyDescent="0.6">
      <c r="A14" s="150"/>
      <c r="B14" s="150"/>
      <c r="C14" s="150"/>
      <c r="D14" s="277"/>
      <c r="E14" s="266"/>
      <c r="F14" s="150"/>
      <c r="G14" s="150"/>
      <c r="H14" s="167"/>
      <c r="I14" s="280" t="str">
        <f>IF(I13 &lt; 0, "Decrease in total savings", "Increase in total savings")</f>
        <v>Increase in total savings</v>
      </c>
      <c r="J14" s="281"/>
      <c r="K14" s="281"/>
      <c r="L14" s="169"/>
      <c r="M14" s="170"/>
    </row>
    <row r="15" spans="1:13" ht="39.75" customHeight="1" x14ac:dyDescent="0.6">
      <c r="A15" s="150"/>
      <c r="B15" s="150"/>
      <c r="C15" s="150"/>
      <c r="D15" s="277"/>
      <c r="E15" s="266"/>
      <c r="F15" s="150"/>
      <c r="G15" s="150"/>
      <c r="H15" s="167"/>
      <c r="I15" s="279">
        <f>IFERROR(E17-D17, 0)</f>
        <v>0</v>
      </c>
      <c r="J15" s="266"/>
      <c r="K15" s="266"/>
      <c r="L15" s="169"/>
      <c r="M15" s="170"/>
    </row>
    <row r="16" spans="1:13" ht="18" customHeight="1" x14ac:dyDescent="0.35">
      <c r="A16" s="150"/>
      <c r="B16" s="162"/>
      <c r="C16" s="171"/>
      <c r="D16" s="172" t="s">
        <v>35</v>
      </c>
      <c r="E16" s="173" t="s">
        <v>36</v>
      </c>
      <c r="F16" s="171"/>
      <c r="G16" s="162"/>
      <c r="H16" s="167"/>
      <c r="I16" s="282" t="str">
        <f>IF(J15&lt;0, "Spent this month", "Saved this month")</f>
        <v>Saved this month</v>
      </c>
      <c r="J16" s="266"/>
      <c r="K16" s="266"/>
      <c r="L16" s="169"/>
      <c r="M16" s="174"/>
    </row>
    <row r="17" spans="1:13" ht="18" customHeight="1" x14ac:dyDescent="0.3">
      <c r="A17" s="158"/>
      <c r="B17" s="150"/>
      <c r="C17" s="158"/>
      <c r="D17" s="175">
        <f>IF(ISBLANK(L8),0,L8)</f>
        <v>3000000</v>
      </c>
      <c r="E17" s="176">
        <f>D17+(I22-C22)</f>
        <v>3000000</v>
      </c>
      <c r="F17" s="158"/>
      <c r="G17" s="150"/>
      <c r="H17" s="167"/>
      <c r="I17" s="283"/>
      <c r="J17" s="266"/>
      <c r="K17" s="266"/>
      <c r="L17" s="169"/>
      <c r="M17" s="158"/>
    </row>
    <row r="18" spans="1:13" ht="12" customHeight="1" x14ac:dyDescent="0.3">
      <c r="A18" s="158"/>
      <c r="B18" s="177"/>
      <c r="C18" s="177"/>
      <c r="D18" s="177"/>
      <c r="E18" s="177"/>
      <c r="F18" s="177"/>
      <c r="G18" s="158"/>
      <c r="H18" s="178"/>
      <c r="I18" s="179"/>
      <c r="J18" s="180"/>
      <c r="K18" s="179"/>
      <c r="L18" s="181"/>
      <c r="M18" s="158"/>
    </row>
    <row r="19" spans="1:13" ht="24" customHeight="1" x14ac:dyDescent="0.3">
      <c r="A19" s="158"/>
      <c r="B19" s="177"/>
      <c r="C19" s="177"/>
      <c r="D19" s="177"/>
      <c r="E19" s="177"/>
      <c r="F19" s="177"/>
      <c r="G19" s="158"/>
      <c r="H19" s="158"/>
      <c r="I19" s="158"/>
      <c r="J19" s="151"/>
      <c r="K19" s="158"/>
      <c r="L19" s="158"/>
      <c r="M19" s="158"/>
    </row>
    <row r="20" spans="1:13" ht="24" customHeight="1" x14ac:dyDescent="0.25">
      <c r="A20" s="182"/>
      <c r="B20" s="284" t="s">
        <v>10</v>
      </c>
      <c r="C20" s="266"/>
      <c r="D20" s="266"/>
      <c r="E20" s="266"/>
      <c r="F20" s="266"/>
      <c r="G20" s="182"/>
      <c r="H20" s="183" t="s">
        <v>9</v>
      </c>
      <c r="I20" s="183"/>
      <c r="J20" s="184"/>
      <c r="K20" s="182"/>
      <c r="L20" s="182"/>
      <c r="M20" s="182"/>
    </row>
    <row r="21" spans="1:13" ht="19.5" customHeight="1" x14ac:dyDescent="0.25">
      <c r="A21" s="185"/>
      <c r="B21" s="186" t="s">
        <v>37</v>
      </c>
      <c r="C21" s="187">
        <f>D26</f>
        <v>22450000</v>
      </c>
      <c r="D21" s="285" t="str">
        <f ca="1">IFERROR(__xludf.DUMMYFUNCTION("SPARKLINE(C21,{""charttype"",""bar"";""max"",max(C21:C22);""color1"",""#AEB7C0""})"),"")</f>
        <v/>
      </c>
      <c r="E21" s="266"/>
      <c r="F21" s="266"/>
      <c r="G21" s="185"/>
      <c r="H21" s="186" t="s">
        <v>37</v>
      </c>
      <c r="I21" s="187">
        <f>J26</f>
        <v>0</v>
      </c>
      <c r="J21" s="285" t="str">
        <f ca="1">IFERROR(__xludf.DUMMYFUNCTION("SPARKLINE(I21,{""charttype"",""bar"";""max"",max(I21:I22);""color1"",""#AEB7C0""})"),"")</f>
        <v/>
      </c>
      <c r="K21" s="266"/>
      <c r="L21" s="266"/>
      <c r="M21" s="185"/>
    </row>
    <row r="22" spans="1:13" ht="19.5" customHeight="1" x14ac:dyDescent="0.25">
      <c r="A22" s="188"/>
      <c r="B22" s="189" t="s">
        <v>38</v>
      </c>
      <c r="C22" s="190">
        <f>E26</f>
        <v>0</v>
      </c>
      <c r="D22" s="286" t="str">
        <f ca="1">IFERROR(__xludf.DUMMYFUNCTION("SPARKLINE(C22,{""charttype"",""bar"";""max"",max(C21:C22);""color1"",""#334960""})"),"")</f>
        <v/>
      </c>
      <c r="E22" s="266"/>
      <c r="F22" s="266"/>
      <c r="G22" s="177"/>
      <c r="H22" s="189" t="s">
        <v>38</v>
      </c>
      <c r="I22" s="190">
        <f>K26</f>
        <v>0</v>
      </c>
      <c r="J22" s="286" t="str">
        <f ca="1">IFERROR(__xludf.DUMMYFUNCTION("SPARKLINE(I22,{""charttype"",""bar"";""max"",max(I21:I22);""color1"",""#334960""})"),"")</f>
        <v/>
      </c>
      <c r="K22" s="266"/>
      <c r="L22" s="266"/>
      <c r="M22" s="188"/>
    </row>
    <row r="23" spans="1:13" ht="30" customHeight="1" x14ac:dyDescent="0.3">
      <c r="A23" s="150"/>
      <c r="B23" s="191"/>
      <c r="C23" s="192"/>
      <c r="D23" s="287"/>
      <c r="E23" s="266"/>
      <c r="F23" s="266"/>
      <c r="G23" s="150"/>
      <c r="H23" s="191"/>
      <c r="I23" s="192"/>
      <c r="J23" s="287"/>
      <c r="K23" s="266"/>
      <c r="L23" s="266"/>
      <c r="M23" s="188"/>
    </row>
    <row r="24" spans="1:13" ht="29.25" customHeight="1" x14ac:dyDescent="0.25">
      <c r="A24" s="193"/>
      <c r="B24" s="288" t="s">
        <v>10</v>
      </c>
      <c r="C24" s="266"/>
      <c r="D24" s="194"/>
      <c r="E24" s="194"/>
      <c r="F24" s="194"/>
      <c r="G24" s="195"/>
      <c r="H24" s="196" t="s">
        <v>9</v>
      </c>
      <c r="I24" s="197"/>
      <c r="J24" s="194"/>
      <c r="K24" s="194"/>
      <c r="L24" s="194"/>
      <c r="M24" s="193"/>
    </row>
    <row r="25" spans="1:13" ht="19.5" customHeight="1" x14ac:dyDescent="0.45">
      <c r="A25" s="198"/>
      <c r="B25" s="199"/>
      <c r="C25" s="200"/>
      <c r="D25" s="199" t="s">
        <v>37</v>
      </c>
      <c r="E25" s="199" t="s">
        <v>38</v>
      </c>
      <c r="F25" s="199" t="s">
        <v>39</v>
      </c>
      <c r="G25" s="201"/>
      <c r="H25" s="202"/>
      <c r="I25" s="203"/>
      <c r="J25" s="199" t="s">
        <v>37</v>
      </c>
      <c r="K25" s="199" t="s">
        <v>38</v>
      </c>
      <c r="L25" s="199" t="s">
        <v>39</v>
      </c>
      <c r="M25" s="198"/>
    </row>
    <row r="26" spans="1:13" ht="17.25" customHeight="1" x14ac:dyDescent="0.25">
      <c r="A26" s="204"/>
      <c r="B26" s="205" t="s">
        <v>40</v>
      </c>
      <c r="C26" s="205"/>
      <c r="D26" s="206">
        <f t="shared" ref="D26:F26" si="0">SUM(D27:D1044)</f>
        <v>22450000</v>
      </c>
      <c r="E26" s="206">
        <f t="shared" si="0"/>
        <v>0</v>
      </c>
      <c r="F26" s="206">
        <f t="shared" si="0"/>
        <v>22450000</v>
      </c>
      <c r="G26" s="207"/>
      <c r="H26" s="208" t="s">
        <v>40</v>
      </c>
      <c r="I26" s="206"/>
      <c r="J26" s="206">
        <f t="shared" ref="J26:L26" si="1">SUM(J27:J44)</f>
        <v>0</v>
      </c>
      <c r="K26" s="206">
        <f t="shared" si="1"/>
        <v>0</v>
      </c>
      <c r="L26" s="206">
        <f t="shared" si="1"/>
        <v>0</v>
      </c>
      <c r="M26" s="204"/>
    </row>
    <row r="27" spans="1:13" ht="18" hidden="1" customHeight="1" x14ac:dyDescent="0.25">
      <c r="A27" s="209"/>
      <c r="B27" s="289"/>
      <c r="C27" s="290"/>
      <c r="D27" s="210"/>
      <c r="E27" s="211" t="str">
        <f>IF(ISBLANK($B27), "", SUMIF('Trans March'!$E:$E,$B27,'Trans March'!$C:$C))</f>
        <v/>
      </c>
      <c r="F27" s="211" t="str">
        <f t="shared" ref="F27:F43" si="2">IF(ISBLANK($B27), "", D27-E27)</f>
        <v/>
      </c>
      <c r="G27" s="190"/>
      <c r="H27" s="291"/>
      <c r="I27" s="292"/>
      <c r="J27" s="212"/>
      <c r="K27" s="211" t="str">
        <f>IF(ISBLANK($H27), "", SUMIF('Trans March'!$J:$J,$H27,'Trans March'!$H:$H))</f>
        <v/>
      </c>
      <c r="L27" s="211" t="str">
        <f t="shared" ref="L27:L44" si="3">IF(ISBLANK($H27), "", K27-J27)</f>
        <v/>
      </c>
      <c r="M27" s="209"/>
    </row>
    <row r="28" spans="1:13" ht="18" customHeight="1" x14ac:dyDescent="0.25">
      <c r="A28" s="209"/>
      <c r="B28" s="267" t="s">
        <v>15</v>
      </c>
      <c r="C28" s="268"/>
      <c r="D28" s="213">
        <v>7000000</v>
      </c>
      <c r="E28" s="214">
        <f>IF(ISBLANK($B28), "", SUMIF('Trans March'!$E:$E,$B28,'Trans March'!$C:$C))</f>
        <v>0</v>
      </c>
      <c r="F28" s="214">
        <f t="shared" si="2"/>
        <v>7000000</v>
      </c>
      <c r="G28" s="215"/>
      <c r="H28" s="267" t="s">
        <v>41</v>
      </c>
      <c r="I28" s="268"/>
      <c r="J28" s="213"/>
      <c r="K28" s="211">
        <f>IF(ISBLANK($H28), "", SUMIF('Trans March'!$J:$J,$H28,'Trans March'!$H:$H))</f>
        <v>0</v>
      </c>
      <c r="L28" s="214">
        <f t="shared" si="3"/>
        <v>0</v>
      </c>
      <c r="M28" s="209"/>
    </row>
    <row r="29" spans="1:13" ht="18" customHeight="1" x14ac:dyDescent="0.25">
      <c r="A29" s="209"/>
      <c r="B29" s="267" t="s">
        <v>23</v>
      </c>
      <c r="C29" s="268"/>
      <c r="D29" s="213">
        <v>500000</v>
      </c>
      <c r="E29" s="214">
        <f>IF(ISBLANK($B29), "", SUMIF('Trans March'!$E:$E,$B29,'Trans March'!$C:$C))</f>
        <v>0</v>
      </c>
      <c r="F29" s="214">
        <f t="shared" si="2"/>
        <v>500000</v>
      </c>
      <c r="G29" s="190"/>
      <c r="H29" s="267" t="s">
        <v>42</v>
      </c>
      <c r="I29" s="268"/>
      <c r="J29" s="213"/>
      <c r="K29" s="211">
        <f>IF(ISBLANK($H29), "", SUMIF('Trans March'!$J:$J,$H29,'Trans March'!$H:$H))</f>
        <v>0</v>
      </c>
      <c r="L29" s="214">
        <f t="shared" si="3"/>
        <v>0</v>
      </c>
      <c r="M29" s="209"/>
    </row>
    <row r="30" spans="1:13" ht="18" customHeight="1" x14ac:dyDescent="0.25">
      <c r="A30" s="188"/>
      <c r="B30" s="267" t="s">
        <v>24</v>
      </c>
      <c r="C30" s="268"/>
      <c r="D30" s="213">
        <v>600000</v>
      </c>
      <c r="E30" s="214">
        <f>IF(ISBLANK($B30), "", SUMIF('Trans March'!$E:$E,$B30,'Trans March'!$C:$C))</f>
        <v>0</v>
      </c>
      <c r="F30" s="214">
        <f t="shared" si="2"/>
        <v>600000</v>
      </c>
      <c r="G30" s="216"/>
      <c r="H30" s="267" t="s">
        <v>43</v>
      </c>
      <c r="I30" s="268"/>
      <c r="J30" s="213"/>
      <c r="K30" s="211">
        <f>IF(ISBLANK($H30), "", SUMIF('Trans March'!$J:$J,$H30,'Trans March'!$H:$H))</f>
        <v>0</v>
      </c>
      <c r="L30" s="214">
        <f t="shared" si="3"/>
        <v>0</v>
      </c>
      <c r="M30" s="188"/>
    </row>
    <row r="31" spans="1:13" ht="18" customHeight="1" x14ac:dyDescent="0.25">
      <c r="A31" s="188"/>
      <c r="B31" s="267" t="s">
        <v>44</v>
      </c>
      <c r="C31" s="268"/>
      <c r="D31" s="213">
        <v>5000000</v>
      </c>
      <c r="E31" s="214">
        <f>IF(ISBLANK($B31), "", SUMIF('Trans March'!$E:$E,$B31,'Trans March'!$C:$C))</f>
        <v>0</v>
      </c>
      <c r="F31" s="214">
        <f t="shared" si="2"/>
        <v>5000000</v>
      </c>
      <c r="G31" s="216"/>
      <c r="H31" s="267" t="s">
        <v>45</v>
      </c>
      <c r="I31" s="268"/>
      <c r="J31" s="213"/>
      <c r="K31" s="211">
        <f>IF(ISBLANK($H31), "", SUMIF('Trans March'!$J:$J,$H31,'Trans March'!$H:$H))</f>
        <v>0</v>
      </c>
      <c r="L31" s="214">
        <f t="shared" si="3"/>
        <v>0</v>
      </c>
      <c r="M31" s="188"/>
    </row>
    <row r="32" spans="1:13" ht="18" customHeight="1" x14ac:dyDescent="0.25">
      <c r="A32" s="188"/>
      <c r="B32" s="267" t="s">
        <v>46</v>
      </c>
      <c r="C32" s="268"/>
      <c r="D32" s="213">
        <v>4000000</v>
      </c>
      <c r="E32" s="214">
        <f>IF(ISBLANK($B32), "", SUMIF('Trans March'!$E:$E,$B32,'Trans March'!$C:$C))</f>
        <v>0</v>
      </c>
      <c r="F32" s="214">
        <f t="shared" si="2"/>
        <v>4000000</v>
      </c>
      <c r="G32" s="216"/>
      <c r="H32" s="267" t="s">
        <v>47</v>
      </c>
      <c r="I32" s="268"/>
      <c r="J32" s="213"/>
      <c r="K32" s="211">
        <f>IF(ISBLANK($H32), "", SUMIF('Trans March'!$J:$J,$H32,'Trans March'!$H:$H))</f>
        <v>0</v>
      </c>
      <c r="L32" s="214">
        <f t="shared" si="3"/>
        <v>0</v>
      </c>
      <c r="M32" s="188"/>
    </row>
    <row r="33" spans="1:13" ht="18" customHeight="1" x14ac:dyDescent="0.25">
      <c r="A33" s="188"/>
      <c r="B33" s="267" t="s">
        <v>48</v>
      </c>
      <c r="C33" s="268"/>
      <c r="D33" s="213">
        <v>1500000</v>
      </c>
      <c r="E33" s="214">
        <f>IF(ISBLANK($B33), "", SUMIF('Trans March'!$E:$E,$B33,'Trans March'!$C:$C))</f>
        <v>0</v>
      </c>
      <c r="F33" s="214">
        <f t="shared" si="2"/>
        <v>1500000</v>
      </c>
      <c r="G33" s="217"/>
      <c r="H33" s="267" t="s">
        <v>49</v>
      </c>
      <c r="I33" s="268"/>
      <c r="J33" s="218"/>
      <c r="K33" s="211">
        <f>IF(ISBLANK($H33), "", SUMIF('Trans March'!$J:$J,$H33,'Trans March'!$H:$H))</f>
        <v>0</v>
      </c>
      <c r="L33" s="214">
        <f t="shared" si="3"/>
        <v>0</v>
      </c>
      <c r="M33" s="188"/>
    </row>
    <row r="34" spans="1:13" ht="18" customHeight="1" x14ac:dyDescent="0.25">
      <c r="A34" s="188"/>
      <c r="B34" s="267" t="s">
        <v>50</v>
      </c>
      <c r="C34" s="268"/>
      <c r="D34" s="213">
        <v>500000</v>
      </c>
      <c r="E34" s="214">
        <f>IF(ISBLANK($B34), "", SUMIF('Trans March'!$E:$E,$B34,'Trans March'!$C:$C))</f>
        <v>0</v>
      </c>
      <c r="F34" s="214">
        <f t="shared" si="2"/>
        <v>500000</v>
      </c>
      <c r="G34" s="216"/>
      <c r="H34" s="267" t="s">
        <v>51</v>
      </c>
      <c r="I34" s="268"/>
      <c r="J34" s="218"/>
      <c r="K34" s="211">
        <f>IF(ISBLANK($H34), "", SUMIF('Trans March'!$J:$J,$H34,'Trans March'!$H:$H))</f>
        <v>0</v>
      </c>
      <c r="L34" s="214">
        <f t="shared" si="3"/>
        <v>0</v>
      </c>
      <c r="M34" s="188"/>
    </row>
    <row r="35" spans="1:13" ht="18" customHeight="1" x14ac:dyDescent="0.3">
      <c r="A35" s="188"/>
      <c r="B35" s="267" t="s">
        <v>52</v>
      </c>
      <c r="C35" s="268"/>
      <c r="D35" s="213">
        <v>500000</v>
      </c>
      <c r="E35" s="214">
        <f>IF(ISBLANK($B35), "", SUMIF('Trans March'!$E:$E,$B35,'Trans March'!$C:$C))</f>
        <v>0</v>
      </c>
      <c r="F35" s="214">
        <f t="shared" si="2"/>
        <v>500000</v>
      </c>
      <c r="G35" s="217"/>
      <c r="H35" s="293"/>
      <c r="I35" s="268"/>
      <c r="J35" s="219"/>
      <c r="K35" s="211" t="str">
        <f>IF(ISBLANK($H35), "", SUMIF('Trans March'!$J:$J,$H35,'Trans March'!$H:$H))</f>
        <v/>
      </c>
      <c r="L35" s="214" t="str">
        <f t="shared" si="3"/>
        <v/>
      </c>
      <c r="M35" s="188"/>
    </row>
    <row r="36" spans="1:13" ht="18" customHeight="1" x14ac:dyDescent="0.3">
      <c r="A36" s="188"/>
      <c r="B36" s="267" t="s">
        <v>53</v>
      </c>
      <c r="C36" s="268"/>
      <c r="D36" s="213">
        <v>500000</v>
      </c>
      <c r="E36" s="214">
        <f>IF(ISBLANK($B36), "", SUMIF('Trans March'!$E:$E,$B36,'Trans March'!$C:$C))</f>
        <v>0</v>
      </c>
      <c r="F36" s="214">
        <f t="shared" si="2"/>
        <v>500000</v>
      </c>
      <c r="G36" s="216"/>
      <c r="H36" s="293"/>
      <c r="I36" s="268"/>
      <c r="J36" s="219"/>
      <c r="K36" s="211" t="str">
        <f>IF(ISBLANK($H36), "", SUMIF('Trans March'!$J:$J,$H36,'Trans March'!$H:$H))</f>
        <v/>
      </c>
      <c r="L36" s="214" t="str">
        <f t="shared" si="3"/>
        <v/>
      </c>
      <c r="M36" s="188"/>
    </row>
    <row r="37" spans="1:13" ht="18" customHeight="1" x14ac:dyDescent="0.3">
      <c r="A37" s="188"/>
      <c r="B37" s="267" t="s">
        <v>54</v>
      </c>
      <c r="C37" s="268"/>
      <c r="D37" s="213">
        <v>500000</v>
      </c>
      <c r="E37" s="214">
        <f>IF(ISBLANK($B37), "", SUMIF('Trans March'!$E:$E,$B37,'Trans March'!$C:$C))</f>
        <v>0</v>
      </c>
      <c r="F37" s="214">
        <f t="shared" si="2"/>
        <v>500000</v>
      </c>
      <c r="G37" s="216"/>
      <c r="H37" s="293"/>
      <c r="I37" s="268"/>
      <c r="J37" s="219"/>
      <c r="K37" s="211" t="str">
        <f>IF(ISBLANK($H37), "", SUMIF('Trans March'!$J:$J,$H37,'Trans March'!$H:$H))</f>
        <v/>
      </c>
      <c r="L37" s="214" t="str">
        <f t="shared" si="3"/>
        <v/>
      </c>
      <c r="M37" s="188"/>
    </row>
    <row r="38" spans="1:13" ht="18" customHeight="1" x14ac:dyDescent="0.3">
      <c r="A38" s="188"/>
      <c r="B38" s="267" t="s">
        <v>55</v>
      </c>
      <c r="C38" s="268"/>
      <c r="D38" s="213">
        <v>200000</v>
      </c>
      <c r="E38" s="214">
        <f>IF(ISBLANK($B38), "", SUMIF('Trans March'!$E:$E,$B38,'Trans March'!$C:$C))</f>
        <v>0</v>
      </c>
      <c r="F38" s="214">
        <f t="shared" si="2"/>
        <v>200000</v>
      </c>
      <c r="G38" s="216"/>
      <c r="H38" s="293"/>
      <c r="I38" s="268"/>
      <c r="J38" s="219"/>
      <c r="K38" s="211" t="str">
        <f>IF(ISBLANK($H38), "", SUMIF('Trans March'!$J:$J,$H38,'Trans March'!$H:$H))</f>
        <v/>
      </c>
      <c r="L38" s="214" t="str">
        <f t="shared" si="3"/>
        <v/>
      </c>
      <c r="M38" s="188"/>
    </row>
    <row r="39" spans="1:13" ht="18" customHeight="1" x14ac:dyDescent="0.3">
      <c r="A39" s="188"/>
      <c r="B39" s="267" t="s">
        <v>56</v>
      </c>
      <c r="C39" s="268"/>
      <c r="D39" s="213">
        <v>150000</v>
      </c>
      <c r="E39" s="214">
        <f>IF(ISBLANK($B39), "", SUMIF('Trans March'!$E:$E,$B39,'Trans March'!$C:$C))</f>
        <v>0</v>
      </c>
      <c r="F39" s="214">
        <f t="shared" si="2"/>
        <v>150000</v>
      </c>
      <c r="G39" s="216"/>
      <c r="H39" s="293"/>
      <c r="I39" s="268"/>
      <c r="J39" s="219"/>
      <c r="K39" s="211" t="str">
        <f>IF(ISBLANK($H39), "", SUMIF('Trans March'!$J:$J,$H39,'Trans March'!$H:$H))</f>
        <v/>
      </c>
      <c r="L39" s="214" t="str">
        <f t="shared" si="3"/>
        <v/>
      </c>
      <c r="M39" s="188"/>
    </row>
    <row r="40" spans="1:13" ht="18" customHeight="1" x14ac:dyDescent="0.3">
      <c r="A40" s="188"/>
      <c r="B40" s="267" t="s">
        <v>57</v>
      </c>
      <c r="C40" s="268"/>
      <c r="D40" s="213">
        <v>1500000</v>
      </c>
      <c r="E40" s="214">
        <f>IF(ISBLANK($B40), "", SUMIF('Trans March'!$E:$E,$B40,'Trans March'!$C:$C))</f>
        <v>0</v>
      </c>
      <c r="F40" s="214">
        <f t="shared" si="2"/>
        <v>1500000</v>
      </c>
      <c r="G40" s="217"/>
      <c r="H40" s="293"/>
      <c r="I40" s="268"/>
      <c r="J40" s="219"/>
      <c r="K40" s="211" t="str">
        <f>IF(ISBLANK($H40), "", SUMIF('Trans March'!$J:$J,$H40,'Trans March'!$H:$H))</f>
        <v/>
      </c>
      <c r="L40" s="214" t="str">
        <f t="shared" si="3"/>
        <v/>
      </c>
      <c r="M40" s="188"/>
    </row>
    <row r="41" spans="1:13" ht="18" customHeight="1" x14ac:dyDescent="0.3">
      <c r="A41" s="188"/>
      <c r="B41" s="267" t="s">
        <v>58</v>
      </c>
      <c r="C41" s="268"/>
      <c r="D41" s="220">
        <v>0</v>
      </c>
      <c r="E41" s="214">
        <f>IF(ISBLANK($B41), "", SUMIF('Trans March'!$E:$E,$B41,'Trans March'!$C:$C))</f>
        <v>0</v>
      </c>
      <c r="F41" s="214">
        <f t="shared" si="2"/>
        <v>0</v>
      </c>
      <c r="G41" s="216"/>
      <c r="H41" s="293"/>
      <c r="I41" s="268"/>
      <c r="J41" s="219"/>
      <c r="K41" s="211" t="str">
        <f>IF(ISBLANK($H41), "", SUMIF('Trans March'!$J:$J,$H41,'Trans March'!$H:$H))</f>
        <v/>
      </c>
      <c r="L41" s="214" t="str">
        <f t="shared" si="3"/>
        <v/>
      </c>
      <c r="M41" s="188"/>
    </row>
    <row r="42" spans="1:13" ht="19.5" customHeight="1" x14ac:dyDescent="0.3">
      <c r="A42" s="188"/>
      <c r="B42" s="267" t="s">
        <v>59</v>
      </c>
      <c r="C42" s="268"/>
      <c r="D42" s="213">
        <v>0</v>
      </c>
      <c r="E42" s="214">
        <f>IF(ISBLANK($B42), "", SUMIF('Trans March'!$E:$E,$B42,'Trans March'!$C:$C))</f>
        <v>0</v>
      </c>
      <c r="F42" s="214">
        <f t="shared" si="2"/>
        <v>0</v>
      </c>
      <c r="G42" s="216"/>
      <c r="H42" s="293"/>
      <c r="I42" s="268"/>
      <c r="J42" s="219"/>
      <c r="K42" s="211" t="str">
        <f>IF(ISBLANK($H42), "", SUMIF('Trans March'!$J:$J,$H42,'Trans March'!$H:$H))</f>
        <v/>
      </c>
      <c r="L42" s="214" t="str">
        <f t="shared" si="3"/>
        <v/>
      </c>
      <c r="M42" s="188"/>
    </row>
    <row r="43" spans="1:13" ht="18" customHeight="1" x14ac:dyDescent="0.3">
      <c r="A43" s="188"/>
      <c r="B43" s="267"/>
      <c r="C43" s="268"/>
      <c r="D43" s="220"/>
      <c r="E43" s="211"/>
      <c r="F43" s="214" t="str">
        <f t="shared" si="2"/>
        <v/>
      </c>
      <c r="G43" s="216"/>
      <c r="H43" s="267"/>
      <c r="I43" s="268"/>
      <c r="J43" s="218"/>
      <c r="K43" s="211" t="str">
        <f>IF(ISBLANK($H43), "", SUMIF('Trans March'!$J:$J,$H43,'Trans March'!$H:$H))</f>
        <v/>
      </c>
      <c r="L43" s="214" t="str">
        <f t="shared" si="3"/>
        <v/>
      </c>
      <c r="M43" s="188"/>
    </row>
    <row r="44" spans="1:13" ht="18" customHeight="1" x14ac:dyDescent="0.25">
      <c r="A44" s="188"/>
      <c r="B44" s="267"/>
      <c r="C44" s="268"/>
      <c r="D44" s="218"/>
      <c r="E44" s="211" t="str">
        <f>IF(ISBLANK($B44), "", SUMIF('Trans March'!$E:$E,$B44,'Trans March'!$C:$C))</f>
        <v/>
      </c>
      <c r="F44" s="214"/>
      <c r="G44" s="216"/>
      <c r="H44" s="267"/>
      <c r="I44" s="268"/>
      <c r="J44" s="218"/>
      <c r="K44" s="211" t="str">
        <f>IF(ISBLANK($H44), "", SUMIF('Trans March'!$J:$J,$H44,'Trans March'!$H:$H))</f>
        <v/>
      </c>
      <c r="L44" s="214" t="str">
        <f t="shared" si="3"/>
        <v/>
      </c>
      <c r="M44" s="188"/>
    </row>
    <row r="45" spans="1:13" ht="18" customHeight="1" x14ac:dyDescent="0.25">
      <c r="A45" s="188"/>
      <c r="B45" s="221"/>
      <c r="C45" s="221"/>
      <c r="D45" s="222"/>
      <c r="E45" s="211"/>
      <c r="F45" s="214"/>
      <c r="G45" s="216"/>
      <c r="H45" s="221"/>
      <c r="I45" s="221"/>
      <c r="J45" s="222"/>
      <c r="K45" s="211"/>
      <c r="L45" s="214"/>
      <c r="M45" s="188"/>
    </row>
    <row r="46" spans="1:13" ht="18" customHeight="1" x14ac:dyDescent="0.25">
      <c r="A46" s="188"/>
      <c r="B46" s="221"/>
      <c r="C46" s="221"/>
      <c r="D46" s="222"/>
      <c r="E46" s="211"/>
      <c r="F46" s="214"/>
      <c r="G46" s="216"/>
      <c r="H46" s="221"/>
      <c r="I46" s="221"/>
      <c r="J46" s="222"/>
      <c r="K46" s="211"/>
      <c r="L46" s="214"/>
      <c r="M46" s="188"/>
    </row>
    <row r="47" spans="1:13" ht="18" customHeight="1" x14ac:dyDescent="0.25">
      <c r="A47" s="188"/>
      <c r="B47" s="221"/>
      <c r="C47" s="221"/>
      <c r="D47" s="222"/>
      <c r="E47" s="211"/>
      <c r="F47" s="214"/>
      <c r="G47" s="216"/>
      <c r="H47" s="221"/>
      <c r="I47" s="221"/>
      <c r="J47" s="222"/>
      <c r="K47" s="211"/>
      <c r="L47" s="214"/>
      <c r="M47" s="188"/>
    </row>
    <row r="48" spans="1:13" ht="18" customHeight="1" x14ac:dyDescent="0.25">
      <c r="A48" s="188"/>
      <c r="B48" s="221"/>
      <c r="C48" s="221"/>
      <c r="D48" s="222"/>
      <c r="E48" s="211"/>
      <c r="F48" s="214"/>
      <c r="G48" s="216"/>
      <c r="H48" s="221"/>
      <c r="I48" s="221"/>
      <c r="J48" s="222"/>
      <c r="K48" s="211"/>
      <c r="L48" s="214"/>
      <c r="M48" s="188"/>
    </row>
    <row r="49" spans="1:13" ht="18" customHeight="1" x14ac:dyDescent="0.25">
      <c r="A49" s="188"/>
      <c r="B49" s="221"/>
      <c r="C49" s="221"/>
      <c r="D49" s="222"/>
      <c r="E49" s="211"/>
      <c r="F49" s="214"/>
      <c r="G49" s="216"/>
      <c r="H49" s="221"/>
      <c r="I49" s="221"/>
      <c r="J49" s="222"/>
      <c r="K49" s="211"/>
      <c r="L49" s="214"/>
      <c r="M49" s="188"/>
    </row>
    <row r="50" spans="1:13" ht="18" customHeight="1" x14ac:dyDescent="0.25">
      <c r="A50" s="188"/>
      <c r="B50" s="221"/>
      <c r="C50" s="221"/>
      <c r="D50" s="222"/>
      <c r="E50" s="211"/>
      <c r="F50" s="214"/>
      <c r="G50" s="216"/>
      <c r="H50" s="221"/>
      <c r="I50" s="221"/>
      <c r="J50" s="222"/>
      <c r="K50" s="211"/>
      <c r="L50" s="214"/>
      <c r="M50" s="188"/>
    </row>
    <row r="51" spans="1:13" ht="18" customHeight="1" x14ac:dyDescent="0.25">
      <c r="A51" s="188"/>
      <c r="B51" s="221"/>
      <c r="C51" s="221"/>
      <c r="D51" s="222"/>
      <c r="E51" s="211"/>
      <c r="F51" s="214"/>
      <c r="G51" s="216"/>
      <c r="H51" s="221"/>
      <c r="I51" s="221"/>
      <c r="J51" s="222"/>
      <c r="K51" s="211"/>
      <c r="L51" s="214"/>
      <c r="M51" s="188"/>
    </row>
    <row r="52" spans="1:13" ht="18" customHeight="1" x14ac:dyDescent="0.25">
      <c r="A52" s="188"/>
      <c r="B52" s="221"/>
      <c r="C52" s="221"/>
      <c r="D52" s="222"/>
      <c r="E52" s="211"/>
      <c r="F52" s="214"/>
      <c r="G52" s="216"/>
      <c r="H52" s="221"/>
      <c r="I52" s="221"/>
      <c r="J52" s="222"/>
      <c r="K52" s="211"/>
      <c r="L52" s="214"/>
      <c r="M52" s="188"/>
    </row>
    <row r="53" spans="1:13" ht="18" customHeight="1" x14ac:dyDescent="0.25">
      <c r="A53" s="188"/>
      <c r="B53" s="221"/>
      <c r="C53" s="221"/>
      <c r="D53" s="222"/>
      <c r="E53" s="211"/>
      <c r="F53" s="214"/>
      <c r="G53" s="216"/>
      <c r="H53" s="221"/>
      <c r="I53" s="221"/>
      <c r="J53" s="222"/>
      <c r="K53" s="211"/>
      <c r="L53" s="214"/>
      <c r="M53" s="188"/>
    </row>
    <row r="54" spans="1:13" ht="18" customHeight="1" x14ac:dyDescent="0.25">
      <c r="A54" s="188"/>
      <c r="B54" s="221"/>
      <c r="C54" s="221"/>
      <c r="D54" s="222"/>
      <c r="E54" s="211"/>
      <c r="F54" s="214"/>
      <c r="G54" s="216"/>
      <c r="H54" s="221"/>
      <c r="I54" s="221"/>
      <c r="J54" s="222"/>
      <c r="K54" s="211"/>
      <c r="L54" s="214"/>
      <c r="M54" s="188"/>
    </row>
    <row r="55" spans="1:13" ht="18" customHeight="1" x14ac:dyDescent="0.25">
      <c r="A55" s="188"/>
      <c r="B55" s="221"/>
      <c r="C55" s="221"/>
      <c r="D55" s="222"/>
      <c r="E55" s="211"/>
      <c r="F55" s="214"/>
      <c r="G55" s="216"/>
      <c r="H55" s="221"/>
      <c r="I55" s="221"/>
      <c r="J55" s="222"/>
      <c r="K55" s="211"/>
      <c r="L55" s="214"/>
      <c r="M55" s="188"/>
    </row>
    <row r="56" spans="1:13" ht="18" customHeight="1" x14ac:dyDescent="0.25">
      <c r="A56" s="188"/>
      <c r="B56" s="221"/>
      <c r="C56" s="221"/>
      <c r="D56" s="222"/>
      <c r="E56" s="211"/>
      <c r="F56" s="214"/>
      <c r="G56" s="216"/>
      <c r="H56" s="221"/>
      <c r="I56" s="221"/>
      <c r="J56" s="222"/>
      <c r="K56" s="211"/>
      <c r="L56" s="214"/>
      <c r="M56" s="188"/>
    </row>
    <row r="57" spans="1:13" ht="18" customHeight="1" x14ac:dyDescent="0.25">
      <c r="A57" s="188"/>
      <c r="B57" s="221"/>
      <c r="C57" s="221"/>
      <c r="D57" s="222"/>
      <c r="E57" s="211"/>
      <c r="F57" s="214"/>
      <c r="G57" s="216"/>
      <c r="H57" s="221"/>
      <c r="I57" s="221"/>
      <c r="J57" s="222"/>
      <c r="K57" s="211"/>
      <c r="L57" s="214"/>
      <c r="M57" s="188"/>
    </row>
    <row r="58" spans="1:13" ht="18" customHeight="1" x14ac:dyDescent="0.25">
      <c r="A58" s="188"/>
      <c r="B58" s="221"/>
      <c r="C58" s="221"/>
      <c r="D58" s="222"/>
      <c r="E58" s="211"/>
      <c r="F58" s="214"/>
      <c r="G58" s="216"/>
      <c r="H58" s="221"/>
      <c r="I58" s="221"/>
      <c r="J58" s="222"/>
      <c r="K58" s="211"/>
      <c r="L58" s="214"/>
      <c r="M58" s="188"/>
    </row>
    <row r="59" spans="1:13" ht="18" customHeight="1" x14ac:dyDescent="0.25">
      <c r="A59" s="188"/>
      <c r="B59" s="221"/>
      <c r="C59" s="221"/>
      <c r="D59" s="222"/>
      <c r="E59" s="211"/>
      <c r="F59" s="214"/>
      <c r="G59" s="216"/>
      <c r="H59" s="221"/>
      <c r="I59" s="221"/>
      <c r="J59" s="222"/>
      <c r="K59" s="211"/>
      <c r="L59" s="214"/>
      <c r="M59" s="188"/>
    </row>
    <row r="60" spans="1:13" ht="18" customHeight="1" x14ac:dyDescent="0.25">
      <c r="A60" s="188"/>
      <c r="B60" s="221"/>
      <c r="C60" s="221"/>
      <c r="D60" s="222"/>
      <c r="E60" s="211"/>
      <c r="F60" s="214"/>
      <c r="G60" s="216"/>
      <c r="H60" s="221"/>
      <c r="I60" s="221"/>
      <c r="J60" s="222"/>
      <c r="K60" s="211"/>
      <c r="L60" s="214"/>
      <c r="M60" s="188"/>
    </row>
    <row r="61" spans="1:13" ht="18" customHeight="1" x14ac:dyDescent="0.25">
      <c r="A61" s="188"/>
      <c r="B61" s="221"/>
      <c r="C61" s="221"/>
      <c r="D61" s="222"/>
      <c r="E61" s="211"/>
      <c r="F61" s="214"/>
      <c r="G61" s="216"/>
      <c r="H61" s="221"/>
      <c r="I61" s="221"/>
      <c r="J61" s="222"/>
      <c r="K61" s="211"/>
      <c r="L61" s="214"/>
      <c r="M61" s="188"/>
    </row>
    <row r="62" spans="1:13" ht="18" customHeight="1" x14ac:dyDescent="0.25">
      <c r="A62" s="188"/>
      <c r="B62" s="221"/>
      <c r="C62" s="221"/>
      <c r="D62" s="222"/>
      <c r="E62" s="211"/>
      <c r="F62" s="214"/>
      <c r="G62" s="216"/>
      <c r="H62" s="221"/>
      <c r="I62" s="221"/>
      <c r="J62" s="222"/>
      <c r="K62" s="211"/>
      <c r="L62" s="214"/>
      <c r="M62" s="188"/>
    </row>
    <row r="63" spans="1:13" ht="18" customHeight="1" x14ac:dyDescent="0.25">
      <c r="A63" s="188"/>
      <c r="B63" s="221"/>
      <c r="C63" s="221"/>
      <c r="D63" s="222"/>
      <c r="E63" s="211"/>
      <c r="F63" s="214"/>
      <c r="G63" s="216"/>
      <c r="H63" s="221"/>
      <c r="I63" s="221"/>
      <c r="J63" s="222"/>
      <c r="K63" s="211"/>
      <c r="L63" s="214"/>
      <c r="M63" s="188"/>
    </row>
    <row r="64" spans="1:13" ht="18" customHeight="1" x14ac:dyDescent="0.25">
      <c r="A64" s="188"/>
      <c r="B64" s="221"/>
      <c r="C64" s="221"/>
      <c r="D64" s="222"/>
      <c r="E64" s="211"/>
      <c r="F64" s="214"/>
      <c r="G64" s="216"/>
      <c r="H64" s="221"/>
      <c r="I64" s="221"/>
      <c r="J64" s="222"/>
      <c r="K64" s="211"/>
      <c r="L64" s="214"/>
      <c r="M64" s="188"/>
    </row>
    <row r="65" spans="1:13" ht="18" customHeight="1" x14ac:dyDescent="0.25">
      <c r="A65" s="188"/>
      <c r="B65" s="221"/>
      <c r="C65" s="221"/>
      <c r="D65" s="222"/>
      <c r="E65" s="211"/>
      <c r="F65" s="214"/>
      <c r="G65" s="216"/>
      <c r="H65" s="221"/>
      <c r="I65" s="221"/>
      <c r="J65" s="222"/>
      <c r="K65" s="211"/>
      <c r="L65" s="214"/>
      <c r="M65" s="188"/>
    </row>
    <row r="66" spans="1:13" ht="18" customHeight="1" x14ac:dyDescent="0.25">
      <c r="A66" s="188"/>
      <c r="B66" s="221"/>
      <c r="C66" s="221"/>
      <c r="D66" s="222"/>
      <c r="E66" s="211"/>
      <c r="F66" s="214"/>
      <c r="G66" s="216"/>
      <c r="H66" s="221"/>
      <c r="I66" s="221"/>
      <c r="J66" s="222"/>
      <c r="K66" s="211"/>
      <c r="L66" s="214"/>
      <c r="M66" s="188"/>
    </row>
    <row r="67" spans="1:13" ht="18" customHeight="1" x14ac:dyDescent="0.25">
      <c r="A67" s="188"/>
      <c r="B67" s="221"/>
      <c r="C67" s="221"/>
      <c r="D67" s="222"/>
      <c r="E67" s="211"/>
      <c r="F67" s="214"/>
      <c r="G67" s="216"/>
      <c r="H67" s="221"/>
      <c r="I67" s="221"/>
      <c r="J67" s="222"/>
      <c r="K67" s="211"/>
      <c r="L67" s="214"/>
      <c r="M67" s="188"/>
    </row>
    <row r="68" spans="1:13" ht="18" customHeight="1" x14ac:dyDescent="0.25">
      <c r="A68" s="188"/>
      <c r="B68" s="221"/>
      <c r="C68" s="221"/>
      <c r="D68" s="222"/>
      <c r="E68" s="211"/>
      <c r="F68" s="214"/>
      <c r="G68" s="216"/>
      <c r="H68" s="221"/>
      <c r="I68" s="221"/>
      <c r="J68" s="222"/>
      <c r="K68" s="211"/>
      <c r="L68" s="214"/>
      <c r="M68" s="188"/>
    </row>
    <row r="69" spans="1:13" ht="18" customHeight="1" x14ac:dyDescent="0.25">
      <c r="A69" s="188"/>
      <c r="B69" s="221"/>
      <c r="C69" s="221"/>
      <c r="D69" s="222"/>
      <c r="E69" s="211"/>
      <c r="F69" s="214"/>
      <c r="G69" s="216"/>
      <c r="H69" s="221"/>
      <c r="I69" s="221"/>
      <c r="J69" s="222"/>
      <c r="K69" s="211"/>
      <c r="L69" s="214"/>
      <c r="M69" s="188"/>
    </row>
    <row r="70" spans="1:13" ht="18" customHeight="1" x14ac:dyDescent="0.25">
      <c r="A70" s="188"/>
      <c r="B70" s="221"/>
      <c r="C70" s="221"/>
      <c r="D70" s="222"/>
      <c r="E70" s="211"/>
      <c r="F70" s="214"/>
      <c r="G70" s="216"/>
      <c r="H70" s="221"/>
      <c r="I70" s="221"/>
      <c r="J70" s="222"/>
      <c r="K70" s="211"/>
      <c r="L70" s="214"/>
      <c r="M70" s="188"/>
    </row>
    <row r="71" spans="1:13" ht="18" customHeight="1" x14ac:dyDescent="0.25">
      <c r="A71" s="188"/>
      <c r="B71" s="221"/>
      <c r="C71" s="221"/>
      <c r="D71" s="222"/>
      <c r="E71" s="211"/>
      <c r="F71" s="214"/>
      <c r="G71" s="216"/>
      <c r="H71" s="221"/>
      <c r="I71" s="221"/>
      <c r="J71" s="222"/>
      <c r="K71" s="211"/>
      <c r="L71" s="214"/>
      <c r="M71" s="188"/>
    </row>
    <row r="72" spans="1:13" ht="18" customHeight="1" x14ac:dyDescent="0.25">
      <c r="A72" s="188"/>
      <c r="B72" s="221"/>
      <c r="C72" s="221"/>
      <c r="D72" s="222"/>
      <c r="E72" s="211"/>
      <c r="F72" s="214"/>
      <c r="G72" s="216"/>
      <c r="H72" s="221"/>
      <c r="I72" s="221"/>
      <c r="J72" s="222"/>
      <c r="K72" s="211"/>
      <c r="L72" s="214"/>
      <c r="M72" s="188"/>
    </row>
    <row r="73" spans="1:13" ht="18" customHeight="1" x14ac:dyDescent="0.25">
      <c r="A73" s="188"/>
      <c r="B73" s="221"/>
      <c r="C73" s="221"/>
      <c r="D73" s="222"/>
      <c r="E73" s="211"/>
      <c r="F73" s="214"/>
      <c r="G73" s="216"/>
      <c r="H73" s="221"/>
      <c r="I73" s="221"/>
      <c r="J73" s="222"/>
      <c r="K73" s="211"/>
      <c r="L73" s="214"/>
      <c r="M73" s="188"/>
    </row>
    <row r="74" spans="1:13" ht="18" customHeight="1" x14ac:dyDescent="0.25">
      <c r="A74" s="188"/>
      <c r="B74" s="221"/>
      <c r="C74" s="221"/>
      <c r="D74" s="222"/>
      <c r="E74" s="211"/>
      <c r="F74" s="214"/>
      <c r="G74" s="216"/>
      <c r="H74" s="221"/>
      <c r="I74" s="221"/>
      <c r="J74" s="222"/>
      <c r="K74" s="211"/>
      <c r="L74" s="214"/>
      <c r="M74" s="188"/>
    </row>
    <row r="75" spans="1:13" ht="18" customHeight="1" x14ac:dyDescent="0.25">
      <c r="A75" s="188"/>
      <c r="B75" s="221"/>
      <c r="C75" s="221"/>
      <c r="D75" s="222"/>
      <c r="E75" s="211"/>
      <c r="F75" s="214"/>
      <c r="G75" s="216"/>
      <c r="H75" s="221"/>
      <c r="I75" s="221"/>
      <c r="J75" s="222"/>
      <c r="K75" s="211"/>
      <c r="L75" s="214"/>
      <c r="M75" s="188"/>
    </row>
    <row r="76" spans="1:13" ht="18" customHeight="1" x14ac:dyDescent="0.25">
      <c r="A76" s="188"/>
      <c r="B76" s="221"/>
      <c r="C76" s="221"/>
      <c r="D76" s="222"/>
      <c r="E76" s="211"/>
      <c r="F76" s="214"/>
      <c r="G76" s="216"/>
      <c r="H76" s="221"/>
      <c r="I76" s="221"/>
      <c r="J76" s="222"/>
      <c r="K76" s="211"/>
      <c r="L76" s="214"/>
      <c r="M76" s="188"/>
    </row>
    <row r="77" spans="1:13" ht="18" customHeight="1" x14ac:dyDescent="0.25">
      <c r="A77" s="188"/>
      <c r="B77" s="221"/>
      <c r="C77" s="221"/>
      <c r="D77" s="222"/>
      <c r="E77" s="211"/>
      <c r="F77" s="214"/>
      <c r="G77" s="216"/>
      <c r="H77" s="221"/>
      <c r="I77" s="221"/>
      <c r="J77" s="222"/>
      <c r="K77" s="211"/>
      <c r="L77" s="214"/>
      <c r="M77" s="188"/>
    </row>
    <row r="78" spans="1:13" ht="18" customHeight="1" x14ac:dyDescent="0.25">
      <c r="A78" s="188"/>
      <c r="B78" s="221"/>
      <c r="C78" s="221"/>
      <c r="D78" s="222"/>
      <c r="E78" s="211"/>
      <c r="F78" s="214"/>
      <c r="G78" s="216"/>
      <c r="H78" s="221"/>
      <c r="I78" s="221"/>
      <c r="J78" s="222"/>
      <c r="K78" s="211"/>
      <c r="L78" s="214"/>
      <c r="M78" s="188"/>
    </row>
    <row r="79" spans="1:13" ht="18" customHeight="1" x14ac:dyDescent="0.25">
      <c r="A79" s="188"/>
      <c r="B79" s="221"/>
      <c r="C79" s="221"/>
      <c r="D79" s="222"/>
      <c r="E79" s="211"/>
      <c r="F79" s="214"/>
      <c r="G79" s="216"/>
      <c r="H79" s="221"/>
      <c r="I79" s="221"/>
      <c r="J79" s="222"/>
      <c r="K79" s="211"/>
      <c r="L79" s="214"/>
      <c r="M79" s="188"/>
    </row>
    <row r="80" spans="1:13" ht="18" customHeight="1" x14ac:dyDescent="0.25">
      <c r="A80" s="188"/>
      <c r="B80" s="221"/>
      <c r="C80" s="221"/>
      <c r="D80" s="222"/>
      <c r="E80" s="211"/>
      <c r="F80" s="214"/>
      <c r="G80" s="216"/>
      <c r="H80" s="221"/>
      <c r="I80" s="221"/>
      <c r="J80" s="222"/>
      <c r="K80" s="211"/>
      <c r="L80" s="214"/>
      <c r="M80" s="188"/>
    </row>
    <row r="81" spans="1:13" ht="18" customHeight="1" x14ac:dyDescent="0.25">
      <c r="A81" s="188"/>
      <c r="B81" s="221"/>
      <c r="C81" s="221"/>
      <c r="D81" s="222"/>
      <c r="E81" s="211"/>
      <c r="F81" s="214"/>
      <c r="G81" s="216"/>
      <c r="H81" s="221"/>
      <c r="I81" s="221"/>
      <c r="J81" s="222"/>
      <c r="K81" s="211"/>
      <c r="L81" s="214"/>
      <c r="M81" s="188"/>
    </row>
    <row r="82" spans="1:13" ht="18" customHeight="1" x14ac:dyDescent="0.25">
      <c r="A82" s="188"/>
      <c r="B82" s="221"/>
      <c r="C82" s="221"/>
      <c r="D82" s="222"/>
      <c r="E82" s="211"/>
      <c r="F82" s="214"/>
      <c r="G82" s="216"/>
      <c r="H82" s="221"/>
      <c r="I82" s="221"/>
      <c r="J82" s="222"/>
      <c r="K82" s="211"/>
      <c r="L82" s="214"/>
      <c r="M82" s="188"/>
    </row>
    <row r="83" spans="1:13" ht="18" customHeight="1" x14ac:dyDescent="0.25">
      <c r="A83" s="188"/>
      <c r="B83" s="221"/>
      <c r="C83" s="221"/>
      <c r="D83" s="222"/>
      <c r="E83" s="211"/>
      <c r="F83" s="214"/>
      <c r="G83" s="216"/>
      <c r="H83" s="221"/>
      <c r="I83" s="221"/>
      <c r="J83" s="222"/>
      <c r="K83" s="211"/>
      <c r="L83" s="214"/>
      <c r="M83" s="188"/>
    </row>
    <row r="84" spans="1:13" ht="18" customHeight="1" x14ac:dyDescent="0.25">
      <c r="A84" s="188"/>
      <c r="B84" s="221"/>
      <c r="C84" s="221"/>
      <c r="D84" s="222"/>
      <c r="E84" s="211"/>
      <c r="F84" s="214"/>
      <c r="G84" s="216"/>
      <c r="H84" s="221"/>
      <c r="I84" s="221"/>
      <c r="J84" s="222"/>
      <c r="K84" s="211"/>
      <c r="L84" s="214"/>
      <c r="M84" s="188"/>
    </row>
    <row r="85" spans="1:13" ht="18" customHeight="1" x14ac:dyDescent="0.25">
      <c r="A85" s="188"/>
      <c r="B85" s="221"/>
      <c r="C85" s="221"/>
      <c r="D85" s="222"/>
      <c r="E85" s="211"/>
      <c r="F85" s="214"/>
      <c r="G85" s="216"/>
      <c r="H85" s="221"/>
      <c r="I85" s="221"/>
      <c r="J85" s="222"/>
      <c r="K85" s="211"/>
      <c r="L85" s="214"/>
      <c r="M85" s="188"/>
    </row>
    <row r="86" spans="1:13" ht="18" customHeight="1" x14ac:dyDescent="0.25">
      <c r="A86" s="188"/>
      <c r="B86" s="221"/>
      <c r="C86" s="221"/>
      <c r="D86" s="222"/>
      <c r="E86" s="211"/>
      <c r="F86" s="214"/>
      <c r="G86" s="216"/>
      <c r="H86" s="221"/>
      <c r="I86" s="221"/>
      <c r="J86" s="222"/>
      <c r="K86" s="211"/>
      <c r="L86" s="214"/>
      <c r="M86" s="188"/>
    </row>
    <row r="87" spans="1:13" ht="18" customHeight="1" x14ac:dyDescent="0.25">
      <c r="A87" s="188"/>
      <c r="B87" s="221"/>
      <c r="C87" s="221"/>
      <c r="D87" s="222"/>
      <c r="E87" s="211"/>
      <c r="F87" s="214"/>
      <c r="G87" s="216"/>
      <c r="H87" s="221"/>
      <c r="I87" s="221"/>
      <c r="J87" s="222"/>
      <c r="K87" s="211"/>
      <c r="L87" s="214"/>
      <c r="M87" s="188"/>
    </row>
    <row r="88" spans="1:13" ht="18" customHeight="1" x14ac:dyDescent="0.25">
      <c r="A88" s="188"/>
      <c r="B88" s="221"/>
      <c r="C88" s="221"/>
      <c r="D88" s="222"/>
      <c r="E88" s="211"/>
      <c r="F88" s="214"/>
      <c r="G88" s="216"/>
      <c r="H88" s="221"/>
      <c r="I88" s="221"/>
      <c r="J88" s="222"/>
      <c r="K88" s="211"/>
      <c r="L88" s="214"/>
      <c r="M88" s="188"/>
    </row>
    <row r="89" spans="1:13" ht="18" customHeight="1" x14ac:dyDescent="0.25">
      <c r="A89" s="188"/>
      <c r="B89" s="221"/>
      <c r="C89" s="221"/>
      <c r="D89" s="222"/>
      <c r="E89" s="211"/>
      <c r="F89" s="214"/>
      <c r="G89" s="216"/>
      <c r="H89" s="221"/>
      <c r="I89" s="221"/>
      <c r="J89" s="222"/>
      <c r="K89" s="211"/>
      <c r="L89" s="214"/>
      <c r="M89" s="188"/>
    </row>
    <row r="90" spans="1:13" ht="18" customHeight="1" x14ac:dyDescent="0.25">
      <c r="A90" s="188"/>
      <c r="B90" s="221"/>
      <c r="C90" s="221"/>
      <c r="D90" s="222"/>
      <c r="E90" s="211"/>
      <c r="F90" s="214"/>
      <c r="G90" s="216"/>
      <c r="H90" s="221"/>
      <c r="I90" s="221"/>
      <c r="J90" s="222"/>
      <c r="K90" s="211"/>
      <c r="L90" s="214"/>
      <c r="M90" s="188"/>
    </row>
    <row r="91" spans="1:13" ht="18" customHeight="1" x14ac:dyDescent="0.25">
      <c r="A91" s="188"/>
      <c r="B91" s="221"/>
      <c r="C91" s="221"/>
      <c r="D91" s="222"/>
      <c r="E91" s="211"/>
      <c r="F91" s="214"/>
      <c r="G91" s="216"/>
      <c r="H91" s="221"/>
      <c r="I91" s="221"/>
      <c r="J91" s="222"/>
      <c r="K91" s="211"/>
      <c r="L91" s="214"/>
      <c r="M91" s="188"/>
    </row>
    <row r="92" spans="1:13" ht="18" customHeight="1" x14ac:dyDescent="0.25">
      <c r="A92" s="188"/>
      <c r="B92" s="221"/>
      <c r="C92" s="221"/>
      <c r="D92" s="222"/>
      <c r="E92" s="211"/>
      <c r="F92" s="214"/>
      <c r="G92" s="216"/>
      <c r="H92" s="221"/>
      <c r="I92" s="221"/>
      <c r="J92" s="222"/>
      <c r="K92" s="211"/>
      <c r="L92" s="214"/>
      <c r="M92" s="188"/>
    </row>
    <row r="93" spans="1:13" ht="18" customHeight="1" x14ac:dyDescent="0.25">
      <c r="A93" s="188"/>
      <c r="B93" s="221"/>
      <c r="C93" s="221"/>
      <c r="D93" s="222"/>
      <c r="E93" s="211"/>
      <c r="F93" s="214"/>
      <c r="G93" s="216"/>
      <c r="H93" s="221"/>
      <c r="I93" s="221"/>
      <c r="J93" s="222"/>
      <c r="K93" s="211"/>
      <c r="L93" s="214"/>
      <c r="M93" s="188"/>
    </row>
    <row r="94" spans="1:13" ht="18" customHeight="1" x14ac:dyDescent="0.25">
      <c r="A94" s="188"/>
      <c r="B94" s="221"/>
      <c r="C94" s="221"/>
      <c r="D94" s="222"/>
      <c r="E94" s="211"/>
      <c r="F94" s="214"/>
      <c r="G94" s="216"/>
      <c r="H94" s="221"/>
      <c r="I94" s="221"/>
      <c r="J94" s="222"/>
      <c r="K94" s="211"/>
      <c r="L94" s="214"/>
      <c r="M94" s="188"/>
    </row>
    <row r="95" spans="1:13" ht="18" customHeight="1" x14ac:dyDescent="0.25">
      <c r="A95" s="188"/>
      <c r="B95" s="221"/>
      <c r="C95" s="221"/>
      <c r="D95" s="222"/>
      <c r="E95" s="211"/>
      <c r="F95" s="214"/>
      <c r="G95" s="216"/>
      <c r="H95" s="221"/>
      <c r="I95" s="221"/>
      <c r="J95" s="222"/>
      <c r="K95" s="211"/>
      <c r="L95" s="214"/>
      <c r="M95" s="188"/>
    </row>
    <row r="96" spans="1:13" ht="18" customHeight="1" x14ac:dyDescent="0.25">
      <c r="A96" s="188"/>
      <c r="B96" s="221"/>
      <c r="C96" s="221"/>
      <c r="D96" s="222"/>
      <c r="E96" s="211"/>
      <c r="F96" s="214"/>
      <c r="G96" s="216"/>
      <c r="H96" s="221"/>
      <c r="I96" s="221"/>
      <c r="J96" s="222"/>
      <c r="K96" s="211"/>
      <c r="L96" s="214"/>
      <c r="M96" s="188"/>
    </row>
    <row r="97" spans="1:13" ht="18" customHeight="1" x14ac:dyDescent="0.25">
      <c r="A97" s="188"/>
      <c r="B97" s="221"/>
      <c r="C97" s="221"/>
      <c r="D97" s="222"/>
      <c r="E97" s="211"/>
      <c r="F97" s="214"/>
      <c r="G97" s="216"/>
      <c r="H97" s="221"/>
      <c r="I97" s="221"/>
      <c r="J97" s="222"/>
      <c r="K97" s="211"/>
      <c r="L97" s="214"/>
      <c r="M97" s="188"/>
    </row>
    <row r="98" spans="1:13" ht="18" customHeight="1" x14ac:dyDescent="0.25">
      <c r="A98" s="188"/>
      <c r="B98" s="221"/>
      <c r="C98" s="221"/>
      <c r="D98" s="222"/>
      <c r="E98" s="211"/>
      <c r="F98" s="214"/>
      <c r="G98" s="216"/>
      <c r="H98" s="221"/>
      <c r="I98" s="221"/>
      <c r="J98" s="222"/>
      <c r="K98" s="211"/>
      <c r="L98" s="214"/>
      <c r="M98" s="188"/>
    </row>
    <row r="99" spans="1:13" ht="18" customHeight="1" x14ac:dyDescent="0.25">
      <c r="A99" s="188"/>
      <c r="B99" s="221"/>
      <c r="C99" s="221"/>
      <c r="D99" s="222"/>
      <c r="E99" s="211"/>
      <c r="F99" s="214"/>
      <c r="G99" s="216"/>
      <c r="H99" s="221"/>
      <c r="I99" s="221"/>
      <c r="J99" s="222"/>
      <c r="K99" s="211"/>
      <c r="L99" s="214"/>
      <c r="M99" s="188"/>
    </row>
    <row r="100" spans="1:13" ht="18" customHeight="1" x14ac:dyDescent="0.25">
      <c r="A100" s="188"/>
      <c r="B100" s="221"/>
      <c r="C100" s="221"/>
      <c r="D100" s="222"/>
      <c r="E100" s="211"/>
      <c r="F100" s="214"/>
      <c r="G100" s="216"/>
      <c r="H100" s="221"/>
      <c r="I100" s="221"/>
      <c r="J100" s="222"/>
      <c r="K100" s="211"/>
      <c r="L100" s="214"/>
      <c r="M100" s="188"/>
    </row>
    <row r="101" spans="1:13" ht="18" customHeight="1" x14ac:dyDescent="0.25">
      <c r="A101" s="188"/>
      <c r="B101" s="221"/>
      <c r="C101" s="221"/>
      <c r="D101" s="222"/>
      <c r="E101" s="211"/>
      <c r="F101" s="214"/>
      <c r="G101" s="216"/>
      <c r="H101" s="221"/>
      <c r="I101" s="221"/>
      <c r="J101" s="222"/>
      <c r="K101" s="211"/>
      <c r="L101" s="214"/>
      <c r="M101" s="188"/>
    </row>
    <row r="102" spans="1:13" ht="18" customHeight="1" x14ac:dyDescent="0.25">
      <c r="A102" s="188"/>
      <c r="B102" s="221"/>
      <c r="C102" s="221"/>
      <c r="D102" s="222"/>
      <c r="E102" s="211"/>
      <c r="F102" s="214"/>
      <c r="G102" s="216"/>
      <c r="H102" s="221"/>
      <c r="I102" s="221"/>
      <c r="J102" s="222"/>
      <c r="K102" s="211"/>
      <c r="L102" s="214"/>
      <c r="M102" s="188"/>
    </row>
    <row r="103" spans="1:13" ht="18" customHeight="1" x14ac:dyDescent="0.25">
      <c r="A103" s="188"/>
      <c r="B103" s="221"/>
      <c r="C103" s="221"/>
      <c r="D103" s="222"/>
      <c r="E103" s="211"/>
      <c r="F103" s="214"/>
      <c r="G103" s="216"/>
      <c r="H103" s="221"/>
      <c r="I103" s="221"/>
      <c r="J103" s="222"/>
      <c r="K103" s="211"/>
      <c r="L103" s="214"/>
      <c r="M103" s="188"/>
    </row>
    <row r="104" spans="1:13" ht="18" customHeight="1" x14ac:dyDescent="0.25">
      <c r="A104" s="188"/>
      <c r="B104" s="221"/>
      <c r="C104" s="221"/>
      <c r="D104" s="222"/>
      <c r="E104" s="211"/>
      <c r="F104" s="214"/>
      <c r="G104" s="216"/>
      <c r="H104" s="221"/>
      <c r="I104" s="221"/>
      <c r="J104" s="222"/>
      <c r="K104" s="211"/>
      <c r="L104" s="214"/>
      <c r="M104" s="188"/>
    </row>
    <row r="105" spans="1:13" ht="18" customHeight="1" x14ac:dyDescent="0.25">
      <c r="A105" s="188"/>
      <c r="B105" s="221"/>
      <c r="C105" s="221"/>
      <c r="D105" s="222"/>
      <c r="E105" s="211"/>
      <c r="F105" s="214"/>
      <c r="G105" s="216"/>
      <c r="H105" s="221"/>
      <c r="I105" s="221"/>
      <c r="J105" s="222"/>
      <c r="K105" s="211"/>
      <c r="L105" s="214"/>
      <c r="M105" s="188"/>
    </row>
    <row r="106" spans="1:13" ht="18" customHeight="1" x14ac:dyDescent="0.25">
      <c r="A106" s="188"/>
      <c r="B106" s="221"/>
      <c r="C106" s="221"/>
      <c r="D106" s="222"/>
      <c r="E106" s="211"/>
      <c r="F106" s="214"/>
      <c r="G106" s="216"/>
      <c r="H106" s="221"/>
      <c r="I106" s="221"/>
      <c r="J106" s="222"/>
      <c r="K106" s="211"/>
      <c r="L106" s="214"/>
      <c r="M106" s="188"/>
    </row>
    <row r="107" spans="1:13" ht="18" customHeight="1" x14ac:dyDescent="0.25">
      <c r="A107" s="188"/>
      <c r="B107" s="221"/>
      <c r="C107" s="221"/>
      <c r="D107" s="222"/>
      <c r="E107" s="211"/>
      <c r="F107" s="214"/>
      <c r="G107" s="216"/>
      <c r="H107" s="221"/>
      <c r="I107" s="221"/>
      <c r="J107" s="222"/>
      <c r="K107" s="211"/>
      <c r="L107" s="214"/>
      <c r="M107" s="188"/>
    </row>
    <row r="108" spans="1:13" ht="18" customHeight="1" x14ac:dyDescent="0.25">
      <c r="A108" s="188"/>
      <c r="B108" s="221"/>
      <c r="C108" s="221"/>
      <c r="D108" s="222"/>
      <c r="E108" s="211"/>
      <c r="F108" s="214"/>
      <c r="G108" s="216"/>
      <c r="H108" s="221"/>
      <c r="I108" s="221"/>
      <c r="J108" s="222"/>
      <c r="K108" s="211"/>
      <c r="L108" s="214"/>
      <c r="M108" s="188"/>
    </row>
    <row r="109" spans="1:13" ht="18" customHeight="1" x14ac:dyDescent="0.25">
      <c r="A109" s="188"/>
      <c r="B109" s="221"/>
      <c r="C109" s="221"/>
      <c r="D109" s="222"/>
      <c r="E109" s="211"/>
      <c r="F109" s="214"/>
      <c r="G109" s="216"/>
      <c r="H109" s="221"/>
      <c r="I109" s="221"/>
      <c r="J109" s="222"/>
      <c r="K109" s="211"/>
      <c r="L109" s="214"/>
      <c r="M109" s="188"/>
    </row>
    <row r="110" spans="1:13" ht="18" customHeight="1" x14ac:dyDescent="0.25">
      <c r="A110" s="188"/>
      <c r="B110" s="221"/>
      <c r="C110" s="221"/>
      <c r="D110" s="222"/>
      <c r="E110" s="211"/>
      <c r="F110" s="214"/>
      <c r="G110" s="216"/>
      <c r="H110" s="221"/>
      <c r="I110" s="221"/>
      <c r="J110" s="222"/>
      <c r="K110" s="211"/>
      <c r="L110" s="214"/>
      <c r="M110" s="188"/>
    </row>
    <row r="111" spans="1:13" ht="18" customHeight="1" x14ac:dyDescent="0.25">
      <c r="A111" s="188"/>
      <c r="B111" s="221"/>
      <c r="C111" s="221"/>
      <c r="D111" s="222"/>
      <c r="E111" s="211"/>
      <c r="F111" s="214"/>
      <c r="G111" s="216"/>
      <c r="H111" s="221"/>
      <c r="I111" s="221"/>
      <c r="J111" s="222"/>
      <c r="K111" s="211"/>
      <c r="L111" s="214"/>
      <c r="M111" s="188"/>
    </row>
    <row r="112" spans="1:13" ht="18" customHeight="1" x14ac:dyDescent="0.25">
      <c r="A112" s="188"/>
      <c r="B112" s="221"/>
      <c r="C112" s="221"/>
      <c r="D112" s="222"/>
      <c r="E112" s="211"/>
      <c r="F112" s="214"/>
      <c r="G112" s="216"/>
      <c r="H112" s="221"/>
      <c r="I112" s="221"/>
      <c r="J112" s="222"/>
      <c r="K112" s="211"/>
      <c r="L112" s="214"/>
      <c r="M112" s="188"/>
    </row>
    <row r="113" spans="1:13" ht="18" customHeight="1" x14ac:dyDescent="0.25">
      <c r="A113" s="188"/>
      <c r="B113" s="221"/>
      <c r="C113" s="221"/>
      <c r="D113" s="222"/>
      <c r="E113" s="211"/>
      <c r="F113" s="214"/>
      <c r="G113" s="216"/>
      <c r="H113" s="221"/>
      <c r="I113" s="221"/>
      <c r="J113" s="222"/>
      <c r="K113" s="211"/>
      <c r="L113" s="214"/>
      <c r="M113" s="188"/>
    </row>
    <row r="114" spans="1:13" ht="18" customHeight="1" x14ac:dyDescent="0.25">
      <c r="A114" s="188"/>
      <c r="B114" s="221"/>
      <c r="C114" s="221"/>
      <c r="D114" s="222"/>
      <c r="E114" s="211"/>
      <c r="F114" s="214"/>
      <c r="G114" s="216"/>
      <c r="H114" s="221"/>
      <c r="I114" s="221"/>
      <c r="J114" s="222"/>
      <c r="K114" s="211"/>
      <c r="L114" s="214"/>
      <c r="M114" s="188"/>
    </row>
    <row r="115" spans="1:13" ht="18" customHeight="1" x14ac:dyDescent="0.25">
      <c r="A115" s="188"/>
      <c r="B115" s="221"/>
      <c r="C115" s="221"/>
      <c r="D115" s="222"/>
      <c r="E115" s="211"/>
      <c r="F115" s="214"/>
      <c r="G115" s="216"/>
      <c r="H115" s="221"/>
      <c r="I115" s="221"/>
      <c r="J115" s="222"/>
      <c r="K115" s="211"/>
      <c r="L115" s="214"/>
      <c r="M115" s="188"/>
    </row>
    <row r="116" spans="1:13" ht="18" customHeight="1" x14ac:dyDescent="0.25">
      <c r="A116" s="188"/>
      <c r="B116" s="221"/>
      <c r="C116" s="221"/>
      <c r="D116" s="222"/>
      <c r="E116" s="211"/>
      <c r="F116" s="214"/>
      <c r="G116" s="216"/>
      <c r="H116" s="221"/>
      <c r="I116" s="221"/>
      <c r="J116" s="222"/>
      <c r="K116" s="211"/>
      <c r="L116" s="214"/>
      <c r="M116" s="188"/>
    </row>
    <row r="117" spans="1:13" ht="18" customHeight="1" x14ac:dyDescent="0.25">
      <c r="A117" s="188"/>
      <c r="B117" s="221"/>
      <c r="C117" s="221"/>
      <c r="D117" s="222"/>
      <c r="E117" s="211"/>
      <c r="F117" s="214"/>
      <c r="G117" s="216"/>
      <c r="H117" s="221"/>
      <c r="I117" s="221"/>
      <c r="J117" s="222"/>
      <c r="K117" s="211"/>
      <c r="L117" s="214"/>
      <c r="M117" s="188"/>
    </row>
    <row r="118" spans="1:13" ht="18" customHeight="1" x14ac:dyDescent="0.25">
      <c r="A118" s="188"/>
      <c r="B118" s="221"/>
      <c r="C118" s="221"/>
      <c r="D118" s="222"/>
      <c r="E118" s="211"/>
      <c r="F118" s="214"/>
      <c r="G118" s="216"/>
      <c r="H118" s="221"/>
      <c r="I118" s="221"/>
      <c r="J118" s="222"/>
      <c r="K118" s="211"/>
      <c r="L118" s="214"/>
      <c r="M118" s="188"/>
    </row>
    <row r="119" spans="1:13" ht="18" customHeight="1" x14ac:dyDescent="0.25">
      <c r="A119" s="188"/>
      <c r="B119" s="221"/>
      <c r="C119" s="221"/>
      <c r="D119" s="222"/>
      <c r="E119" s="211"/>
      <c r="F119" s="214"/>
      <c r="G119" s="216"/>
      <c r="H119" s="221"/>
      <c r="I119" s="221"/>
      <c r="J119" s="222"/>
      <c r="K119" s="211"/>
      <c r="L119" s="214"/>
      <c r="M119" s="188"/>
    </row>
    <row r="120" spans="1:13" ht="18" customHeight="1" x14ac:dyDescent="0.25">
      <c r="A120" s="188"/>
      <c r="B120" s="221"/>
      <c r="C120" s="221"/>
      <c r="D120" s="222"/>
      <c r="E120" s="211"/>
      <c r="F120" s="214"/>
      <c r="G120" s="216"/>
      <c r="H120" s="221"/>
      <c r="I120" s="221"/>
      <c r="J120" s="222"/>
      <c r="K120" s="211"/>
      <c r="L120" s="214"/>
      <c r="M120" s="188"/>
    </row>
    <row r="121" spans="1:13" ht="18" customHeight="1" x14ac:dyDescent="0.25">
      <c r="A121" s="188"/>
      <c r="B121" s="221"/>
      <c r="C121" s="221"/>
      <c r="D121" s="222"/>
      <c r="E121" s="211"/>
      <c r="F121" s="214"/>
      <c r="G121" s="216"/>
      <c r="H121" s="221"/>
      <c r="I121" s="221"/>
      <c r="J121" s="222"/>
      <c r="K121" s="211"/>
      <c r="L121" s="214"/>
      <c r="M121" s="188"/>
    </row>
    <row r="122" spans="1:13" ht="18" customHeight="1" x14ac:dyDescent="0.25">
      <c r="A122" s="188"/>
      <c r="B122" s="221"/>
      <c r="C122" s="221"/>
      <c r="D122" s="222"/>
      <c r="E122" s="211"/>
      <c r="F122" s="214"/>
      <c r="G122" s="216"/>
      <c r="H122" s="221"/>
      <c r="I122" s="221"/>
      <c r="J122" s="222"/>
      <c r="K122" s="211"/>
      <c r="L122" s="214"/>
      <c r="M122" s="188"/>
    </row>
    <row r="123" spans="1:13" ht="18" customHeight="1" x14ac:dyDescent="0.25">
      <c r="A123" s="188"/>
      <c r="B123" s="221"/>
      <c r="C123" s="221"/>
      <c r="D123" s="222"/>
      <c r="E123" s="211"/>
      <c r="F123" s="214"/>
      <c r="G123" s="216"/>
      <c r="H123" s="221"/>
      <c r="I123" s="221"/>
      <c r="J123" s="222"/>
      <c r="K123" s="211"/>
      <c r="L123" s="214"/>
      <c r="M123" s="188"/>
    </row>
    <row r="124" spans="1:13" ht="18" customHeight="1" x14ac:dyDescent="0.25">
      <c r="A124" s="188"/>
      <c r="B124" s="221"/>
      <c r="C124" s="221"/>
      <c r="D124" s="222"/>
      <c r="E124" s="211"/>
      <c r="F124" s="214"/>
      <c r="G124" s="216"/>
      <c r="H124" s="221"/>
      <c r="I124" s="221"/>
      <c r="J124" s="222"/>
      <c r="K124" s="211"/>
      <c r="L124" s="214"/>
      <c r="M124" s="188"/>
    </row>
    <row r="125" spans="1:13" ht="18" customHeight="1" x14ac:dyDescent="0.25">
      <c r="A125" s="188"/>
      <c r="B125" s="221"/>
      <c r="C125" s="221"/>
      <c r="D125" s="222"/>
      <c r="E125" s="211"/>
      <c r="F125" s="214"/>
      <c r="G125" s="216"/>
      <c r="H125" s="221"/>
      <c r="I125" s="221"/>
      <c r="J125" s="222"/>
      <c r="K125" s="211"/>
      <c r="L125" s="214"/>
      <c r="M125" s="188"/>
    </row>
    <row r="126" spans="1:13" ht="18" customHeight="1" x14ac:dyDescent="0.25">
      <c r="A126" s="188"/>
      <c r="B126" s="221"/>
      <c r="C126" s="221"/>
      <c r="D126" s="222"/>
      <c r="E126" s="211"/>
      <c r="F126" s="214"/>
      <c r="G126" s="216"/>
      <c r="H126" s="221"/>
      <c r="I126" s="221"/>
      <c r="J126" s="222"/>
      <c r="K126" s="211"/>
      <c r="L126" s="214"/>
      <c r="M126" s="188"/>
    </row>
    <row r="127" spans="1:13" ht="18" customHeight="1" x14ac:dyDescent="0.25">
      <c r="A127" s="188"/>
      <c r="B127" s="221"/>
      <c r="C127" s="221"/>
      <c r="D127" s="222"/>
      <c r="E127" s="211"/>
      <c r="F127" s="214"/>
      <c r="G127" s="216"/>
      <c r="H127" s="221"/>
      <c r="I127" s="221"/>
      <c r="J127" s="222"/>
      <c r="K127" s="211"/>
      <c r="L127" s="214"/>
      <c r="M127" s="188"/>
    </row>
    <row r="128" spans="1:13" ht="18" customHeight="1" x14ac:dyDescent="0.25">
      <c r="A128" s="188"/>
      <c r="B128" s="221"/>
      <c r="C128" s="221"/>
      <c r="D128" s="222"/>
      <c r="E128" s="211"/>
      <c r="F128" s="214"/>
      <c r="G128" s="216"/>
      <c r="H128" s="221"/>
      <c r="I128" s="221"/>
      <c r="J128" s="222"/>
      <c r="K128" s="211"/>
      <c r="L128" s="214"/>
      <c r="M128" s="188"/>
    </row>
    <row r="129" spans="1:13" ht="18" customHeight="1" x14ac:dyDescent="0.25">
      <c r="A129" s="188"/>
      <c r="B129" s="221"/>
      <c r="C129" s="221"/>
      <c r="D129" s="222"/>
      <c r="E129" s="211"/>
      <c r="F129" s="214"/>
      <c r="G129" s="216"/>
      <c r="H129" s="221"/>
      <c r="I129" s="221"/>
      <c r="J129" s="222"/>
      <c r="K129" s="211"/>
      <c r="L129" s="214"/>
      <c r="M129" s="188"/>
    </row>
    <row r="130" spans="1:13" ht="18" customHeight="1" x14ac:dyDescent="0.25">
      <c r="A130" s="188"/>
      <c r="B130" s="221"/>
      <c r="C130" s="221"/>
      <c r="D130" s="222"/>
      <c r="E130" s="211"/>
      <c r="F130" s="214"/>
      <c r="G130" s="216"/>
      <c r="H130" s="221"/>
      <c r="I130" s="221"/>
      <c r="J130" s="222"/>
      <c r="K130" s="211"/>
      <c r="L130" s="214"/>
      <c r="M130" s="188"/>
    </row>
    <row r="131" spans="1:13" ht="18" customHeight="1" x14ac:dyDescent="0.25">
      <c r="A131" s="188"/>
      <c r="B131" s="221"/>
      <c r="C131" s="221"/>
      <c r="D131" s="222"/>
      <c r="E131" s="211"/>
      <c r="F131" s="214"/>
      <c r="G131" s="216"/>
      <c r="H131" s="221"/>
      <c r="I131" s="221"/>
      <c r="J131" s="222"/>
      <c r="K131" s="211"/>
      <c r="L131" s="214"/>
      <c r="M131" s="188"/>
    </row>
    <row r="132" spans="1:13" ht="18" customHeight="1" x14ac:dyDescent="0.25">
      <c r="A132" s="188"/>
      <c r="B132" s="221"/>
      <c r="C132" s="221"/>
      <c r="D132" s="222"/>
      <c r="E132" s="211"/>
      <c r="F132" s="214"/>
      <c r="G132" s="216"/>
      <c r="H132" s="221"/>
      <c r="I132" s="221"/>
      <c r="J132" s="222"/>
      <c r="K132" s="211"/>
      <c r="L132" s="214"/>
      <c r="M132" s="188"/>
    </row>
    <row r="133" spans="1:13" ht="18" customHeight="1" x14ac:dyDescent="0.25">
      <c r="A133" s="188"/>
      <c r="B133" s="221"/>
      <c r="C133" s="221"/>
      <c r="D133" s="222"/>
      <c r="E133" s="211"/>
      <c r="F133" s="214"/>
      <c r="G133" s="216"/>
      <c r="H133" s="221"/>
      <c r="I133" s="221"/>
      <c r="J133" s="222"/>
      <c r="K133" s="211"/>
      <c r="L133" s="214"/>
      <c r="M133" s="188"/>
    </row>
    <row r="134" spans="1:13" ht="18" customHeight="1" x14ac:dyDescent="0.25">
      <c r="A134" s="188"/>
      <c r="B134" s="221"/>
      <c r="C134" s="221"/>
      <c r="D134" s="222"/>
      <c r="E134" s="211"/>
      <c r="F134" s="214"/>
      <c r="G134" s="216"/>
      <c r="H134" s="221"/>
      <c r="I134" s="221"/>
      <c r="J134" s="222"/>
      <c r="K134" s="211"/>
      <c r="L134" s="214"/>
      <c r="M134" s="188"/>
    </row>
    <row r="135" spans="1:13" ht="18" customHeight="1" x14ac:dyDescent="0.25">
      <c r="A135" s="188"/>
      <c r="B135" s="221"/>
      <c r="C135" s="221"/>
      <c r="D135" s="222"/>
      <c r="E135" s="211"/>
      <c r="F135" s="214"/>
      <c r="G135" s="216"/>
      <c r="H135" s="221"/>
      <c r="I135" s="221"/>
      <c r="J135" s="222"/>
      <c r="K135" s="211"/>
      <c r="L135" s="214"/>
      <c r="M135" s="188"/>
    </row>
    <row r="136" spans="1:13" ht="18" customHeight="1" x14ac:dyDescent="0.25">
      <c r="A136" s="188"/>
      <c r="B136" s="221"/>
      <c r="C136" s="221"/>
      <c r="D136" s="222"/>
      <c r="E136" s="211"/>
      <c r="F136" s="214"/>
      <c r="G136" s="216"/>
      <c r="H136" s="221"/>
      <c r="I136" s="221"/>
      <c r="J136" s="222"/>
      <c r="K136" s="211"/>
      <c r="L136" s="214"/>
      <c r="M136" s="188"/>
    </row>
    <row r="137" spans="1:13" ht="18" customHeight="1" x14ac:dyDescent="0.25">
      <c r="A137" s="188"/>
      <c r="B137" s="221"/>
      <c r="C137" s="221"/>
      <c r="D137" s="222"/>
      <c r="E137" s="211"/>
      <c r="F137" s="214"/>
      <c r="G137" s="216"/>
      <c r="H137" s="221"/>
      <c r="I137" s="221"/>
      <c r="J137" s="222"/>
      <c r="K137" s="211"/>
      <c r="L137" s="214"/>
      <c r="M137" s="188"/>
    </row>
    <row r="138" spans="1:13" ht="18" customHeight="1" x14ac:dyDescent="0.25">
      <c r="A138" s="188"/>
      <c r="B138" s="221"/>
      <c r="C138" s="221"/>
      <c r="D138" s="222"/>
      <c r="E138" s="211"/>
      <c r="F138" s="214"/>
      <c r="G138" s="216"/>
      <c r="H138" s="221"/>
      <c r="I138" s="221"/>
      <c r="J138" s="222"/>
      <c r="K138" s="211"/>
      <c r="L138" s="214"/>
      <c r="M138" s="188"/>
    </row>
    <row r="139" spans="1:13" ht="18" customHeight="1" x14ac:dyDescent="0.25">
      <c r="A139" s="188"/>
      <c r="B139" s="221"/>
      <c r="C139" s="221"/>
      <c r="D139" s="222"/>
      <c r="E139" s="211"/>
      <c r="F139" s="214"/>
      <c r="G139" s="216"/>
      <c r="H139" s="221"/>
      <c r="I139" s="221"/>
      <c r="J139" s="222"/>
      <c r="K139" s="211"/>
      <c r="L139" s="214"/>
      <c r="M139" s="188"/>
    </row>
    <row r="140" spans="1:13" ht="18" customHeight="1" x14ac:dyDescent="0.25">
      <c r="A140" s="188"/>
      <c r="B140" s="221"/>
      <c r="C140" s="221"/>
      <c r="D140" s="222"/>
      <c r="E140" s="211"/>
      <c r="F140" s="214"/>
      <c r="G140" s="216"/>
      <c r="H140" s="221"/>
      <c r="I140" s="221"/>
      <c r="J140" s="222"/>
      <c r="K140" s="211"/>
      <c r="L140" s="214"/>
      <c r="M140" s="188"/>
    </row>
    <row r="141" spans="1:13" ht="18" customHeight="1" x14ac:dyDescent="0.25">
      <c r="A141" s="188"/>
      <c r="B141" s="221"/>
      <c r="C141" s="221"/>
      <c r="D141" s="222"/>
      <c r="E141" s="211"/>
      <c r="F141" s="214"/>
      <c r="G141" s="216"/>
      <c r="H141" s="221"/>
      <c r="I141" s="221"/>
      <c r="J141" s="222"/>
      <c r="K141" s="211"/>
      <c r="L141" s="214"/>
      <c r="M141" s="188"/>
    </row>
    <row r="142" spans="1:13" ht="18" customHeight="1" x14ac:dyDescent="0.25">
      <c r="A142" s="188"/>
      <c r="B142" s="221"/>
      <c r="C142" s="221"/>
      <c r="D142" s="222"/>
      <c r="E142" s="211"/>
      <c r="F142" s="214"/>
      <c r="G142" s="216"/>
      <c r="H142" s="221"/>
      <c r="I142" s="221"/>
      <c r="J142" s="222"/>
      <c r="K142" s="211"/>
      <c r="L142" s="214"/>
      <c r="M142" s="188"/>
    </row>
    <row r="143" spans="1:13" ht="18" customHeight="1" x14ac:dyDescent="0.25">
      <c r="A143" s="188"/>
      <c r="B143" s="221"/>
      <c r="C143" s="221"/>
      <c r="D143" s="222"/>
      <c r="E143" s="211"/>
      <c r="F143" s="214"/>
      <c r="G143" s="216"/>
      <c r="H143" s="221"/>
      <c r="I143" s="221"/>
      <c r="J143" s="222"/>
      <c r="K143" s="211"/>
      <c r="L143" s="214"/>
      <c r="M143" s="188"/>
    </row>
    <row r="144" spans="1:13" ht="18" customHeight="1" x14ac:dyDescent="0.25">
      <c r="A144" s="188"/>
      <c r="B144" s="221"/>
      <c r="C144" s="221"/>
      <c r="D144" s="222"/>
      <c r="E144" s="211"/>
      <c r="F144" s="214"/>
      <c r="G144" s="216"/>
      <c r="H144" s="221"/>
      <c r="I144" s="221"/>
      <c r="J144" s="222"/>
      <c r="K144" s="211"/>
      <c r="L144" s="214"/>
      <c r="M144" s="188"/>
    </row>
    <row r="145" spans="1:13" ht="18" customHeight="1" x14ac:dyDescent="0.25">
      <c r="A145" s="188"/>
      <c r="B145" s="221"/>
      <c r="C145" s="221"/>
      <c r="D145" s="222"/>
      <c r="E145" s="211"/>
      <c r="F145" s="214"/>
      <c r="G145" s="216"/>
      <c r="H145" s="221"/>
      <c r="I145" s="221"/>
      <c r="J145" s="222"/>
      <c r="K145" s="211"/>
      <c r="L145" s="214"/>
      <c r="M145" s="188"/>
    </row>
    <row r="146" spans="1:13" ht="18" customHeight="1" x14ac:dyDescent="0.25">
      <c r="A146" s="188"/>
      <c r="B146" s="221"/>
      <c r="C146" s="221"/>
      <c r="D146" s="222"/>
      <c r="E146" s="211"/>
      <c r="F146" s="214"/>
      <c r="G146" s="216"/>
      <c r="H146" s="221"/>
      <c r="I146" s="221"/>
      <c r="J146" s="222"/>
      <c r="K146" s="211"/>
      <c r="L146" s="214"/>
      <c r="M146" s="188"/>
    </row>
    <row r="147" spans="1:13" ht="18" customHeight="1" x14ac:dyDescent="0.25">
      <c r="A147" s="188"/>
      <c r="B147" s="221"/>
      <c r="C147" s="221"/>
      <c r="D147" s="222"/>
      <c r="E147" s="211"/>
      <c r="F147" s="214"/>
      <c r="G147" s="216"/>
      <c r="H147" s="221"/>
      <c r="I147" s="221"/>
      <c r="J147" s="222"/>
      <c r="K147" s="211"/>
      <c r="L147" s="214"/>
      <c r="M147" s="188"/>
    </row>
    <row r="148" spans="1:13" ht="18" customHeight="1" x14ac:dyDescent="0.25">
      <c r="A148" s="188"/>
      <c r="B148" s="221"/>
      <c r="C148" s="221"/>
      <c r="D148" s="222"/>
      <c r="E148" s="211"/>
      <c r="F148" s="214"/>
      <c r="G148" s="216"/>
      <c r="H148" s="221"/>
      <c r="I148" s="221"/>
      <c r="J148" s="222"/>
      <c r="K148" s="211"/>
      <c r="L148" s="214"/>
      <c r="M148" s="188"/>
    </row>
    <row r="149" spans="1:13" ht="18" customHeight="1" x14ac:dyDescent="0.25">
      <c r="A149" s="188"/>
      <c r="B149" s="221"/>
      <c r="C149" s="221"/>
      <c r="D149" s="222"/>
      <c r="E149" s="211"/>
      <c r="F149" s="214"/>
      <c r="G149" s="216"/>
      <c r="H149" s="221"/>
      <c r="I149" s="221"/>
      <c r="J149" s="222"/>
      <c r="K149" s="211"/>
      <c r="L149" s="214"/>
      <c r="M149" s="188"/>
    </row>
    <row r="150" spans="1:13" ht="18" customHeight="1" x14ac:dyDescent="0.25">
      <c r="A150" s="188"/>
      <c r="B150" s="221"/>
      <c r="C150" s="221"/>
      <c r="D150" s="222"/>
      <c r="E150" s="211"/>
      <c r="F150" s="214"/>
      <c r="G150" s="216"/>
      <c r="H150" s="221"/>
      <c r="I150" s="221"/>
      <c r="J150" s="222"/>
      <c r="K150" s="211"/>
      <c r="L150" s="214"/>
      <c r="M150" s="188"/>
    </row>
    <row r="151" spans="1:13" ht="18" customHeight="1" x14ac:dyDescent="0.25">
      <c r="A151" s="188"/>
      <c r="B151" s="221"/>
      <c r="C151" s="221"/>
      <c r="D151" s="222"/>
      <c r="E151" s="211"/>
      <c r="F151" s="214"/>
      <c r="G151" s="216"/>
      <c r="H151" s="221"/>
      <c r="I151" s="221"/>
      <c r="J151" s="222"/>
      <c r="K151" s="211"/>
      <c r="L151" s="214"/>
      <c r="M151" s="188"/>
    </row>
    <row r="152" spans="1:13" ht="18" customHeight="1" x14ac:dyDescent="0.25">
      <c r="A152" s="188"/>
      <c r="B152" s="221"/>
      <c r="C152" s="221"/>
      <c r="D152" s="222"/>
      <c r="E152" s="211"/>
      <c r="F152" s="214"/>
      <c r="G152" s="216"/>
      <c r="H152" s="221"/>
      <c r="I152" s="221"/>
      <c r="J152" s="222"/>
      <c r="K152" s="211"/>
      <c r="L152" s="214"/>
      <c r="M152" s="188"/>
    </row>
    <row r="153" spans="1:13" ht="18" customHeight="1" x14ac:dyDescent="0.25">
      <c r="A153" s="188"/>
      <c r="B153" s="221"/>
      <c r="C153" s="221"/>
      <c r="D153" s="222"/>
      <c r="E153" s="211"/>
      <c r="F153" s="214"/>
      <c r="G153" s="216"/>
      <c r="H153" s="221"/>
      <c r="I153" s="221"/>
      <c r="J153" s="222"/>
      <c r="K153" s="211"/>
      <c r="L153" s="214"/>
      <c r="M153" s="188"/>
    </row>
    <row r="154" spans="1:13" ht="18" customHeight="1" x14ac:dyDescent="0.25">
      <c r="A154" s="188"/>
      <c r="B154" s="221"/>
      <c r="C154" s="221"/>
      <c r="D154" s="222"/>
      <c r="E154" s="211"/>
      <c r="F154" s="214"/>
      <c r="G154" s="216"/>
      <c r="H154" s="221"/>
      <c r="I154" s="221"/>
      <c r="J154" s="222"/>
      <c r="K154" s="211"/>
      <c r="L154" s="214"/>
      <c r="M154" s="188"/>
    </row>
    <row r="155" spans="1:13" ht="18" customHeight="1" x14ac:dyDescent="0.25">
      <c r="A155" s="188"/>
      <c r="B155" s="221"/>
      <c r="C155" s="221"/>
      <c r="D155" s="222"/>
      <c r="E155" s="211"/>
      <c r="F155" s="214"/>
      <c r="G155" s="216"/>
      <c r="H155" s="221"/>
      <c r="I155" s="221"/>
      <c r="J155" s="222"/>
      <c r="K155" s="211"/>
      <c r="L155" s="214"/>
      <c r="M155" s="188"/>
    </row>
    <row r="156" spans="1:13" ht="18" customHeight="1" x14ac:dyDescent="0.25">
      <c r="A156" s="188"/>
      <c r="B156" s="221"/>
      <c r="C156" s="221"/>
      <c r="D156" s="222"/>
      <c r="E156" s="211"/>
      <c r="F156" s="214"/>
      <c r="G156" s="216"/>
      <c r="H156" s="221"/>
      <c r="I156" s="221"/>
      <c r="J156" s="222"/>
      <c r="K156" s="211"/>
      <c r="L156" s="214"/>
      <c r="M156" s="188"/>
    </row>
    <row r="157" spans="1:13" ht="18" customHeight="1" x14ac:dyDescent="0.25">
      <c r="A157" s="188"/>
      <c r="B157" s="221"/>
      <c r="C157" s="221"/>
      <c r="D157" s="222"/>
      <c r="E157" s="211"/>
      <c r="F157" s="214"/>
      <c r="G157" s="216"/>
      <c r="H157" s="221"/>
      <c r="I157" s="221"/>
      <c r="J157" s="222"/>
      <c r="K157" s="211"/>
      <c r="L157" s="214"/>
      <c r="M157" s="188"/>
    </row>
    <row r="158" spans="1:13" ht="18" customHeight="1" x14ac:dyDescent="0.25">
      <c r="A158" s="188"/>
      <c r="B158" s="221"/>
      <c r="C158" s="221"/>
      <c r="D158" s="222"/>
      <c r="E158" s="211"/>
      <c r="F158" s="214"/>
      <c r="G158" s="216"/>
      <c r="H158" s="221"/>
      <c r="I158" s="221"/>
      <c r="J158" s="222"/>
      <c r="K158" s="211"/>
      <c r="L158" s="214"/>
      <c r="M158" s="188"/>
    </row>
    <row r="159" spans="1:13" ht="18" customHeight="1" x14ac:dyDescent="0.25">
      <c r="A159" s="188"/>
      <c r="B159" s="221"/>
      <c r="C159" s="221"/>
      <c r="D159" s="222"/>
      <c r="E159" s="211"/>
      <c r="F159" s="214"/>
      <c r="G159" s="216"/>
      <c r="H159" s="221"/>
      <c r="I159" s="221"/>
      <c r="J159" s="222"/>
      <c r="K159" s="211"/>
      <c r="L159" s="214"/>
      <c r="M159" s="188"/>
    </row>
    <row r="160" spans="1:13" ht="18" customHeight="1" x14ac:dyDescent="0.25">
      <c r="A160" s="188"/>
      <c r="B160" s="221"/>
      <c r="C160" s="221"/>
      <c r="D160" s="222"/>
      <c r="E160" s="211"/>
      <c r="F160" s="214"/>
      <c r="G160" s="216"/>
      <c r="H160" s="221"/>
      <c r="I160" s="221"/>
      <c r="J160" s="222"/>
      <c r="K160" s="211"/>
      <c r="L160" s="214"/>
      <c r="M160" s="188"/>
    </row>
    <row r="161" spans="1:13" ht="18" customHeight="1" x14ac:dyDescent="0.25">
      <c r="A161" s="188"/>
      <c r="B161" s="221"/>
      <c r="C161" s="221"/>
      <c r="D161" s="222"/>
      <c r="E161" s="211"/>
      <c r="F161" s="214"/>
      <c r="G161" s="216"/>
      <c r="H161" s="221"/>
      <c r="I161" s="221"/>
      <c r="J161" s="222"/>
      <c r="K161" s="211"/>
      <c r="L161" s="214"/>
      <c r="M161" s="188"/>
    </row>
    <row r="162" spans="1:13" ht="18" customHeight="1" x14ac:dyDescent="0.25">
      <c r="A162" s="188"/>
      <c r="B162" s="221"/>
      <c r="C162" s="221"/>
      <c r="D162" s="222"/>
      <c r="E162" s="211"/>
      <c r="F162" s="214"/>
      <c r="G162" s="216"/>
      <c r="H162" s="221"/>
      <c r="I162" s="221"/>
      <c r="J162" s="222"/>
      <c r="K162" s="211"/>
      <c r="L162" s="214"/>
      <c r="M162" s="188"/>
    </row>
    <row r="163" spans="1:13" ht="18" customHeight="1" x14ac:dyDescent="0.25">
      <c r="A163" s="188"/>
      <c r="B163" s="221"/>
      <c r="C163" s="221"/>
      <c r="D163" s="222"/>
      <c r="E163" s="211"/>
      <c r="F163" s="214"/>
      <c r="G163" s="216"/>
      <c r="H163" s="221"/>
      <c r="I163" s="221"/>
      <c r="J163" s="222"/>
      <c r="K163" s="211"/>
      <c r="L163" s="214"/>
      <c r="M163" s="188"/>
    </row>
    <row r="164" spans="1:13" ht="18" customHeight="1" x14ac:dyDescent="0.25">
      <c r="A164" s="188"/>
      <c r="B164" s="221"/>
      <c r="C164" s="221"/>
      <c r="D164" s="222"/>
      <c r="E164" s="211"/>
      <c r="F164" s="214"/>
      <c r="G164" s="216"/>
      <c r="H164" s="221"/>
      <c r="I164" s="221"/>
      <c r="J164" s="222"/>
      <c r="K164" s="211"/>
      <c r="L164" s="214"/>
      <c r="M164" s="188"/>
    </row>
    <row r="165" spans="1:13" ht="18" customHeight="1" x14ac:dyDescent="0.25">
      <c r="A165" s="188"/>
      <c r="B165" s="221"/>
      <c r="C165" s="221"/>
      <c r="D165" s="222"/>
      <c r="E165" s="211"/>
      <c r="F165" s="214"/>
      <c r="G165" s="216"/>
      <c r="H165" s="221"/>
      <c r="I165" s="221"/>
      <c r="J165" s="222"/>
      <c r="K165" s="211"/>
      <c r="L165" s="214"/>
      <c r="M165" s="188"/>
    </row>
    <row r="166" spans="1:13" ht="18" customHeight="1" x14ac:dyDescent="0.25">
      <c r="A166" s="188"/>
      <c r="B166" s="221"/>
      <c r="C166" s="221"/>
      <c r="D166" s="222"/>
      <c r="E166" s="211"/>
      <c r="F166" s="214"/>
      <c r="G166" s="216"/>
      <c r="H166" s="221"/>
      <c r="I166" s="221"/>
      <c r="J166" s="222"/>
      <c r="K166" s="211"/>
      <c r="L166" s="214"/>
      <c r="M166" s="188"/>
    </row>
    <row r="167" spans="1:13" ht="18" customHeight="1" x14ac:dyDescent="0.25">
      <c r="A167" s="188"/>
      <c r="B167" s="221"/>
      <c r="C167" s="221"/>
      <c r="D167" s="222"/>
      <c r="E167" s="211"/>
      <c r="F167" s="214"/>
      <c r="G167" s="216"/>
      <c r="H167" s="221"/>
      <c r="I167" s="221"/>
      <c r="J167" s="222"/>
      <c r="K167" s="211"/>
      <c r="L167" s="214"/>
      <c r="M167" s="188"/>
    </row>
    <row r="168" spans="1:13" ht="18" customHeight="1" x14ac:dyDescent="0.25">
      <c r="A168" s="188"/>
      <c r="B168" s="221"/>
      <c r="C168" s="221"/>
      <c r="D168" s="222"/>
      <c r="E168" s="211"/>
      <c r="F168" s="214"/>
      <c r="G168" s="216"/>
      <c r="H168" s="221"/>
      <c r="I168" s="221"/>
      <c r="J168" s="222"/>
      <c r="K168" s="211"/>
      <c r="L168" s="214"/>
      <c r="M168" s="188"/>
    </row>
    <row r="169" spans="1:13" ht="18" customHeight="1" x14ac:dyDescent="0.25">
      <c r="A169" s="188"/>
      <c r="B169" s="221"/>
      <c r="C169" s="221"/>
      <c r="D169" s="222"/>
      <c r="E169" s="211"/>
      <c r="F169" s="214"/>
      <c r="G169" s="216"/>
      <c r="H169" s="221"/>
      <c r="I169" s="221"/>
      <c r="J169" s="222"/>
      <c r="K169" s="211"/>
      <c r="L169" s="214"/>
      <c r="M169" s="188"/>
    </row>
    <row r="170" spans="1:13" ht="18" customHeight="1" x14ac:dyDescent="0.25">
      <c r="A170" s="188"/>
      <c r="B170" s="221"/>
      <c r="C170" s="221"/>
      <c r="D170" s="222"/>
      <c r="E170" s="211"/>
      <c r="F170" s="214"/>
      <c r="G170" s="216"/>
      <c r="H170" s="221"/>
      <c r="I170" s="221"/>
      <c r="J170" s="222"/>
      <c r="K170" s="211"/>
      <c r="L170" s="214"/>
      <c r="M170" s="188"/>
    </row>
    <row r="171" spans="1:13" ht="18" customHeight="1" x14ac:dyDescent="0.25">
      <c r="A171" s="188"/>
      <c r="B171" s="221"/>
      <c r="C171" s="221"/>
      <c r="D171" s="222"/>
      <c r="E171" s="211"/>
      <c r="F171" s="214"/>
      <c r="G171" s="216"/>
      <c r="H171" s="221"/>
      <c r="I171" s="221"/>
      <c r="J171" s="222"/>
      <c r="K171" s="211"/>
      <c r="L171" s="214"/>
      <c r="M171" s="188"/>
    </row>
    <row r="172" spans="1:13" ht="18" customHeight="1" x14ac:dyDescent="0.25">
      <c r="A172" s="188"/>
      <c r="B172" s="221"/>
      <c r="C172" s="221"/>
      <c r="D172" s="222"/>
      <c r="E172" s="211"/>
      <c r="F172" s="214"/>
      <c r="G172" s="216"/>
      <c r="H172" s="221"/>
      <c r="I172" s="221"/>
      <c r="J172" s="222"/>
      <c r="K172" s="211"/>
      <c r="L172" s="214"/>
      <c r="M172" s="188"/>
    </row>
    <row r="173" spans="1:13" ht="18" customHeight="1" x14ac:dyDescent="0.25">
      <c r="A173" s="188"/>
      <c r="B173" s="221"/>
      <c r="C173" s="221"/>
      <c r="D173" s="222"/>
      <c r="E173" s="211"/>
      <c r="F173" s="214"/>
      <c r="G173" s="216"/>
      <c r="H173" s="221"/>
      <c r="I173" s="221"/>
      <c r="J173" s="222"/>
      <c r="K173" s="211"/>
      <c r="L173" s="214"/>
      <c r="M173" s="188"/>
    </row>
    <row r="174" spans="1:13" ht="18" customHeight="1" x14ac:dyDescent="0.25">
      <c r="A174" s="188"/>
      <c r="B174" s="221"/>
      <c r="C174" s="221"/>
      <c r="D174" s="222"/>
      <c r="E174" s="211"/>
      <c r="F174" s="214"/>
      <c r="G174" s="216"/>
      <c r="H174" s="221"/>
      <c r="I174" s="221"/>
      <c r="J174" s="222"/>
      <c r="K174" s="211"/>
      <c r="L174" s="214"/>
      <c r="M174" s="188"/>
    </row>
    <row r="175" spans="1:13" ht="18" customHeight="1" x14ac:dyDescent="0.25">
      <c r="A175" s="188"/>
      <c r="B175" s="221"/>
      <c r="C175" s="221"/>
      <c r="D175" s="222"/>
      <c r="E175" s="211"/>
      <c r="F175" s="214"/>
      <c r="G175" s="216"/>
      <c r="H175" s="221"/>
      <c r="I175" s="221"/>
      <c r="J175" s="222"/>
      <c r="K175" s="211"/>
      <c r="L175" s="214"/>
      <c r="M175" s="188"/>
    </row>
    <row r="176" spans="1:13" ht="18" customHeight="1" x14ac:dyDescent="0.25">
      <c r="A176" s="188"/>
      <c r="B176" s="221"/>
      <c r="C176" s="221"/>
      <c r="D176" s="222"/>
      <c r="E176" s="211"/>
      <c r="F176" s="214"/>
      <c r="G176" s="216"/>
      <c r="H176" s="221"/>
      <c r="I176" s="221"/>
      <c r="J176" s="222"/>
      <c r="K176" s="211"/>
      <c r="L176" s="214"/>
      <c r="M176" s="188"/>
    </row>
    <row r="177" spans="1:13" ht="18" customHeight="1" x14ac:dyDescent="0.25">
      <c r="A177" s="188"/>
      <c r="B177" s="221"/>
      <c r="C177" s="221"/>
      <c r="D177" s="222"/>
      <c r="E177" s="211"/>
      <c r="F177" s="214"/>
      <c r="G177" s="216"/>
      <c r="H177" s="221"/>
      <c r="I177" s="221"/>
      <c r="J177" s="222"/>
      <c r="K177" s="211"/>
      <c r="L177" s="214"/>
      <c r="M177" s="188"/>
    </row>
    <row r="178" spans="1:13" ht="18" customHeight="1" x14ac:dyDescent="0.25">
      <c r="A178" s="188"/>
      <c r="B178" s="221"/>
      <c r="C178" s="221"/>
      <c r="D178" s="222"/>
      <c r="E178" s="211"/>
      <c r="F178" s="214"/>
      <c r="G178" s="216"/>
      <c r="H178" s="221"/>
      <c r="I178" s="221"/>
      <c r="J178" s="222"/>
      <c r="K178" s="211"/>
      <c r="L178" s="214"/>
      <c r="M178" s="188"/>
    </row>
    <row r="179" spans="1:13" ht="18" customHeight="1" x14ac:dyDescent="0.25">
      <c r="A179" s="188"/>
      <c r="B179" s="221"/>
      <c r="C179" s="221"/>
      <c r="D179" s="222"/>
      <c r="E179" s="211"/>
      <c r="F179" s="214"/>
      <c r="G179" s="216"/>
      <c r="H179" s="221"/>
      <c r="I179" s="221"/>
      <c r="J179" s="222"/>
      <c r="K179" s="211"/>
      <c r="L179" s="214"/>
      <c r="M179" s="188"/>
    </row>
    <row r="180" spans="1:13" ht="18" customHeight="1" x14ac:dyDescent="0.25">
      <c r="A180" s="188"/>
      <c r="B180" s="221"/>
      <c r="C180" s="221"/>
      <c r="D180" s="222"/>
      <c r="E180" s="211"/>
      <c r="F180" s="214"/>
      <c r="G180" s="216"/>
      <c r="H180" s="221"/>
      <c r="I180" s="221"/>
      <c r="J180" s="222"/>
      <c r="K180" s="211"/>
      <c r="L180" s="214"/>
      <c r="M180" s="188"/>
    </row>
    <row r="181" spans="1:13" ht="18" customHeight="1" x14ac:dyDescent="0.25">
      <c r="A181" s="188"/>
      <c r="B181" s="221"/>
      <c r="C181" s="221"/>
      <c r="D181" s="222"/>
      <c r="E181" s="211"/>
      <c r="F181" s="214"/>
      <c r="G181" s="216"/>
      <c r="H181" s="221"/>
      <c r="I181" s="221"/>
      <c r="J181" s="222"/>
      <c r="K181" s="211"/>
      <c r="L181" s="214"/>
      <c r="M181" s="188"/>
    </row>
    <row r="182" spans="1:13" ht="18" customHeight="1" x14ac:dyDescent="0.25">
      <c r="A182" s="188"/>
      <c r="B182" s="221"/>
      <c r="C182" s="221"/>
      <c r="D182" s="222"/>
      <c r="E182" s="211"/>
      <c r="F182" s="214"/>
      <c r="G182" s="216"/>
      <c r="H182" s="221"/>
      <c r="I182" s="221"/>
      <c r="J182" s="222"/>
      <c r="K182" s="211"/>
      <c r="L182" s="214"/>
      <c r="M182" s="188"/>
    </row>
    <row r="183" spans="1:13" ht="18" customHeight="1" x14ac:dyDescent="0.25">
      <c r="A183" s="188"/>
      <c r="B183" s="221"/>
      <c r="C183" s="221"/>
      <c r="D183" s="222"/>
      <c r="E183" s="211"/>
      <c r="F183" s="214"/>
      <c r="G183" s="216"/>
      <c r="H183" s="221"/>
      <c r="I183" s="221"/>
      <c r="J183" s="222"/>
      <c r="K183" s="211"/>
      <c r="L183" s="214"/>
      <c r="M183" s="188"/>
    </row>
    <row r="184" spans="1:13" ht="18" customHeight="1" x14ac:dyDescent="0.25">
      <c r="A184" s="188"/>
      <c r="B184" s="221"/>
      <c r="C184" s="221"/>
      <c r="D184" s="222"/>
      <c r="E184" s="211"/>
      <c r="F184" s="214"/>
      <c r="G184" s="216"/>
      <c r="H184" s="221"/>
      <c r="I184" s="221"/>
      <c r="J184" s="222"/>
      <c r="K184" s="211"/>
      <c r="L184" s="214"/>
      <c r="M184" s="188"/>
    </row>
    <row r="185" spans="1:13" ht="18" customHeight="1" x14ac:dyDescent="0.25">
      <c r="A185" s="188"/>
      <c r="B185" s="221"/>
      <c r="C185" s="221"/>
      <c r="D185" s="222"/>
      <c r="E185" s="211"/>
      <c r="F185" s="214"/>
      <c r="G185" s="216"/>
      <c r="H185" s="221"/>
      <c r="I185" s="221"/>
      <c r="J185" s="222"/>
      <c r="K185" s="211"/>
      <c r="L185" s="214"/>
      <c r="M185" s="188"/>
    </row>
    <row r="186" spans="1:13" ht="18" customHeight="1" x14ac:dyDescent="0.25">
      <c r="A186" s="188"/>
      <c r="B186" s="221"/>
      <c r="C186" s="221"/>
      <c r="D186" s="222"/>
      <c r="E186" s="211"/>
      <c r="F186" s="214"/>
      <c r="G186" s="216"/>
      <c r="H186" s="221"/>
      <c r="I186" s="221"/>
      <c r="J186" s="222"/>
      <c r="K186" s="211"/>
      <c r="L186" s="214"/>
      <c r="M186" s="188"/>
    </row>
    <row r="187" spans="1:13" ht="18" customHeight="1" x14ac:dyDescent="0.25">
      <c r="A187" s="188"/>
      <c r="B187" s="221"/>
      <c r="C187" s="221"/>
      <c r="D187" s="222"/>
      <c r="E187" s="211"/>
      <c r="F187" s="214"/>
      <c r="G187" s="216"/>
      <c r="H187" s="221"/>
      <c r="I187" s="221"/>
      <c r="J187" s="222"/>
      <c r="K187" s="211"/>
      <c r="L187" s="214"/>
      <c r="M187" s="188"/>
    </row>
    <row r="188" spans="1:13" ht="18" customHeight="1" x14ac:dyDescent="0.25">
      <c r="A188" s="188"/>
      <c r="B188" s="221"/>
      <c r="C188" s="221"/>
      <c r="D188" s="222"/>
      <c r="E188" s="211"/>
      <c r="F188" s="214"/>
      <c r="G188" s="216"/>
      <c r="H188" s="221"/>
      <c r="I188" s="221"/>
      <c r="J188" s="222"/>
      <c r="K188" s="211"/>
      <c r="L188" s="214"/>
      <c r="M188" s="188"/>
    </row>
    <row r="189" spans="1:13" ht="18" customHeight="1" x14ac:dyDescent="0.25">
      <c r="A189" s="188"/>
      <c r="B189" s="221"/>
      <c r="C189" s="221"/>
      <c r="D189" s="222"/>
      <c r="E189" s="211"/>
      <c r="F189" s="214"/>
      <c r="G189" s="216"/>
      <c r="H189" s="221"/>
      <c r="I189" s="221"/>
      <c r="J189" s="222"/>
      <c r="K189" s="211"/>
      <c r="L189" s="214"/>
      <c r="M189" s="188"/>
    </row>
    <row r="190" spans="1:13" ht="18" customHeight="1" x14ac:dyDescent="0.25">
      <c r="A190" s="188"/>
      <c r="B190" s="221"/>
      <c r="C190" s="221"/>
      <c r="D190" s="222"/>
      <c r="E190" s="211"/>
      <c r="F190" s="214"/>
      <c r="G190" s="216"/>
      <c r="H190" s="221"/>
      <c r="I190" s="221"/>
      <c r="J190" s="222"/>
      <c r="K190" s="211"/>
      <c r="L190" s="214"/>
      <c r="M190" s="188"/>
    </row>
    <row r="191" spans="1:13" ht="18" customHeight="1" x14ac:dyDescent="0.25">
      <c r="A191" s="188"/>
      <c r="B191" s="221"/>
      <c r="C191" s="221"/>
      <c r="D191" s="222"/>
      <c r="E191" s="211"/>
      <c r="F191" s="214"/>
      <c r="G191" s="216"/>
      <c r="H191" s="221"/>
      <c r="I191" s="221"/>
      <c r="J191" s="222"/>
      <c r="K191" s="211"/>
      <c r="L191" s="214"/>
      <c r="M191" s="188"/>
    </row>
    <row r="192" spans="1:13" ht="18" customHeight="1" x14ac:dyDescent="0.25">
      <c r="A192" s="188"/>
      <c r="B192" s="221"/>
      <c r="C192" s="221"/>
      <c r="D192" s="222"/>
      <c r="E192" s="211"/>
      <c r="F192" s="214"/>
      <c r="G192" s="216"/>
      <c r="H192" s="221"/>
      <c r="I192" s="221"/>
      <c r="J192" s="222"/>
      <c r="K192" s="211"/>
      <c r="L192" s="214"/>
      <c r="M192" s="188"/>
    </row>
    <row r="193" spans="1:13" ht="18" customHeight="1" x14ac:dyDescent="0.25">
      <c r="A193" s="188"/>
      <c r="B193" s="221"/>
      <c r="C193" s="221"/>
      <c r="D193" s="222"/>
      <c r="E193" s="211"/>
      <c r="F193" s="214"/>
      <c r="G193" s="216"/>
      <c r="H193" s="221"/>
      <c r="I193" s="221"/>
      <c r="J193" s="222"/>
      <c r="K193" s="211"/>
      <c r="L193" s="214"/>
      <c r="M193" s="188"/>
    </row>
    <row r="194" spans="1:13" ht="18" customHeight="1" x14ac:dyDescent="0.25">
      <c r="A194" s="188"/>
      <c r="B194" s="221"/>
      <c r="C194" s="221"/>
      <c r="D194" s="222"/>
      <c r="E194" s="211"/>
      <c r="F194" s="214"/>
      <c r="G194" s="216"/>
      <c r="H194" s="221"/>
      <c r="I194" s="221"/>
      <c r="J194" s="222"/>
      <c r="K194" s="211"/>
      <c r="L194" s="214"/>
      <c r="M194" s="188"/>
    </row>
    <row r="195" spans="1:13" ht="18" customHeight="1" x14ac:dyDescent="0.25">
      <c r="A195" s="188"/>
      <c r="B195" s="221"/>
      <c r="C195" s="221"/>
      <c r="D195" s="222"/>
      <c r="E195" s="211"/>
      <c r="F195" s="214"/>
      <c r="G195" s="216"/>
      <c r="H195" s="221"/>
      <c r="I195" s="221"/>
      <c r="J195" s="222"/>
      <c r="K195" s="211"/>
      <c r="L195" s="214"/>
      <c r="M195" s="188"/>
    </row>
    <row r="196" spans="1:13" ht="18" customHeight="1" x14ac:dyDescent="0.25">
      <c r="A196" s="188"/>
      <c r="B196" s="221"/>
      <c r="C196" s="221"/>
      <c r="D196" s="222"/>
      <c r="E196" s="211"/>
      <c r="F196" s="214"/>
      <c r="G196" s="216"/>
      <c r="H196" s="221"/>
      <c r="I196" s="221"/>
      <c r="J196" s="222"/>
      <c r="K196" s="211"/>
      <c r="L196" s="214"/>
      <c r="M196" s="188"/>
    </row>
    <row r="197" spans="1:13" ht="18" customHeight="1" x14ac:dyDescent="0.25">
      <c r="A197" s="188"/>
      <c r="B197" s="221"/>
      <c r="C197" s="221"/>
      <c r="D197" s="222"/>
      <c r="E197" s="211"/>
      <c r="F197" s="214"/>
      <c r="G197" s="216"/>
      <c r="H197" s="221"/>
      <c r="I197" s="221"/>
      <c r="J197" s="222"/>
      <c r="K197" s="211"/>
      <c r="L197" s="214"/>
      <c r="M197" s="188"/>
    </row>
    <row r="198" spans="1:13" ht="18" customHeight="1" x14ac:dyDescent="0.25">
      <c r="A198" s="188"/>
      <c r="B198" s="221"/>
      <c r="C198" s="221"/>
      <c r="D198" s="222"/>
      <c r="E198" s="211"/>
      <c r="F198" s="214"/>
      <c r="G198" s="216"/>
      <c r="H198" s="221"/>
      <c r="I198" s="221"/>
      <c r="J198" s="222"/>
      <c r="K198" s="211"/>
      <c r="L198" s="214"/>
      <c r="M198" s="188"/>
    </row>
    <row r="199" spans="1:13" ht="18" customHeight="1" x14ac:dyDescent="0.25">
      <c r="A199" s="188"/>
      <c r="B199" s="221"/>
      <c r="C199" s="221"/>
      <c r="D199" s="222"/>
      <c r="E199" s="211"/>
      <c r="F199" s="214"/>
      <c r="G199" s="216"/>
      <c r="H199" s="221"/>
      <c r="I199" s="221"/>
      <c r="J199" s="222"/>
      <c r="K199" s="211"/>
      <c r="L199" s="214"/>
      <c r="M199" s="188"/>
    </row>
    <row r="200" spans="1:13" ht="18" customHeight="1" x14ac:dyDescent="0.25">
      <c r="A200" s="188"/>
      <c r="B200" s="221"/>
      <c r="C200" s="221"/>
      <c r="D200" s="222"/>
      <c r="E200" s="211"/>
      <c r="F200" s="214"/>
      <c r="G200" s="216"/>
      <c r="H200" s="221"/>
      <c r="I200" s="221"/>
      <c r="J200" s="222"/>
      <c r="K200" s="211"/>
      <c r="L200" s="214"/>
      <c r="M200" s="188"/>
    </row>
    <row r="201" spans="1:13" ht="18" customHeight="1" x14ac:dyDescent="0.25">
      <c r="A201" s="188"/>
      <c r="B201" s="221"/>
      <c r="C201" s="221"/>
      <c r="D201" s="222"/>
      <c r="E201" s="211"/>
      <c r="F201" s="214"/>
      <c r="G201" s="216"/>
      <c r="H201" s="221"/>
      <c r="I201" s="221"/>
      <c r="J201" s="222"/>
      <c r="K201" s="211"/>
      <c r="L201" s="214"/>
      <c r="M201" s="188"/>
    </row>
    <row r="202" spans="1:13" ht="18" customHeight="1" x14ac:dyDescent="0.25">
      <c r="A202" s="188"/>
      <c r="B202" s="221"/>
      <c r="C202" s="221"/>
      <c r="D202" s="222"/>
      <c r="E202" s="211"/>
      <c r="F202" s="214"/>
      <c r="G202" s="216"/>
      <c r="H202" s="221"/>
      <c r="I202" s="221"/>
      <c r="J202" s="222"/>
      <c r="K202" s="211"/>
      <c r="L202" s="214"/>
      <c r="M202" s="188"/>
    </row>
    <row r="203" spans="1:13" ht="18" customHeight="1" x14ac:dyDescent="0.25">
      <c r="A203" s="188"/>
      <c r="B203" s="221"/>
      <c r="C203" s="221"/>
      <c r="D203" s="222"/>
      <c r="E203" s="211"/>
      <c r="F203" s="214"/>
      <c r="G203" s="216"/>
      <c r="H203" s="221"/>
      <c r="I203" s="221"/>
      <c r="J203" s="222"/>
      <c r="K203" s="211"/>
      <c r="L203" s="214"/>
      <c r="M203" s="188"/>
    </row>
    <row r="204" spans="1:13" ht="18" customHeight="1" x14ac:dyDescent="0.25">
      <c r="A204" s="188"/>
      <c r="B204" s="221"/>
      <c r="C204" s="221"/>
      <c r="D204" s="222"/>
      <c r="E204" s="211"/>
      <c r="F204" s="214"/>
      <c r="G204" s="216"/>
      <c r="H204" s="221"/>
      <c r="I204" s="221"/>
      <c r="J204" s="222"/>
      <c r="K204" s="211"/>
      <c r="L204" s="214"/>
      <c r="M204" s="188"/>
    </row>
    <row r="205" spans="1:13" ht="18" customHeight="1" x14ac:dyDescent="0.25">
      <c r="A205" s="188"/>
      <c r="B205" s="221"/>
      <c r="C205" s="221"/>
      <c r="D205" s="222"/>
      <c r="E205" s="211"/>
      <c r="F205" s="214"/>
      <c r="G205" s="216"/>
      <c r="H205" s="221"/>
      <c r="I205" s="221"/>
      <c r="J205" s="222"/>
      <c r="K205" s="211"/>
      <c r="L205" s="214"/>
      <c r="M205" s="188"/>
    </row>
    <row r="206" spans="1:13" ht="18" customHeight="1" x14ac:dyDescent="0.25">
      <c r="A206" s="188"/>
      <c r="B206" s="221"/>
      <c r="C206" s="221"/>
      <c r="D206" s="222"/>
      <c r="E206" s="211"/>
      <c r="F206" s="214"/>
      <c r="G206" s="216"/>
      <c r="H206" s="221"/>
      <c r="I206" s="221"/>
      <c r="J206" s="222"/>
      <c r="K206" s="211"/>
      <c r="L206" s="214"/>
      <c r="M206" s="188"/>
    </row>
    <row r="207" spans="1:13" ht="18" customHeight="1" x14ac:dyDescent="0.25">
      <c r="A207" s="188"/>
      <c r="B207" s="221"/>
      <c r="C207" s="221"/>
      <c r="D207" s="222"/>
      <c r="E207" s="211"/>
      <c r="F207" s="214"/>
      <c r="G207" s="216"/>
      <c r="H207" s="221"/>
      <c r="I207" s="221"/>
      <c r="J207" s="222"/>
      <c r="K207" s="211"/>
      <c r="L207" s="214"/>
      <c r="M207" s="188"/>
    </row>
    <row r="208" spans="1:13" ht="18" customHeight="1" x14ac:dyDescent="0.25">
      <c r="A208" s="188"/>
      <c r="B208" s="221"/>
      <c r="C208" s="221"/>
      <c r="D208" s="222"/>
      <c r="E208" s="211"/>
      <c r="F208" s="214"/>
      <c r="G208" s="216"/>
      <c r="H208" s="221"/>
      <c r="I208" s="221"/>
      <c r="J208" s="222"/>
      <c r="K208" s="211"/>
      <c r="L208" s="214"/>
      <c r="M208" s="188"/>
    </row>
    <row r="209" spans="1:13" ht="18" customHeight="1" x14ac:dyDescent="0.25">
      <c r="A209" s="188"/>
      <c r="B209" s="221"/>
      <c r="C209" s="221"/>
      <c r="D209" s="222"/>
      <c r="E209" s="211"/>
      <c r="F209" s="214"/>
      <c r="G209" s="216"/>
      <c r="H209" s="221"/>
      <c r="I209" s="221"/>
      <c r="J209" s="222"/>
      <c r="K209" s="211"/>
      <c r="L209" s="214"/>
      <c r="M209" s="188"/>
    </row>
    <row r="210" spans="1:13" ht="18" customHeight="1" x14ac:dyDescent="0.25">
      <c r="A210" s="188"/>
      <c r="B210" s="221"/>
      <c r="C210" s="221"/>
      <c r="D210" s="222"/>
      <c r="E210" s="211"/>
      <c r="F210" s="214"/>
      <c r="G210" s="216"/>
      <c r="H210" s="221"/>
      <c r="I210" s="221"/>
      <c r="J210" s="222"/>
      <c r="K210" s="211"/>
      <c r="L210" s="214"/>
      <c r="M210" s="188"/>
    </row>
    <row r="211" spans="1:13" ht="18" customHeight="1" x14ac:dyDescent="0.25">
      <c r="A211" s="188"/>
      <c r="B211" s="221"/>
      <c r="C211" s="221"/>
      <c r="D211" s="222"/>
      <c r="E211" s="211"/>
      <c r="F211" s="214"/>
      <c r="G211" s="216"/>
      <c r="H211" s="221"/>
      <c r="I211" s="221"/>
      <c r="J211" s="222"/>
      <c r="K211" s="211"/>
      <c r="L211" s="214"/>
      <c r="M211" s="188"/>
    </row>
    <row r="212" spans="1:13" ht="18" customHeight="1" x14ac:dyDescent="0.25">
      <c r="A212" s="188"/>
      <c r="B212" s="221"/>
      <c r="C212" s="221"/>
      <c r="D212" s="222"/>
      <c r="E212" s="211"/>
      <c r="F212" s="214"/>
      <c r="G212" s="216"/>
      <c r="H212" s="221"/>
      <c r="I212" s="221"/>
      <c r="J212" s="222"/>
      <c r="K212" s="211"/>
      <c r="L212" s="214"/>
      <c r="M212" s="188"/>
    </row>
    <row r="213" spans="1:13" ht="18" customHeight="1" x14ac:dyDescent="0.25">
      <c r="A213" s="188"/>
      <c r="B213" s="221"/>
      <c r="C213" s="221"/>
      <c r="D213" s="222"/>
      <c r="E213" s="211"/>
      <c r="F213" s="214"/>
      <c r="G213" s="216"/>
      <c r="H213" s="221"/>
      <c r="I213" s="221"/>
      <c r="J213" s="222"/>
      <c r="K213" s="211"/>
      <c r="L213" s="214"/>
      <c r="M213" s="188"/>
    </row>
    <row r="214" spans="1:13" ht="18" customHeight="1" x14ac:dyDescent="0.25">
      <c r="A214" s="188"/>
      <c r="B214" s="221"/>
      <c r="C214" s="221"/>
      <c r="D214" s="222"/>
      <c r="E214" s="211"/>
      <c r="F214" s="214"/>
      <c r="G214" s="216"/>
      <c r="H214" s="221"/>
      <c r="I214" s="221"/>
      <c r="J214" s="222"/>
      <c r="K214" s="211"/>
      <c r="L214" s="214"/>
      <c r="M214" s="188"/>
    </row>
    <row r="215" spans="1:13" ht="18" customHeight="1" x14ac:dyDescent="0.25">
      <c r="A215" s="188"/>
      <c r="B215" s="221"/>
      <c r="C215" s="221"/>
      <c r="D215" s="222"/>
      <c r="E215" s="211"/>
      <c r="F215" s="214"/>
      <c r="G215" s="216"/>
      <c r="H215" s="221"/>
      <c r="I215" s="221"/>
      <c r="J215" s="222"/>
      <c r="K215" s="211"/>
      <c r="L215" s="214"/>
      <c r="M215" s="188"/>
    </row>
    <row r="216" spans="1:13" ht="18" customHeight="1" x14ac:dyDescent="0.25">
      <c r="A216" s="188"/>
      <c r="B216" s="221"/>
      <c r="C216" s="221"/>
      <c r="D216" s="222"/>
      <c r="E216" s="211"/>
      <c r="F216" s="214"/>
      <c r="G216" s="216"/>
      <c r="H216" s="221"/>
      <c r="I216" s="221"/>
      <c r="J216" s="222"/>
      <c r="K216" s="211"/>
      <c r="L216" s="214"/>
      <c r="M216" s="188"/>
    </row>
    <row r="217" spans="1:13" ht="18" customHeight="1" x14ac:dyDescent="0.25">
      <c r="A217" s="188"/>
      <c r="B217" s="221"/>
      <c r="C217" s="221"/>
      <c r="D217" s="222"/>
      <c r="E217" s="211"/>
      <c r="F217" s="214"/>
      <c r="G217" s="216"/>
      <c r="H217" s="221"/>
      <c r="I217" s="221"/>
      <c r="J217" s="222"/>
      <c r="K217" s="211"/>
      <c r="L217" s="214"/>
      <c r="M217" s="188"/>
    </row>
    <row r="218" spans="1:13" ht="18" customHeight="1" x14ac:dyDescent="0.25">
      <c r="A218" s="188"/>
      <c r="B218" s="221"/>
      <c r="C218" s="221"/>
      <c r="D218" s="222"/>
      <c r="E218" s="211"/>
      <c r="F218" s="214"/>
      <c r="G218" s="216"/>
      <c r="H218" s="221"/>
      <c r="I218" s="221"/>
      <c r="J218" s="222"/>
      <c r="K218" s="211"/>
      <c r="L218" s="214"/>
      <c r="M218" s="188"/>
    </row>
    <row r="219" spans="1:13" ht="18" customHeight="1" x14ac:dyDescent="0.25">
      <c r="A219" s="188"/>
      <c r="B219" s="221"/>
      <c r="C219" s="221"/>
      <c r="D219" s="222"/>
      <c r="E219" s="211"/>
      <c r="F219" s="214"/>
      <c r="G219" s="216"/>
      <c r="H219" s="221"/>
      <c r="I219" s="221"/>
      <c r="J219" s="222"/>
      <c r="K219" s="211"/>
      <c r="L219" s="214"/>
      <c r="M219" s="188"/>
    </row>
    <row r="220" spans="1:13" ht="18" customHeight="1" x14ac:dyDescent="0.25">
      <c r="A220" s="188"/>
      <c r="B220" s="221"/>
      <c r="C220" s="221"/>
      <c r="D220" s="222"/>
      <c r="E220" s="211"/>
      <c r="F220" s="214"/>
      <c r="G220" s="216"/>
      <c r="H220" s="221"/>
      <c r="I220" s="221"/>
      <c r="J220" s="222"/>
      <c r="K220" s="211"/>
      <c r="L220" s="214"/>
      <c r="M220" s="188"/>
    </row>
    <row r="221" spans="1:13" ht="18" customHeight="1" x14ac:dyDescent="0.25">
      <c r="A221" s="188"/>
      <c r="B221" s="221"/>
      <c r="C221" s="221"/>
      <c r="D221" s="222"/>
      <c r="E221" s="211"/>
      <c r="F221" s="214"/>
      <c r="G221" s="216"/>
      <c r="H221" s="221"/>
      <c r="I221" s="221"/>
      <c r="J221" s="222"/>
      <c r="K221" s="211"/>
      <c r="L221" s="214"/>
      <c r="M221" s="188"/>
    </row>
    <row r="222" spans="1:13" ht="18" customHeight="1" x14ac:dyDescent="0.25">
      <c r="A222" s="188"/>
      <c r="B222" s="221"/>
      <c r="C222" s="221"/>
      <c r="D222" s="222"/>
      <c r="E222" s="211"/>
      <c r="F222" s="214"/>
      <c r="G222" s="216"/>
      <c r="H222" s="221"/>
      <c r="I222" s="221"/>
      <c r="J222" s="222"/>
      <c r="K222" s="211"/>
      <c r="L222" s="214"/>
      <c r="M222" s="188"/>
    </row>
    <row r="223" spans="1:13" ht="18" customHeight="1" x14ac:dyDescent="0.25">
      <c r="A223" s="188"/>
      <c r="B223" s="221"/>
      <c r="C223" s="221"/>
      <c r="D223" s="222"/>
      <c r="E223" s="211"/>
      <c r="F223" s="214"/>
      <c r="G223" s="216"/>
      <c r="H223" s="221"/>
      <c r="I223" s="221"/>
      <c r="J223" s="222"/>
      <c r="K223" s="211"/>
      <c r="L223" s="214"/>
      <c r="M223" s="188"/>
    </row>
    <row r="224" spans="1:13" ht="18" customHeight="1" x14ac:dyDescent="0.25">
      <c r="A224" s="188"/>
      <c r="B224" s="221"/>
      <c r="C224" s="221"/>
      <c r="D224" s="222"/>
      <c r="E224" s="211"/>
      <c r="F224" s="214"/>
      <c r="G224" s="216"/>
      <c r="H224" s="221"/>
      <c r="I224" s="221"/>
      <c r="J224" s="222"/>
      <c r="K224" s="211"/>
      <c r="L224" s="214"/>
      <c r="M224" s="188"/>
    </row>
    <row r="225" spans="1:13" ht="18" customHeight="1" x14ac:dyDescent="0.25">
      <c r="A225" s="188"/>
      <c r="B225" s="221"/>
      <c r="C225" s="221"/>
      <c r="D225" s="222"/>
      <c r="E225" s="211"/>
      <c r="F225" s="214"/>
      <c r="G225" s="216"/>
      <c r="H225" s="221"/>
      <c r="I225" s="221"/>
      <c r="J225" s="222"/>
      <c r="K225" s="211"/>
      <c r="L225" s="214"/>
      <c r="M225" s="188"/>
    </row>
    <row r="226" spans="1:13" ht="18" customHeight="1" x14ac:dyDescent="0.25">
      <c r="A226" s="188"/>
      <c r="B226" s="221"/>
      <c r="C226" s="221"/>
      <c r="D226" s="222"/>
      <c r="E226" s="211"/>
      <c r="F226" s="214"/>
      <c r="G226" s="216"/>
      <c r="H226" s="221"/>
      <c r="I226" s="221"/>
      <c r="J226" s="222"/>
      <c r="K226" s="211"/>
      <c r="L226" s="214"/>
      <c r="M226" s="188"/>
    </row>
    <row r="227" spans="1:13" ht="18" customHeight="1" x14ac:dyDescent="0.25">
      <c r="A227" s="188"/>
      <c r="B227" s="221"/>
      <c r="C227" s="221"/>
      <c r="D227" s="222"/>
      <c r="E227" s="211"/>
      <c r="F227" s="214"/>
      <c r="G227" s="216"/>
      <c r="H227" s="221"/>
      <c r="I227" s="221"/>
      <c r="J227" s="222"/>
      <c r="K227" s="211"/>
      <c r="L227" s="214"/>
      <c r="M227" s="188"/>
    </row>
    <row r="228" spans="1:13" ht="18" customHeight="1" x14ac:dyDescent="0.25">
      <c r="A228" s="188"/>
      <c r="B228" s="221"/>
      <c r="C228" s="221"/>
      <c r="D228" s="222"/>
      <c r="E228" s="211"/>
      <c r="F228" s="214"/>
      <c r="G228" s="216"/>
      <c r="H228" s="221"/>
      <c r="I228" s="221"/>
      <c r="J228" s="222"/>
      <c r="K228" s="211"/>
      <c r="L228" s="214"/>
      <c r="M228" s="188"/>
    </row>
    <row r="229" spans="1:13" ht="18" customHeight="1" x14ac:dyDescent="0.25">
      <c r="A229" s="188"/>
      <c r="B229" s="221"/>
      <c r="C229" s="221"/>
      <c r="D229" s="222"/>
      <c r="E229" s="211"/>
      <c r="F229" s="214"/>
      <c r="G229" s="216"/>
      <c r="H229" s="221"/>
      <c r="I229" s="221"/>
      <c r="J229" s="222"/>
      <c r="K229" s="211"/>
      <c r="L229" s="214"/>
      <c r="M229" s="188"/>
    </row>
    <row r="230" spans="1:13" ht="18" customHeight="1" x14ac:dyDescent="0.25">
      <c r="A230" s="188"/>
      <c r="B230" s="221"/>
      <c r="C230" s="221"/>
      <c r="D230" s="222"/>
      <c r="E230" s="211"/>
      <c r="F230" s="214"/>
      <c r="G230" s="216"/>
      <c r="H230" s="221"/>
      <c r="I230" s="221"/>
      <c r="J230" s="222"/>
      <c r="K230" s="211"/>
      <c r="L230" s="214"/>
      <c r="M230" s="188"/>
    </row>
    <row r="231" spans="1:13" ht="18" customHeight="1" x14ac:dyDescent="0.25">
      <c r="A231" s="188"/>
      <c r="B231" s="221"/>
      <c r="C231" s="221"/>
      <c r="D231" s="222"/>
      <c r="E231" s="211"/>
      <c r="F231" s="214"/>
      <c r="G231" s="216"/>
      <c r="H231" s="221"/>
      <c r="I231" s="221"/>
      <c r="J231" s="222"/>
      <c r="K231" s="211"/>
      <c r="L231" s="214"/>
      <c r="M231" s="188"/>
    </row>
    <row r="232" spans="1:13" ht="18" customHeight="1" x14ac:dyDescent="0.25">
      <c r="A232" s="188"/>
      <c r="B232" s="221"/>
      <c r="C232" s="221"/>
      <c r="D232" s="222"/>
      <c r="E232" s="211"/>
      <c r="F232" s="214"/>
      <c r="G232" s="216"/>
      <c r="H232" s="221"/>
      <c r="I232" s="221"/>
      <c r="J232" s="222"/>
      <c r="K232" s="211"/>
      <c r="L232" s="214"/>
      <c r="M232" s="188"/>
    </row>
    <row r="233" spans="1:13" ht="18" customHeight="1" x14ac:dyDescent="0.25">
      <c r="A233" s="188"/>
      <c r="B233" s="221"/>
      <c r="C233" s="221"/>
      <c r="D233" s="222"/>
      <c r="E233" s="211"/>
      <c r="F233" s="214"/>
      <c r="G233" s="216"/>
      <c r="H233" s="221"/>
      <c r="I233" s="221"/>
      <c r="J233" s="222"/>
      <c r="K233" s="211"/>
      <c r="L233" s="214"/>
      <c r="M233" s="188"/>
    </row>
    <row r="234" spans="1:13" ht="18" customHeight="1" x14ac:dyDescent="0.25">
      <c r="A234" s="188"/>
      <c r="B234" s="221"/>
      <c r="C234" s="221"/>
      <c r="D234" s="222"/>
      <c r="E234" s="211"/>
      <c r="F234" s="214"/>
      <c r="G234" s="216"/>
      <c r="H234" s="221"/>
      <c r="I234" s="221"/>
      <c r="J234" s="222"/>
      <c r="K234" s="211"/>
      <c r="L234" s="214"/>
      <c r="M234" s="188"/>
    </row>
    <row r="235" spans="1:13" ht="18" customHeight="1" x14ac:dyDescent="0.25">
      <c r="A235" s="188"/>
      <c r="B235" s="221"/>
      <c r="C235" s="221"/>
      <c r="D235" s="222"/>
      <c r="E235" s="211"/>
      <c r="F235" s="214"/>
      <c r="G235" s="216"/>
      <c r="H235" s="221"/>
      <c r="I235" s="221"/>
      <c r="J235" s="222"/>
      <c r="K235" s="211"/>
      <c r="L235" s="214"/>
      <c r="M235" s="188"/>
    </row>
    <row r="236" spans="1:13" ht="18" customHeight="1" x14ac:dyDescent="0.25">
      <c r="A236" s="188"/>
      <c r="B236" s="221"/>
      <c r="C236" s="221"/>
      <c r="D236" s="222"/>
      <c r="E236" s="211"/>
      <c r="F236" s="214"/>
      <c r="G236" s="216"/>
      <c r="H236" s="221"/>
      <c r="I236" s="221"/>
      <c r="J236" s="222"/>
      <c r="K236" s="211"/>
      <c r="L236" s="214"/>
      <c r="M236" s="188"/>
    </row>
    <row r="237" spans="1:13" ht="18" customHeight="1" x14ac:dyDescent="0.25">
      <c r="A237" s="188"/>
      <c r="B237" s="221"/>
      <c r="C237" s="221"/>
      <c r="D237" s="222"/>
      <c r="E237" s="211"/>
      <c r="F237" s="214"/>
      <c r="G237" s="216"/>
      <c r="H237" s="221"/>
      <c r="I237" s="221"/>
      <c r="J237" s="222"/>
      <c r="K237" s="211"/>
      <c r="L237" s="214"/>
      <c r="M237" s="188"/>
    </row>
    <row r="238" spans="1:13" ht="18" customHeight="1" x14ac:dyDescent="0.25">
      <c r="A238" s="188"/>
      <c r="B238" s="221"/>
      <c r="C238" s="221"/>
      <c r="D238" s="222"/>
      <c r="E238" s="211"/>
      <c r="F238" s="214"/>
      <c r="G238" s="216"/>
      <c r="H238" s="221"/>
      <c r="I238" s="221"/>
      <c r="J238" s="222"/>
      <c r="K238" s="211"/>
      <c r="L238" s="214"/>
      <c r="M238" s="188"/>
    </row>
    <row r="239" spans="1:13" ht="18" customHeight="1" x14ac:dyDescent="0.25">
      <c r="A239" s="188"/>
      <c r="B239" s="221"/>
      <c r="C239" s="221"/>
      <c r="D239" s="222"/>
      <c r="E239" s="211"/>
      <c r="F239" s="214"/>
      <c r="G239" s="216"/>
      <c r="H239" s="221"/>
      <c r="I239" s="221"/>
      <c r="J239" s="222"/>
      <c r="K239" s="211"/>
      <c r="L239" s="214"/>
      <c r="M239" s="188"/>
    </row>
    <row r="240" spans="1:13" ht="18" customHeight="1" x14ac:dyDescent="0.25">
      <c r="A240" s="188"/>
      <c r="B240" s="221"/>
      <c r="C240" s="221"/>
      <c r="D240" s="222"/>
      <c r="E240" s="211"/>
      <c r="F240" s="214"/>
      <c r="G240" s="216"/>
      <c r="H240" s="221"/>
      <c r="I240" s="221"/>
      <c r="J240" s="222"/>
      <c r="K240" s="211"/>
      <c r="L240" s="214"/>
      <c r="M240" s="188"/>
    </row>
    <row r="241" spans="1:13" ht="18" customHeight="1" x14ac:dyDescent="0.25">
      <c r="A241" s="188"/>
      <c r="B241" s="221"/>
      <c r="C241" s="221"/>
      <c r="D241" s="222"/>
      <c r="E241" s="211"/>
      <c r="F241" s="214"/>
      <c r="G241" s="216"/>
      <c r="H241" s="221"/>
      <c r="I241" s="221"/>
      <c r="J241" s="222"/>
      <c r="K241" s="211"/>
      <c r="L241" s="214"/>
      <c r="M241" s="188"/>
    </row>
    <row r="242" spans="1:13" ht="18" customHeight="1" x14ac:dyDescent="0.25">
      <c r="A242" s="188"/>
      <c r="B242" s="221"/>
      <c r="C242" s="221"/>
      <c r="D242" s="222"/>
      <c r="E242" s="211"/>
      <c r="F242" s="214"/>
      <c r="G242" s="216"/>
      <c r="H242" s="221"/>
      <c r="I242" s="221"/>
      <c r="J242" s="222"/>
      <c r="K242" s="211"/>
      <c r="L242" s="214"/>
      <c r="M242" s="188"/>
    </row>
    <row r="243" spans="1:13" ht="18" customHeight="1" x14ac:dyDescent="0.25">
      <c r="A243" s="188"/>
      <c r="B243" s="221"/>
      <c r="C243" s="221"/>
      <c r="D243" s="222"/>
      <c r="E243" s="211"/>
      <c r="F243" s="214"/>
      <c r="G243" s="216"/>
      <c r="H243" s="221"/>
      <c r="I243" s="221"/>
      <c r="J243" s="222"/>
      <c r="K243" s="211"/>
      <c r="L243" s="214"/>
      <c r="M243" s="188"/>
    </row>
    <row r="244" spans="1:13" ht="18" customHeight="1" x14ac:dyDescent="0.25">
      <c r="A244" s="188"/>
      <c r="B244" s="221"/>
      <c r="C244" s="221"/>
      <c r="D244" s="222"/>
      <c r="E244" s="211"/>
      <c r="F244" s="214"/>
      <c r="G244" s="216"/>
      <c r="H244" s="221"/>
      <c r="I244" s="221"/>
      <c r="J244" s="222"/>
      <c r="K244" s="211"/>
      <c r="L244" s="214"/>
      <c r="M244" s="188"/>
    </row>
    <row r="245" spans="1:13" ht="15.75" customHeight="1" x14ac:dyDescent="0.25"/>
    <row r="246" spans="1:13" ht="15.75" customHeight="1" x14ac:dyDescent="0.25"/>
    <row r="247" spans="1:13" ht="15.75" customHeight="1" x14ac:dyDescent="0.25"/>
    <row r="248" spans="1:13" ht="15.75" customHeight="1" x14ac:dyDescent="0.25"/>
    <row r="249" spans="1:13" ht="15.75" customHeight="1" x14ac:dyDescent="0.25"/>
    <row r="250" spans="1:13" ht="15.75" customHeight="1" x14ac:dyDescent="0.25"/>
    <row r="251" spans="1:13" ht="15.75" customHeight="1" x14ac:dyDescent="0.25"/>
    <row r="252" spans="1:13" ht="15.75" customHeight="1" x14ac:dyDescent="0.25"/>
    <row r="253" spans="1:13" ht="15.75" customHeight="1" x14ac:dyDescent="0.25"/>
    <row r="254" spans="1:13" ht="15.75" customHeight="1" x14ac:dyDescent="0.25"/>
    <row r="255" spans="1:13" ht="15.75" customHeight="1" x14ac:dyDescent="0.25"/>
    <row r="256" spans="1:1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9">
    <mergeCell ref="H41:I41"/>
    <mergeCell ref="H42:I42"/>
    <mergeCell ref="H43:I43"/>
    <mergeCell ref="H44:I44"/>
    <mergeCell ref="H30:I30"/>
    <mergeCell ref="H31:I31"/>
    <mergeCell ref="H32:I32"/>
    <mergeCell ref="H33:I33"/>
    <mergeCell ref="H34:I34"/>
    <mergeCell ref="H35:I35"/>
    <mergeCell ref="H36:I36"/>
    <mergeCell ref="B35:C35"/>
    <mergeCell ref="H37:I37"/>
    <mergeCell ref="H38:I38"/>
    <mergeCell ref="H39:I39"/>
    <mergeCell ref="H40:I40"/>
    <mergeCell ref="B30:C30"/>
    <mergeCell ref="B31:C31"/>
    <mergeCell ref="B32:C32"/>
    <mergeCell ref="B33:C33"/>
    <mergeCell ref="B34:C34"/>
    <mergeCell ref="B27:C27"/>
    <mergeCell ref="H27:I27"/>
    <mergeCell ref="B28:C28"/>
    <mergeCell ref="H28:I28"/>
    <mergeCell ref="H29:I29"/>
    <mergeCell ref="B29:C29"/>
    <mergeCell ref="D22:F22"/>
    <mergeCell ref="J22:L22"/>
    <mergeCell ref="J23:L23"/>
    <mergeCell ref="D23:F23"/>
    <mergeCell ref="B24:C24"/>
    <mergeCell ref="I16:K16"/>
    <mergeCell ref="I17:K17"/>
    <mergeCell ref="B20:F20"/>
    <mergeCell ref="D21:F21"/>
    <mergeCell ref="J21:L21"/>
    <mergeCell ref="J8:K8"/>
    <mergeCell ref="B8:E9"/>
    <mergeCell ref="D12:D15"/>
    <mergeCell ref="E12:E15"/>
    <mergeCell ref="I13:K13"/>
    <mergeCell ref="I14:K14"/>
    <mergeCell ref="I15:K15"/>
    <mergeCell ref="B2:H2"/>
    <mergeCell ref="I2:L2"/>
    <mergeCell ref="B3:G4"/>
    <mergeCell ref="I3:L3"/>
    <mergeCell ref="I4:M5"/>
    <mergeCell ref="B5:G6"/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</mergeCells>
  <conditionalFormatting sqref="B27:C1000 H27:H1000">
    <cfRule type="notContainsBlanks" dxfId="39" priority="1">
      <formula>LEN(TRIM(B27))&gt;0</formula>
    </cfRule>
  </conditionalFormatting>
  <conditionalFormatting sqref="D27:D1000">
    <cfRule type="expression" dxfId="38" priority="2">
      <formula>NOT(ISBLANK(B27))</formula>
    </cfRule>
  </conditionalFormatting>
  <conditionalFormatting sqref="F26:F1000 L26:L1000 E28:E42">
    <cfRule type="cellIs" dxfId="37" priority="4" operator="lessThan">
      <formula>0</formula>
    </cfRule>
  </conditionalFormatting>
  <conditionalFormatting sqref="F27:F1000 L27:L1000 E28:E42">
    <cfRule type="cellIs" dxfId="36" priority="5" operator="equal">
      <formula>0</formula>
    </cfRule>
  </conditionalFormatting>
  <conditionalFormatting sqref="J27:J1000">
    <cfRule type="expression" dxfId="35" priority="3">
      <formula>NOT(ISBLANK(H27))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5.109375" customWidth="1"/>
    <col min="2" max="2" width="10.44140625" customWidth="1"/>
    <col min="3" max="3" width="10" customWidth="1"/>
    <col min="4" max="4" width="15.88671875" customWidth="1"/>
    <col min="5" max="5" width="19.44140625" customWidth="1"/>
    <col min="6" max="6" width="5.109375" customWidth="1"/>
    <col min="9" max="9" width="13.21875" customWidth="1"/>
    <col min="11" max="11" width="5.109375" customWidth="1"/>
  </cols>
  <sheetData>
    <row r="1" spans="1:11" ht="33" customHeight="1" x14ac:dyDescent="0.25">
      <c r="A1" s="223"/>
      <c r="B1" s="294" t="s">
        <v>60</v>
      </c>
      <c r="C1" s="266"/>
      <c r="D1" s="266"/>
      <c r="E1" s="266"/>
      <c r="F1" s="266"/>
      <c r="G1" s="266"/>
      <c r="H1" s="266"/>
      <c r="I1" s="266"/>
      <c r="J1" s="266"/>
      <c r="K1" s="223"/>
    </row>
    <row r="2" spans="1:11" ht="48" customHeight="1" x14ac:dyDescent="0.45">
      <c r="A2" s="224"/>
      <c r="B2" s="225" t="s">
        <v>10</v>
      </c>
      <c r="C2" s="226"/>
      <c r="D2" s="227"/>
      <c r="E2" s="227"/>
      <c r="F2" s="227"/>
      <c r="G2" s="225" t="s">
        <v>9</v>
      </c>
      <c r="H2" s="228"/>
      <c r="I2" s="224"/>
      <c r="J2" s="224"/>
      <c r="K2" s="224"/>
    </row>
    <row r="3" spans="1:11" ht="12" customHeight="1" x14ac:dyDescent="0.3">
      <c r="A3" s="13"/>
      <c r="B3" s="229"/>
      <c r="C3" s="230"/>
      <c r="D3" s="229"/>
      <c r="E3" s="229"/>
      <c r="F3" s="13"/>
      <c r="G3" s="229"/>
      <c r="H3" s="231"/>
      <c r="I3" s="229"/>
      <c r="J3" s="229"/>
      <c r="K3" s="13"/>
    </row>
    <row r="4" spans="1:11" ht="24" customHeight="1" x14ac:dyDescent="0.25">
      <c r="A4" s="19"/>
      <c r="B4" s="232" t="s">
        <v>61</v>
      </c>
      <c r="C4" s="232" t="s">
        <v>62</v>
      </c>
      <c r="D4" s="232" t="s">
        <v>63</v>
      </c>
      <c r="E4" s="232" t="s">
        <v>64</v>
      </c>
      <c r="F4" s="19"/>
      <c r="G4" s="232" t="s">
        <v>61</v>
      </c>
      <c r="H4" s="232" t="s">
        <v>62</v>
      </c>
      <c r="I4" s="232" t="s">
        <v>63</v>
      </c>
      <c r="J4" s="232" t="s">
        <v>64</v>
      </c>
      <c r="K4" s="19"/>
    </row>
    <row r="5" spans="1:11" ht="19.5" customHeight="1" x14ac:dyDescent="0.25">
      <c r="A5" s="19"/>
      <c r="B5" s="233"/>
      <c r="C5" s="234"/>
      <c r="D5" s="235"/>
      <c r="E5" s="236"/>
      <c r="F5" s="19"/>
      <c r="G5" s="233"/>
      <c r="H5" s="234"/>
      <c r="I5" s="237"/>
      <c r="J5" s="236"/>
      <c r="K5" s="19"/>
    </row>
    <row r="6" spans="1:11" ht="19.5" customHeight="1" x14ac:dyDescent="0.25">
      <c r="A6" s="19"/>
      <c r="B6" s="233"/>
      <c r="C6" s="238"/>
      <c r="D6" s="239"/>
      <c r="E6" s="240"/>
      <c r="F6" s="19"/>
      <c r="G6" s="233"/>
      <c r="H6" s="238"/>
      <c r="I6" s="237"/>
      <c r="J6" s="236"/>
      <c r="K6" s="19"/>
    </row>
    <row r="7" spans="1:11" ht="19.5" customHeight="1" x14ac:dyDescent="0.25">
      <c r="A7" s="19"/>
      <c r="B7" s="233"/>
      <c r="C7" s="238"/>
      <c r="D7" s="239"/>
      <c r="E7" s="240"/>
      <c r="F7" s="19"/>
      <c r="G7" s="233"/>
      <c r="H7" s="238"/>
      <c r="I7" s="237"/>
      <c r="J7" s="236"/>
      <c r="K7" s="19"/>
    </row>
    <row r="8" spans="1:11" ht="19.5" customHeight="1" x14ac:dyDescent="0.25">
      <c r="A8" s="19"/>
      <c r="B8" s="233"/>
      <c r="C8" s="238"/>
      <c r="D8" s="239"/>
      <c r="E8" s="240"/>
      <c r="F8" s="19"/>
      <c r="G8" s="233"/>
      <c r="H8" s="238"/>
      <c r="I8" s="237"/>
      <c r="J8" s="236"/>
      <c r="K8" s="19"/>
    </row>
    <row r="9" spans="1:11" ht="19.5" customHeight="1" x14ac:dyDescent="0.25">
      <c r="A9" s="19"/>
      <c r="B9" s="233"/>
      <c r="C9" s="238"/>
      <c r="D9" s="239"/>
      <c r="E9" s="240"/>
      <c r="F9" s="19"/>
      <c r="G9" s="242"/>
      <c r="H9" s="238"/>
      <c r="I9" s="237"/>
      <c r="J9" s="236"/>
      <c r="K9" s="19"/>
    </row>
    <row r="10" spans="1:11" ht="19.5" customHeight="1" x14ac:dyDescent="0.25">
      <c r="A10" s="19"/>
      <c r="B10" s="233"/>
      <c r="C10" s="238"/>
      <c r="D10" s="239"/>
      <c r="E10" s="240"/>
      <c r="F10" s="19"/>
      <c r="G10" s="242"/>
      <c r="H10" s="238"/>
      <c r="I10" s="237"/>
      <c r="J10" s="236"/>
      <c r="K10" s="19"/>
    </row>
    <row r="11" spans="1:11" ht="19.5" customHeight="1" x14ac:dyDescent="0.25">
      <c r="A11" s="19"/>
      <c r="B11" s="233"/>
      <c r="C11" s="238"/>
      <c r="D11" s="239"/>
      <c r="E11" s="240"/>
      <c r="F11" s="19"/>
      <c r="G11" s="242"/>
      <c r="H11" s="238"/>
      <c r="I11" s="237"/>
      <c r="J11" s="236"/>
      <c r="K11" s="19"/>
    </row>
    <row r="12" spans="1:11" ht="19.5" customHeight="1" x14ac:dyDescent="0.25">
      <c r="A12" s="19"/>
      <c r="B12" s="233"/>
      <c r="C12" s="238"/>
      <c r="D12" s="239"/>
      <c r="E12" s="240"/>
      <c r="F12" s="19"/>
      <c r="G12" s="242"/>
      <c r="H12" s="238"/>
      <c r="I12" s="237"/>
      <c r="J12" s="236"/>
      <c r="K12" s="19"/>
    </row>
    <row r="13" spans="1:11" ht="19.5" customHeight="1" x14ac:dyDescent="0.25">
      <c r="A13" s="19"/>
      <c r="B13" s="233"/>
      <c r="C13" s="238"/>
      <c r="D13" s="239"/>
      <c r="E13" s="240"/>
      <c r="F13" s="19"/>
      <c r="G13" s="242"/>
      <c r="H13" s="238"/>
      <c r="I13" s="237"/>
      <c r="J13" s="236"/>
      <c r="K13" s="19"/>
    </row>
    <row r="14" spans="1:11" ht="19.5" customHeight="1" x14ac:dyDescent="0.25">
      <c r="A14" s="19"/>
      <c r="B14" s="233"/>
      <c r="C14" s="238"/>
      <c r="D14" s="239"/>
      <c r="E14" s="240"/>
      <c r="F14" s="19"/>
      <c r="G14" s="242"/>
      <c r="H14" s="238"/>
      <c r="I14" s="237"/>
      <c r="J14" s="236"/>
      <c r="K14" s="19"/>
    </row>
    <row r="15" spans="1:11" ht="19.5" customHeight="1" x14ac:dyDescent="0.25">
      <c r="A15" s="19"/>
      <c r="B15" s="233"/>
      <c r="C15" s="238"/>
      <c r="D15" s="239"/>
      <c r="E15" s="240"/>
      <c r="F15" s="19"/>
      <c r="G15" s="242"/>
      <c r="H15" s="238"/>
      <c r="I15" s="237"/>
      <c r="J15" s="236"/>
      <c r="K15" s="19"/>
    </row>
    <row r="16" spans="1:11" ht="19.5" customHeight="1" x14ac:dyDescent="0.25">
      <c r="A16" s="19"/>
      <c r="B16" s="233"/>
      <c r="C16" s="238"/>
      <c r="D16" s="239"/>
      <c r="E16" s="240"/>
      <c r="F16" s="19"/>
      <c r="G16" s="242"/>
      <c r="H16" s="238"/>
      <c r="I16" s="237"/>
      <c r="J16" s="236"/>
      <c r="K16" s="19"/>
    </row>
    <row r="17" spans="1:11" ht="19.5" customHeight="1" x14ac:dyDescent="0.25">
      <c r="A17" s="19"/>
      <c r="B17" s="233"/>
      <c r="C17" s="238"/>
      <c r="D17" s="239"/>
      <c r="E17" s="240"/>
      <c r="F17" s="19"/>
      <c r="G17" s="242"/>
      <c r="H17" s="238"/>
      <c r="I17" s="237"/>
      <c r="J17" s="236"/>
      <c r="K17" s="19"/>
    </row>
    <row r="18" spans="1:11" ht="19.5" customHeight="1" x14ac:dyDescent="0.25">
      <c r="A18" s="19"/>
      <c r="B18" s="233"/>
      <c r="C18" s="238"/>
      <c r="D18" s="239"/>
      <c r="E18" s="240"/>
      <c r="F18" s="19"/>
      <c r="G18" s="242"/>
      <c r="H18" s="238"/>
      <c r="I18" s="237"/>
      <c r="J18" s="236"/>
      <c r="K18" s="19"/>
    </row>
    <row r="19" spans="1:11" ht="19.5" customHeight="1" x14ac:dyDescent="0.25">
      <c r="A19" s="19"/>
      <c r="B19" s="233"/>
      <c r="C19" s="238"/>
      <c r="D19" s="239"/>
      <c r="E19" s="240"/>
      <c r="F19" s="19"/>
      <c r="G19" s="242"/>
      <c r="H19" s="238"/>
      <c r="I19" s="237"/>
      <c r="J19" s="236"/>
      <c r="K19" s="19"/>
    </row>
    <row r="20" spans="1:11" ht="19.5" customHeight="1" x14ac:dyDescent="0.25">
      <c r="A20" s="19"/>
      <c r="B20" s="242"/>
      <c r="C20" s="238"/>
      <c r="D20" s="239"/>
      <c r="E20" s="240"/>
      <c r="F20" s="19"/>
      <c r="G20" s="242"/>
      <c r="H20" s="238"/>
      <c r="I20" s="237"/>
      <c r="J20" s="236"/>
      <c r="K20" s="19"/>
    </row>
    <row r="21" spans="1:11" ht="19.5" customHeight="1" x14ac:dyDescent="0.25">
      <c r="A21" s="19"/>
      <c r="B21" s="243"/>
      <c r="C21" s="238"/>
      <c r="D21" s="239"/>
      <c r="E21" s="240"/>
      <c r="F21" s="19"/>
      <c r="G21" s="242"/>
      <c r="H21" s="238"/>
      <c r="I21" s="237"/>
      <c r="J21" s="236"/>
      <c r="K21" s="19"/>
    </row>
    <row r="22" spans="1:11" ht="19.5" customHeight="1" x14ac:dyDescent="0.25">
      <c r="A22" s="19"/>
      <c r="B22" s="243"/>
      <c r="C22" s="238"/>
      <c r="D22" s="239"/>
      <c r="E22" s="240"/>
      <c r="F22" s="19"/>
      <c r="G22" s="242"/>
      <c r="H22" s="238"/>
      <c r="I22" s="237"/>
      <c r="J22" s="236"/>
      <c r="K22" s="19"/>
    </row>
    <row r="23" spans="1:11" ht="19.5" customHeight="1" x14ac:dyDescent="0.25">
      <c r="A23" s="19"/>
      <c r="B23" s="243"/>
      <c r="C23" s="238"/>
      <c r="D23" s="239"/>
      <c r="E23" s="240"/>
      <c r="F23" s="19"/>
      <c r="G23" s="242"/>
      <c r="H23" s="238"/>
      <c r="I23" s="237"/>
      <c r="J23" s="236"/>
      <c r="K23" s="19"/>
    </row>
    <row r="24" spans="1:11" ht="19.5" customHeight="1" x14ac:dyDescent="0.25">
      <c r="A24" s="19"/>
      <c r="B24" s="242"/>
      <c r="C24" s="238"/>
      <c r="D24" s="239"/>
      <c r="E24" s="240"/>
      <c r="F24" s="19"/>
      <c r="G24" s="242"/>
      <c r="H24" s="238"/>
      <c r="I24" s="237"/>
      <c r="J24" s="236"/>
      <c r="K24" s="19"/>
    </row>
    <row r="25" spans="1:11" ht="19.5" customHeight="1" x14ac:dyDescent="0.25">
      <c r="A25" s="19"/>
      <c r="B25" s="242"/>
      <c r="C25" s="238"/>
      <c r="D25" s="239"/>
      <c r="E25" s="240"/>
      <c r="F25" s="19"/>
      <c r="G25" s="242"/>
      <c r="H25" s="238"/>
      <c r="I25" s="237"/>
      <c r="J25" s="236"/>
      <c r="K25" s="19"/>
    </row>
    <row r="26" spans="1:11" ht="19.5" customHeight="1" x14ac:dyDescent="0.25">
      <c r="A26" s="19"/>
      <c r="B26" s="242"/>
      <c r="C26" s="238"/>
      <c r="D26" s="239"/>
      <c r="E26" s="240"/>
      <c r="F26" s="19"/>
      <c r="G26" s="242"/>
      <c r="H26" s="238"/>
      <c r="I26" s="237"/>
      <c r="J26" s="236"/>
      <c r="K26" s="19"/>
    </row>
    <row r="27" spans="1:11" ht="19.5" customHeight="1" x14ac:dyDescent="0.25">
      <c r="A27" s="19"/>
      <c r="B27" s="233"/>
      <c r="C27" s="238"/>
      <c r="D27" s="239"/>
      <c r="E27" s="240"/>
      <c r="F27" s="19"/>
      <c r="G27" s="242"/>
      <c r="H27" s="238"/>
      <c r="I27" s="237"/>
      <c r="J27" s="236"/>
      <c r="K27" s="19"/>
    </row>
    <row r="28" spans="1:11" ht="19.5" customHeight="1" x14ac:dyDescent="0.25">
      <c r="A28" s="19"/>
      <c r="B28" s="233"/>
      <c r="C28" s="238"/>
      <c r="D28" s="239"/>
      <c r="E28" s="240"/>
      <c r="F28" s="19"/>
      <c r="G28" s="242"/>
      <c r="H28" s="238"/>
      <c r="I28" s="237"/>
      <c r="J28" s="236"/>
      <c r="K28" s="19"/>
    </row>
    <row r="29" spans="1:11" ht="19.5" customHeight="1" x14ac:dyDescent="0.25">
      <c r="A29" s="19"/>
      <c r="B29" s="233"/>
      <c r="C29" s="238"/>
      <c r="D29" s="239"/>
      <c r="E29" s="240"/>
      <c r="F29" s="19"/>
      <c r="G29" s="242"/>
      <c r="H29" s="238"/>
      <c r="I29" s="237"/>
      <c r="J29" s="236"/>
      <c r="K29" s="19"/>
    </row>
    <row r="30" spans="1:11" ht="19.5" customHeight="1" x14ac:dyDescent="0.25">
      <c r="A30" s="19"/>
      <c r="B30" s="233"/>
      <c r="C30" s="238"/>
      <c r="D30" s="239"/>
      <c r="E30" s="240"/>
      <c r="F30" s="19"/>
      <c r="G30" s="242"/>
      <c r="H30" s="238"/>
      <c r="I30" s="237"/>
      <c r="J30" s="236"/>
      <c r="K30" s="19"/>
    </row>
    <row r="31" spans="1:11" ht="19.5" customHeight="1" x14ac:dyDescent="0.25">
      <c r="A31" s="19"/>
      <c r="B31" s="233"/>
      <c r="C31" s="238"/>
      <c r="D31" s="239"/>
      <c r="E31" s="240"/>
      <c r="F31" s="19"/>
      <c r="G31" s="242"/>
      <c r="H31" s="238"/>
      <c r="I31" s="237"/>
      <c r="J31" s="236"/>
      <c r="K31" s="19"/>
    </row>
    <row r="32" spans="1:11" ht="19.5" customHeight="1" x14ac:dyDescent="0.25">
      <c r="A32" s="19"/>
      <c r="B32" s="233"/>
      <c r="C32" s="238"/>
      <c r="D32" s="239"/>
      <c r="E32" s="240"/>
      <c r="F32" s="19"/>
      <c r="G32" s="242"/>
      <c r="H32" s="238"/>
      <c r="I32" s="237"/>
      <c r="J32" s="236"/>
      <c r="K32" s="19"/>
    </row>
    <row r="33" spans="1:11" ht="19.5" customHeight="1" x14ac:dyDescent="0.25">
      <c r="A33" s="19"/>
      <c r="B33" s="233"/>
      <c r="C33" s="238"/>
      <c r="D33" s="239"/>
      <c r="E33" s="240"/>
      <c r="F33" s="19"/>
      <c r="G33" s="242"/>
      <c r="H33" s="238"/>
      <c r="I33" s="237"/>
      <c r="J33" s="236"/>
      <c r="K33" s="19"/>
    </row>
    <row r="34" spans="1:11" ht="19.5" customHeight="1" x14ac:dyDescent="0.25">
      <c r="A34" s="19"/>
      <c r="B34" s="233"/>
      <c r="C34" s="238"/>
      <c r="D34" s="239"/>
      <c r="E34" s="240"/>
      <c r="F34" s="19"/>
      <c r="G34" s="242"/>
      <c r="H34" s="238"/>
      <c r="I34" s="237"/>
      <c r="J34" s="236"/>
      <c r="K34" s="19"/>
    </row>
    <row r="35" spans="1:11" ht="19.5" customHeight="1" x14ac:dyDescent="0.25">
      <c r="A35" s="19"/>
      <c r="B35" s="233"/>
      <c r="C35" s="238"/>
      <c r="D35" s="239"/>
      <c r="E35" s="240"/>
      <c r="F35" s="19"/>
      <c r="G35" s="242"/>
      <c r="H35" s="238"/>
      <c r="I35" s="237"/>
      <c r="J35" s="236"/>
      <c r="K35" s="19"/>
    </row>
    <row r="36" spans="1:11" ht="19.5" customHeight="1" x14ac:dyDescent="0.25">
      <c r="A36" s="19"/>
      <c r="B36" s="233"/>
      <c r="C36" s="238"/>
      <c r="D36" s="239"/>
      <c r="E36" s="240"/>
      <c r="F36" s="19"/>
      <c r="G36" s="242"/>
      <c r="H36" s="238"/>
      <c r="I36" s="241"/>
      <c r="J36" s="240"/>
      <c r="K36" s="19"/>
    </row>
    <row r="37" spans="1:11" ht="19.5" customHeight="1" x14ac:dyDescent="0.25">
      <c r="A37" s="19"/>
      <c r="B37" s="233"/>
      <c r="C37" s="238"/>
      <c r="D37" s="239"/>
      <c r="E37" s="240"/>
      <c r="F37" s="19"/>
      <c r="G37" s="242"/>
      <c r="H37" s="238"/>
      <c r="I37" s="241"/>
      <c r="J37" s="240"/>
      <c r="K37" s="19"/>
    </row>
    <row r="38" spans="1:11" ht="19.5" customHeight="1" x14ac:dyDescent="0.25">
      <c r="A38" s="19"/>
      <c r="B38" s="233"/>
      <c r="C38" s="238"/>
      <c r="D38" s="239"/>
      <c r="E38" s="240"/>
      <c r="F38" s="19"/>
      <c r="G38" s="242"/>
      <c r="H38" s="238"/>
      <c r="I38" s="237"/>
      <c r="J38" s="236"/>
      <c r="K38" s="19"/>
    </row>
    <row r="39" spans="1:11" ht="19.5" customHeight="1" x14ac:dyDescent="0.25">
      <c r="A39" s="19"/>
      <c r="B39" s="233"/>
      <c r="C39" s="238"/>
      <c r="D39" s="239"/>
      <c r="E39" s="240"/>
      <c r="F39" s="19"/>
      <c r="G39" s="242"/>
      <c r="H39" s="238"/>
      <c r="I39" s="237"/>
      <c r="J39" s="236"/>
      <c r="K39" s="19"/>
    </row>
    <row r="40" spans="1:11" ht="19.5" customHeight="1" x14ac:dyDescent="0.25">
      <c r="A40" s="19"/>
      <c r="B40" s="233"/>
      <c r="C40" s="238"/>
      <c r="D40" s="239"/>
      <c r="E40" s="240"/>
      <c r="F40" s="19"/>
      <c r="G40" s="242"/>
      <c r="H40" s="238"/>
      <c r="I40" s="237"/>
      <c r="J40" s="236"/>
      <c r="K40" s="19"/>
    </row>
    <row r="41" spans="1:11" ht="19.5" customHeight="1" x14ac:dyDescent="0.25">
      <c r="A41" s="19"/>
      <c r="B41" s="233"/>
      <c r="C41" s="238"/>
      <c r="D41" s="239"/>
      <c r="E41" s="240"/>
      <c r="F41" s="19"/>
      <c r="G41" s="242"/>
      <c r="H41" s="238"/>
      <c r="I41" s="237"/>
      <c r="J41" s="236"/>
      <c r="K41" s="19"/>
    </row>
    <row r="42" spans="1:11" ht="19.5" customHeight="1" x14ac:dyDescent="0.25">
      <c r="A42" s="19"/>
      <c r="B42" s="233"/>
      <c r="C42" s="238"/>
      <c r="D42" s="239"/>
      <c r="E42" s="240"/>
      <c r="F42" s="19"/>
      <c r="G42" s="242"/>
      <c r="H42" s="238"/>
      <c r="I42" s="237"/>
      <c r="J42" s="236"/>
      <c r="K42" s="19"/>
    </row>
    <row r="43" spans="1:11" ht="19.5" customHeight="1" x14ac:dyDescent="0.25">
      <c r="A43" s="19"/>
      <c r="B43" s="233"/>
      <c r="C43" s="238"/>
      <c r="D43" s="239"/>
      <c r="E43" s="240"/>
      <c r="F43" s="19"/>
      <c r="G43" s="242"/>
      <c r="H43" s="238"/>
      <c r="I43" s="241"/>
      <c r="J43" s="240"/>
      <c r="K43" s="19"/>
    </row>
    <row r="44" spans="1:11" ht="19.5" customHeight="1" x14ac:dyDescent="0.25">
      <c r="A44" s="19"/>
      <c r="B44" s="233"/>
      <c r="C44" s="238"/>
      <c r="D44" s="239"/>
      <c r="E44" s="240"/>
      <c r="F44" s="19"/>
      <c r="G44" s="242"/>
      <c r="H44" s="238"/>
      <c r="I44" s="241"/>
      <c r="J44" s="240"/>
      <c r="K44" s="19"/>
    </row>
    <row r="45" spans="1:11" ht="19.5" customHeight="1" x14ac:dyDescent="0.25">
      <c r="A45" s="19"/>
      <c r="B45" s="233"/>
      <c r="C45" s="238"/>
      <c r="D45" s="239"/>
      <c r="E45" s="240"/>
      <c r="F45" s="19"/>
      <c r="G45" s="242"/>
      <c r="H45" s="238"/>
      <c r="I45" s="241"/>
      <c r="J45" s="240"/>
      <c r="K45" s="19"/>
    </row>
    <row r="46" spans="1:11" ht="19.5" customHeight="1" x14ac:dyDescent="0.25">
      <c r="A46" s="19"/>
      <c r="B46" s="233"/>
      <c r="C46" s="238"/>
      <c r="D46" s="239"/>
      <c r="E46" s="240"/>
      <c r="F46" s="19"/>
      <c r="G46" s="242"/>
      <c r="H46" s="238"/>
      <c r="I46" s="241"/>
      <c r="J46" s="240"/>
      <c r="K46" s="19"/>
    </row>
    <row r="47" spans="1:11" ht="19.5" customHeight="1" x14ac:dyDescent="0.25">
      <c r="A47" s="19"/>
      <c r="B47" s="233"/>
      <c r="C47" s="238"/>
      <c r="D47" s="239"/>
      <c r="E47" s="240"/>
      <c r="F47" s="19"/>
      <c r="G47" s="242"/>
      <c r="H47" s="238"/>
      <c r="I47" s="241"/>
      <c r="J47" s="240"/>
      <c r="K47" s="19"/>
    </row>
    <row r="48" spans="1:11" ht="19.5" customHeight="1" x14ac:dyDescent="0.25">
      <c r="A48" s="19"/>
      <c r="B48" s="233"/>
      <c r="C48" s="238"/>
      <c r="D48" s="239"/>
      <c r="E48" s="240"/>
      <c r="F48" s="19"/>
      <c r="G48" s="242"/>
      <c r="H48" s="238"/>
      <c r="I48" s="241"/>
      <c r="J48" s="240"/>
      <c r="K48" s="19"/>
    </row>
    <row r="49" spans="1:11" ht="19.5" customHeight="1" x14ac:dyDescent="0.25">
      <c r="A49" s="19"/>
      <c r="B49" s="233"/>
      <c r="C49" s="238"/>
      <c r="D49" s="239"/>
      <c r="E49" s="240"/>
      <c r="F49" s="19"/>
      <c r="G49" s="242"/>
      <c r="H49" s="238"/>
      <c r="I49" s="241"/>
      <c r="J49" s="240"/>
      <c r="K49" s="19"/>
    </row>
    <row r="50" spans="1:11" ht="19.5" customHeight="1" x14ac:dyDescent="0.25">
      <c r="A50" s="19"/>
      <c r="B50" s="244"/>
      <c r="C50" s="238"/>
      <c r="D50" s="239"/>
      <c r="E50" s="240"/>
      <c r="F50" s="19"/>
      <c r="G50" s="242"/>
      <c r="H50" s="238"/>
      <c r="I50" s="241"/>
      <c r="J50" s="240"/>
      <c r="K50" s="19"/>
    </row>
    <row r="51" spans="1:11" ht="19.5" customHeight="1" x14ac:dyDescent="0.25">
      <c r="A51" s="19"/>
      <c r="B51" s="233"/>
      <c r="C51" s="238"/>
      <c r="D51" s="239"/>
      <c r="E51" s="240"/>
      <c r="F51" s="19"/>
      <c r="G51" s="242"/>
      <c r="H51" s="238"/>
      <c r="I51" s="241"/>
      <c r="J51" s="240"/>
      <c r="K51" s="19"/>
    </row>
    <row r="52" spans="1:11" ht="19.5" customHeight="1" x14ac:dyDescent="0.25">
      <c r="A52" s="19"/>
      <c r="B52" s="233"/>
      <c r="C52" s="238"/>
      <c r="D52" s="239"/>
      <c r="E52" s="240"/>
      <c r="F52" s="19"/>
      <c r="G52" s="242"/>
      <c r="H52" s="238"/>
      <c r="I52" s="241"/>
      <c r="J52" s="240"/>
      <c r="K52" s="19"/>
    </row>
    <row r="53" spans="1:11" ht="19.5" customHeight="1" x14ac:dyDescent="0.25">
      <c r="A53" s="19"/>
      <c r="B53" s="233"/>
      <c r="C53" s="238"/>
      <c r="D53" s="239"/>
      <c r="E53" s="240"/>
      <c r="F53" s="19"/>
      <c r="G53" s="242"/>
      <c r="H53" s="238"/>
      <c r="I53" s="241"/>
      <c r="J53" s="240"/>
      <c r="K53" s="19"/>
    </row>
    <row r="54" spans="1:11" ht="19.5" customHeight="1" x14ac:dyDescent="0.25">
      <c r="A54" s="19"/>
      <c r="B54" s="233"/>
      <c r="C54" s="238"/>
      <c r="D54" s="239"/>
      <c r="E54" s="240"/>
      <c r="F54" s="19"/>
      <c r="G54" s="242"/>
      <c r="H54" s="238"/>
      <c r="I54" s="241"/>
      <c r="J54" s="240"/>
      <c r="K54" s="19"/>
    </row>
    <row r="55" spans="1:11" ht="19.5" customHeight="1" x14ac:dyDescent="0.25">
      <c r="A55" s="19"/>
      <c r="B55" s="244"/>
      <c r="C55" s="238"/>
      <c r="D55" s="239"/>
      <c r="E55" s="240"/>
      <c r="F55" s="19"/>
      <c r="G55" s="242"/>
      <c r="H55" s="238"/>
      <c r="I55" s="241"/>
      <c r="J55" s="240"/>
      <c r="K55" s="19"/>
    </row>
    <row r="56" spans="1:11" ht="19.5" customHeight="1" x14ac:dyDescent="0.25">
      <c r="A56" s="19"/>
      <c r="B56" s="233"/>
      <c r="C56" s="238"/>
      <c r="D56" s="239"/>
      <c r="E56" s="240"/>
      <c r="F56" s="19"/>
      <c r="G56" s="242"/>
      <c r="H56" s="238"/>
      <c r="I56" s="241"/>
      <c r="J56" s="240"/>
      <c r="K56" s="19"/>
    </row>
    <row r="57" spans="1:11" ht="19.5" customHeight="1" x14ac:dyDescent="0.25">
      <c r="A57" s="19"/>
      <c r="B57" s="244"/>
      <c r="C57" s="238"/>
      <c r="D57" s="239"/>
      <c r="E57" s="240"/>
      <c r="F57" s="19"/>
      <c r="G57" s="242"/>
      <c r="H57" s="238"/>
      <c r="I57" s="241"/>
      <c r="J57" s="240"/>
      <c r="K57" s="19"/>
    </row>
    <row r="58" spans="1:11" ht="19.5" customHeight="1" x14ac:dyDescent="0.25">
      <c r="A58" s="19"/>
      <c r="B58" s="233"/>
      <c r="C58" s="238"/>
      <c r="D58" s="239"/>
      <c r="E58" s="240"/>
      <c r="F58" s="19"/>
      <c r="G58" s="242"/>
      <c r="H58" s="238"/>
      <c r="I58" s="241"/>
      <c r="J58" s="240"/>
      <c r="K58" s="19"/>
    </row>
    <row r="59" spans="1:11" ht="19.5" customHeight="1" x14ac:dyDescent="0.25">
      <c r="A59" s="19"/>
      <c r="B59" s="233"/>
      <c r="C59" s="238"/>
      <c r="D59" s="239"/>
      <c r="E59" s="240"/>
      <c r="F59" s="19"/>
      <c r="G59" s="242"/>
      <c r="H59" s="238"/>
      <c r="I59" s="241"/>
      <c r="J59" s="240"/>
      <c r="K59" s="19"/>
    </row>
    <row r="60" spans="1:11" ht="19.5" customHeight="1" x14ac:dyDescent="0.25">
      <c r="A60" s="19"/>
      <c r="B60" s="233"/>
      <c r="C60" s="238"/>
      <c r="D60" s="239"/>
      <c r="E60" s="240"/>
      <c r="F60" s="19"/>
      <c r="G60" s="242"/>
      <c r="H60" s="238"/>
      <c r="I60" s="241"/>
      <c r="J60" s="240"/>
      <c r="K60" s="19"/>
    </row>
    <row r="61" spans="1:11" ht="19.5" customHeight="1" x14ac:dyDescent="0.25">
      <c r="A61" s="19"/>
      <c r="B61" s="233"/>
      <c r="C61" s="238"/>
      <c r="D61" s="239"/>
      <c r="E61" s="240"/>
      <c r="F61" s="19"/>
      <c r="G61" s="242"/>
      <c r="H61" s="238"/>
      <c r="I61" s="241"/>
      <c r="J61" s="240"/>
      <c r="K61" s="19"/>
    </row>
    <row r="62" spans="1:11" ht="19.5" customHeight="1" x14ac:dyDescent="0.25">
      <c r="A62" s="19"/>
      <c r="B62" s="233"/>
      <c r="C62" s="238"/>
      <c r="D62" s="239"/>
      <c r="E62" s="240"/>
      <c r="F62" s="19"/>
      <c r="G62" s="242"/>
      <c r="H62" s="238"/>
      <c r="I62" s="241"/>
      <c r="J62" s="240"/>
      <c r="K62" s="19"/>
    </row>
    <row r="63" spans="1:11" ht="19.5" customHeight="1" x14ac:dyDescent="0.25">
      <c r="A63" s="19"/>
      <c r="B63" s="233"/>
      <c r="C63" s="238"/>
      <c r="D63" s="239"/>
      <c r="E63" s="240"/>
      <c r="F63" s="19"/>
      <c r="G63" s="242"/>
      <c r="H63" s="238"/>
      <c r="I63" s="241"/>
      <c r="J63" s="240"/>
      <c r="K63" s="19"/>
    </row>
    <row r="64" spans="1:11" ht="19.5" customHeight="1" x14ac:dyDescent="0.25">
      <c r="A64" s="19"/>
      <c r="B64" s="233"/>
      <c r="C64" s="238"/>
      <c r="D64" s="239"/>
      <c r="E64" s="240"/>
      <c r="F64" s="19"/>
      <c r="G64" s="242"/>
      <c r="H64" s="238"/>
      <c r="I64" s="241"/>
      <c r="J64" s="240"/>
      <c r="K64" s="19"/>
    </row>
    <row r="65" spans="1:11" ht="19.5" customHeight="1" x14ac:dyDescent="0.25">
      <c r="A65" s="19"/>
      <c r="B65" s="233"/>
      <c r="C65" s="238"/>
      <c r="D65" s="239"/>
      <c r="E65" s="240"/>
      <c r="F65" s="19"/>
      <c r="G65" s="242"/>
      <c r="H65" s="238"/>
      <c r="I65" s="241"/>
      <c r="J65" s="240"/>
      <c r="K65" s="19"/>
    </row>
    <row r="66" spans="1:11" ht="19.5" customHeight="1" x14ac:dyDescent="0.25">
      <c r="A66" s="19"/>
      <c r="B66" s="233"/>
      <c r="C66" s="238"/>
      <c r="D66" s="239"/>
      <c r="E66" s="240"/>
      <c r="F66" s="19"/>
      <c r="G66" s="242"/>
      <c r="H66" s="238"/>
      <c r="I66" s="241"/>
      <c r="J66" s="240"/>
      <c r="K66" s="19"/>
    </row>
    <row r="67" spans="1:11" ht="19.5" customHeight="1" x14ac:dyDescent="0.25">
      <c r="A67" s="19"/>
      <c r="B67" s="233"/>
      <c r="C67" s="238"/>
      <c r="D67" s="239"/>
      <c r="E67" s="240"/>
      <c r="F67" s="19"/>
      <c r="G67" s="242"/>
      <c r="H67" s="238"/>
      <c r="I67" s="241"/>
      <c r="J67" s="240"/>
      <c r="K67" s="19"/>
    </row>
    <row r="68" spans="1:11" ht="19.5" customHeight="1" x14ac:dyDescent="0.25">
      <c r="A68" s="19"/>
      <c r="B68" s="233"/>
      <c r="C68" s="238"/>
      <c r="D68" s="239"/>
      <c r="E68" s="240"/>
      <c r="F68" s="19"/>
      <c r="G68" s="242"/>
      <c r="H68" s="238"/>
      <c r="I68" s="241"/>
      <c r="J68" s="240"/>
      <c r="K68" s="19"/>
    </row>
    <row r="69" spans="1:11" ht="19.5" customHeight="1" x14ac:dyDescent="0.25">
      <c r="A69" s="19"/>
      <c r="B69" s="233"/>
      <c r="C69" s="238"/>
      <c r="D69" s="239"/>
      <c r="E69" s="240"/>
      <c r="F69" s="19"/>
      <c r="G69" s="242"/>
      <c r="H69" s="238"/>
      <c r="I69" s="241"/>
      <c r="J69" s="240"/>
      <c r="K69" s="19"/>
    </row>
    <row r="70" spans="1:11" ht="19.5" customHeight="1" x14ac:dyDescent="0.25">
      <c r="A70" s="19"/>
      <c r="B70" s="233"/>
      <c r="C70" s="238"/>
      <c r="D70" s="239"/>
      <c r="E70" s="240"/>
      <c r="F70" s="19"/>
      <c r="G70" s="242"/>
      <c r="H70" s="238"/>
      <c r="I70" s="241"/>
      <c r="J70" s="240"/>
      <c r="K70" s="19"/>
    </row>
    <row r="71" spans="1:11" ht="19.5" customHeight="1" x14ac:dyDescent="0.25">
      <c r="A71" s="19"/>
      <c r="B71" s="233"/>
      <c r="C71" s="238"/>
      <c r="D71" s="239"/>
      <c r="E71" s="240"/>
      <c r="F71" s="19"/>
      <c r="G71" s="242"/>
      <c r="H71" s="238"/>
      <c r="I71" s="241"/>
      <c r="J71" s="240"/>
      <c r="K71" s="19"/>
    </row>
    <row r="72" spans="1:11" ht="19.5" customHeight="1" x14ac:dyDescent="0.25">
      <c r="A72" s="19"/>
      <c r="B72" s="233"/>
      <c r="C72" s="238"/>
      <c r="D72" s="239"/>
      <c r="E72" s="240"/>
      <c r="F72" s="19"/>
      <c r="G72" s="242"/>
      <c r="H72" s="238"/>
      <c r="I72" s="241"/>
      <c r="J72" s="240"/>
      <c r="K72" s="19"/>
    </row>
    <row r="73" spans="1:11" ht="19.5" customHeight="1" x14ac:dyDescent="0.25">
      <c r="A73" s="19"/>
      <c r="B73" s="233"/>
      <c r="C73" s="238"/>
      <c r="D73" s="239"/>
      <c r="E73" s="240"/>
      <c r="F73" s="19"/>
      <c r="G73" s="242"/>
      <c r="H73" s="238"/>
      <c r="I73" s="241"/>
      <c r="J73" s="240"/>
      <c r="K73" s="19"/>
    </row>
    <row r="74" spans="1:11" ht="19.5" customHeight="1" x14ac:dyDescent="0.25">
      <c r="A74" s="19"/>
      <c r="B74" s="233"/>
      <c r="C74" s="238"/>
      <c r="D74" s="239"/>
      <c r="E74" s="240"/>
      <c r="F74" s="19"/>
      <c r="G74" s="242"/>
      <c r="H74" s="238"/>
      <c r="I74" s="241"/>
      <c r="J74" s="240"/>
      <c r="K74" s="19"/>
    </row>
    <row r="75" spans="1:11" ht="19.5" customHeight="1" x14ac:dyDescent="0.25">
      <c r="A75" s="19"/>
      <c r="B75" s="233"/>
      <c r="C75" s="238"/>
      <c r="D75" s="239"/>
      <c r="E75" s="240"/>
      <c r="F75" s="19"/>
      <c r="G75" s="242"/>
      <c r="H75" s="238"/>
      <c r="I75" s="241"/>
      <c r="J75" s="240"/>
      <c r="K75" s="19"/>
    </row>
    <row r="76" spans="1:11" ht="19.5" customHeight="1" x14ac:dyDescent="0.25">
      <c r="A76" s="19"/>
      <c r="B76" s="233"/>
      <c r="C76" s="238"/>
      <c r="D76" s="239"/>
      <c r="E76" s="240"/>
      <c r="F76" s="19"/>
      <c r="G76" s="242"/>
      <c r="H76" s="238"/>
      <c r="I76" s="241"/>
      <c r="J76" s="240"/>
      <c r="K76" s="19"/>
    </row>
    <row r="77" spans="1:11" ht="19.5" customHeight="1" x14ac:dyDescent="0.25">
      <c r="A77" s="19"/>
      <c r="B77" s="233"/>
      <c r="C77" s="238"/>
      <c r="D77" s="239"/>
      <c r="E77" s="240"/>
      <c r="F77" s="19"/>
      <c r="G77" s="242"/>
      <c r="H77" s="238"/>
      <c r="I77" s="241"/>
      <c r="J77" s="240"/>
      <c r="K77" s="19"/>
    </row>
    <row r="78" spans="1:11" ht="19.5" customHeight="1" x14ac:dyDescent="0.25">
      <c r="A78" s="19"/>
      <c r="B78" s="233"/>
      <c r="C78" s="238"/>
      <c r="D78" s="239"/>
      <c r="E78" s="240"/>
      <c r="F78" s="19"/>
      <c r="G78" s="242"/>
      <c r="H78" s="238"/>
      <c r="I78" s="241"/>
      <c r="J78" s="240"/>
      <c r="K78" s="19"/>
    </row>
    <row r="79" spans="1:11" ht="19.5" customHeight="1" x14ac:dyDescent="0.25">
      <c r="A79" s="19"/>
      <c r="B79" s="233"/>
      <c r="C79" s="238"/>
      <c r="D79" s="239"/>
      <c r="E79" s="240"/>
      <c r="F79" s="19"/>
      <c r="G79" s="242"/>
      <c r="H79" s="238"/>
      <c r="I79" s="241"/>
      <c r="J79" s="240"/>
      <c r="K79" s="19"/>
    </row>
    <row r="80" spans="1:11" ht="19.5" customHeight="1" x14ac:dyDescent="0.25">
      <c r="A80" s="19"/>
      <c r="B80" s="233"/>
      <c r="C80" s="238"/>
      <c r="D80" s="239"/>
      <c r="E80" s="240"/>
      <c r="F80" s="19"/>
      <c r="G80" s="242"/>
      <c r="H80" s="238"/>
      <c r="I80" s="241"/>
      <c r="J80" s="240"/>
      <c r="K80" s="19"/>
    </row>
    <row r="81" spans="1:11" ht="19.5" customHeight="1" x14ac:dyDescent="0.25">
      <c r="A81" s="19"/>
      <c r="B81" s="233"/>
      <c r="C81" s="238"/>
      <c r="D81" s="239"/>
      <c r="E81" s="240"/>
      <c r="F81" s="19"/>
      <c r="G81" s="242"/>
      <c r="H81" s="238"/>
      <c r="I81" s="241"/>
      <c r="J81" s="240"/>
      <c r="K81" s="19"/>
    </row>
    <row r="82" spans="1:11" ht="19.5" customHeight="1" x14ac:dyDescent="0.25">
      <c r="A82" s="19"/>
      <c r="B82" s="233"/>
      <c r="C82" s="238"/>
      <c r="D82" s="239"/>
      <c r="E82" s="240"/>
      <c r="F82" s="19"/>
      <c r="G82" s="242"/>
      <c r="H82" s="238"/>
      <c r="I82" s="241"/>
      <c r="J82" s="240"/>
      <c r="K82" s="19"/>
    </row>
    <row r="83" spans="1:11" ht="19.5" customHeight="1" x14ac:dyDescent="0.25">
      <c r="A83" s="19"/>
      <c r="B83" s="233"/>
      <c r="C83" s="238"/>
      <c r="D83" s="239"/>
      <c r="E83" s="240"/>
      <c r="F83" s="19"/>
      <c r="G83" s="242"/>
      <c r="H83" s="238"/>
      <c r="I83" s="241"/>
      <c r="J83" s="240"/>
      <c r="K83" s="19"/>
    </row>
    <row r="84" spans="1:11" ht="19.5" customHeight="1" x14ac:dyDescent="0.25">
      <c r="A84" s="19"/>
      <c r="B84" s="233"/>
      <c r="C84" s="238"/>
      <c r="D84" s="239"/>
      <c r="E84" s="240"/>
      <c r="F84" s="19"/>
      <c r="G84" s="242"/>
      <c r="H84" s="238"/>
      <c r="I84" s="241"/>
      <c r="J84" s="240"/>
      <c r="K84" s="19"/>
    </row>
    <row r="85" spans="1:11" ht="19.5" customHeight="1" x14ac:dyDescent="0.25">
      <c r="A85" s="19"/>
      <c r="B85" s="233"/>
      <c r="C85" s="238"/>
      <c r="D85" s="239"/>
      <c r="E85" s="240"/>
      <c r="F85" s="19"/>
      <c r="G85" s="242"/>
      <c r="H85" s="238"/>
      <c r="I85" s="241"/>
      <c r="J85" s="240"/>
      <c r="K85" s="19"/>
    </row>
    <row r="86" spans="1:11" ht="19.5" customHeight="1" x14ac:dyDescent="0.25">
      <c r="A86" s="19"/>
      <c r="B86" s="233"/>
      <c r="C86" s="238"/>
      <c r="D86" s="239"/>
      <c r="E86" s="240"/>
      <c r="F86" s="19"/>
      <c r="G86" s="242"/>
      <c r="H86" s="238"/>
      <c r="I86" s="241"/>
      <c r="J86" s="240"/>
      <c r="K86" s="19"/>
    </row>
    <row r="87" spans="1:11" ht="19.5" customHeight="1" x14ac:dyDescent="0.25">
      <c r="A87" s="19"/>
      <c r="B87" s="233"/>
      <c r="C87" s="238"/>
      <c r="D87" s="239"/>
      <c r="E87" s="240"/>
      <c r="F87" s="19"/>
      <c r="G87" s="242"/>
      <c r="H87" s="238"/>
      <c r="I87" s="241"/>
      <c r="J87" s="240"/>
      <c r="K87" s="19"/>
    </row>
    <row r="88" spans="1:11" ht="19.5" customHeight="1" x14ac:dyDescent="0.25">
      <c r="A88" s="19"/>
      <c r="B88" s="233"/>
      <c r="C88" s="238"/>
      <c r="D88" s="239"/>
      <c r="E88" s="240"/>
      <c r="F88" s="19"/>
      <c r="G88" s="242"/>
      <c r="H88" s="238"/>
      <c r="I88" s="241"/>
      <c r="J88" s="240"/>
      <c r="K88" s="19"/>
    </row>
    <row r="89" spans="1:11" ht="19.5" customHeight="1" x14ac:dyDescent="0.25">
      <c r="A89" s="19"/>
      <c r="B89" s="233"/>
      <c r="C89" s="238"/>
      <c r="D89" s="239"/>
      <c r="E89" s="240"/>
      <c r="F89" s="19"/>
      <c r="G89" s="242"/>
      <c r="H89" s="238"/>
      <c r="I89" s="241"/>
      <c r="J89" s="240"/>
      <c r="K89" s="19"/>
    </row>
    <row r="90" spans="1:11" ht="19.5" customHeight="1" x14ac:dyDescent="0.25">
      <c r="A90" s="19"/>
      <c r="B90" s="233"/>
      <c r="C90" s="238"/>
      <c r="D90" s="239"/>
      <c r="E90" s="240"/>
      <c r="F90" s="19"/>
      <c r="G90" s="242"/>
      <c r="H90" s="238"/>
      <c r="I90" s="241"/>
      <c r="J90" s="240"/>
      <c r="K90" s="19"/>
    </row>
    <row r="91" spans="1:11" ht="19.5" customHeight="1" x14ac:dyDescent="0.25">
      <c r="A91" s="19"/>
      <c r="B91" s="233"/>
      <c r="C91" s="238"/>
      <c r="D91" s="239"/>
      <c r="E91" s="240"/>
      <c r="F91" s="19"/>
      <c r="G91" s="242"/>
      <c r="H91" s="238"/>
      <c r="I91" s="241"/>
      <c r="J91" s="240"/>
      <c r="K91" s="19"/>
    </row>
    <row r="92" spans="1:11" ht="19.5" customHeight="1" x14ac:dyDescent="0.25">
      <c r="A92" s="19"/>
      <c r="B92" s="233"/>
      <c r="C92" s="238"/>
      <c r="D92" s="239"/>
      <c r="E92" s="240"/>
      <c r="F92" s="19"/>
      <c r="G92" s="242"/>
      <c r="H92" s="238"/>
      <c r="I92" s="241"/>
      <c r="J92" s="240"/>
      <c r="K92" s="19"/>
    </row>
    <row r="93" spans="1:11" ht="19.5" customHeight="1" x14ac:dyDescent="0.25">
      <c r="A93" s="19"/>
      <c r="B93" s="233"/>
      <c r="C93" s="238"/>
      <c r="D93" s="239"/>
      <c r="E93" s="240"/>
      <c r="F93" s="19"/>
      <c r="G93" s="242"/>
      <c r="H93" s="238"/>
      <c r="I93" s="241"/>
      <c r="J93" s="240"/>
      <c r="K93" s="19"/>
    </row>
    <row r="94" spans="1:11" ht="19.5" customHeight="1" x14ac:dyDescent="0.25">
      <c r="A94" s="19"/>
      <c r="B94" s="233"/>
      <c r="C94" s="238"/>
      <c r="D94" s="239"/>
      <c r="E94" s="240"/>
      <c r="F94" s="19"/>
      <c r="G94" s="242"/>
      <c r="H94" s="238"/>
      <c r="I94" s="241"/>
      <c r="J94" s="240"/>
      <c r="K94" s="19"/>
    </row>
    <row r="95" spans="1:11" ht="19.5" customHeight="1" x14ac:dyDescent="0.25">
      <c r="A95" s="19"/>
      <c r="B95" s="233"/>
      <c r="C95" s="238"/>
      <c r="D95" s="239"/>
      <c r="E95" s="240"/>
      <c r="F95" s="19"/>
      <c r="G95" s="242"/>
      <c r="H95" s="238"/>
      <c r="I95" s="241"/>
      <c r="J95" s="240"/>
      <c r="K95" s="19"/>
    </row>
    <row r="96" spans="1:11" ht="19.5" customHeight="1" x14ac:dyDescent="0.25">
      <c r="A96" s="19"/>
      <c r="B96" s="233"/>
      <c r="C96" s="238"/>
      <c r="D96" s="239"/>
      <c r="E96" s="240"/>
      <c r="F96" s="19"/>
      <c r="G96" s="242"/>
      <c r="H96" s="238"/>
      <c r="I96" s="241"/>
      <c r="J96" s="240"/>
      <c r="K96" s="19"/>
    </row>
    <row r="97" spans="1:11" ht="19.5" customHeight="1" x14ac:dyDescent="0.25">
      <c r="A97" s="19"/>
      <c r="B97" s="233"/>
      <c r="C97" s="238"/>
      <c r="D97" s="239"/>
      <c r="E97" s="240"/>
      <c r="F97" s="19"/>
      <c r="G97" s="242"/>
      <c r="H97" s="238"/>
      <c r="I97" s="241"/>
      <c r="J97" s="240"/>
      <c r="K97" s="19"/>
    </row>
    <row r="98" spans="1:11" ht="19.5" customHeight="1" x14ac:dyDescent="0.25">
      <c r="A98" s="19"/>
      <c r="B98" s="233"/>
      <c r="C98" s="238"/>
      <c r="D98" s="239"/>
      <c r="E98" s="240"/>
      <c r="F98" s="19"/>
      <c r="G98" s="242"/>
      <c r="H98" s="238"/>
      <c r="I98" s="241"/>
      <c r="J98" s="240"/>
      <c r="K98" s="19"/>
    </row>
    <row r="99" spans="1:11" ht="19.5" customHeight="1" x14ac:dyDescent="0.25">
      <c r="A99" s="19"/>
      <c r="B99" s="233"/>
      <c r="C99" s="238"/>
      <c r="D99" s="239"/>
      <c r="E99" s="240"/>
      <c r="F99" s="19"/>
      <c r="G99" s="242"/>
      <c r="H99" s="238"/>
      <c r="I99" s="241"/>
      <c r="J99" s="240"/>
      <c r="K99" s="19"/>
    </row>
    <row r="100" spans="1:11" ht="19.5" customHeight="1" x14ac:dyDescent="0.25">
      <c r="A100" s="19"/>
      <c r="B100" s="233"/>
      <c r="C100" s="238"/>
      <c r="D100" s="239"/>
      <c r="E100" s="240"/>
      <c r="F100" s="19"/>
      <c r="G100" s="242"/>
      <c r="H100" s="238"/>
      <c r="I100" s="241"/>
      <c r="J100" s="240"/>
      <c r="K100" s="19"/>
    </row>
    <row r="101" spans="1:11" ht="19.5" customHeight="1" x14ac:dyDescent="0.25">
      <c r="A101" s="19"/>
      <c r="B101" s="233"/>
      <c r="C101" s="238"/>
      <c r="D101" s="239"/>
      <c r="E101" s="240"/>
      <c r="F101" s="19"/>
      <c r="G101" s="242"/>
      <c r="H101" s="238"/>
      <c r="I101" s="241"/>
      <c r="J101" s="240"/>
      <c r="K101" s="19"/>
    </row>
    <row r="102" spans="1:11" ht="19.5" customHeight="1" x14ac:dyDescent="0.25">
      <c r="A102" s="19"/>
      <c r="B102" s="233"/>
      <c r="C102" s="238"/>
      <c r="D102" s="239"/>
      <c r="E102" s="240"/>
      <c r="F102" s="19"/>
      <c r="G102" s="242"/>
      <c r="H102" s="238"/>
      <c r="I102" s="241"/>
      <c r="J102" s="240"/>
      <c r="K102" s="19"/>
    </row>
    <row r="103" spans="1:11" ht="19.5" customHeight="1" x14ac:dyDescent="0.25">
      <c r="A103" s="19"/>
      <c r="B103" s="233"/>
      <c r="C103" s="238"/>
      <c r="D103" s="239"/>
      <c r="E103" s="240"/>
      <c r="F103" s="19"/>
      <c r="G103" s="242"/>
      <c r="H103" s="238"/>
      <c r="I103" s="241"/>
      <c r="J103" s="240"/>
      <c r="K103" s="19"/>
    </row>
    <row r="104" spans="1:11" ht="19.5" customHeight="1" x14ac:dyDescent="0.25">
      <c r="A104" s="19"/>
      <c r="B104" s="233"/>
      <c r="C104" s="238"/>
      <c r="D104" s="239"/>
      <c r="E104" s="240"/>
      <c r="F104" s="19"/>
      <c r="G104" s="242"/>
      <c r="H104" s="238"/>
      <c r="I104" s="241"/>
      <c r="J104" s="240"/>
      <c r="K104" s="19"/>
    </row>
    <row r="105" spans="1:11" ht="19.5" customHeight="1" x14ac:dyDescent="0.25">
      <c r="A105" s="19"/>
      <c r="B105" s="233"/>
      <c r="C105" s="238"/>
      <c r="D105" s="239"/>
      <c r="E105" s="240"/>
      <c r="F105" s="19"/>
      <c r="G105" s="242"/>
      <c r="H105" s="238"/>
      <c r="I105" s="241"/>
      <c r="J105" s="240"/>
      <c r="K105" s="19"/>
    </row>
    <row r="106" spans="1:11" ht="19.5" customHeight="1" x14ac:dyDescent="0.25">
      <c r="A106" s="19"/>
      <c r="B106" s="233"/>
      <c r="C106" s="238"/>
      <c r="D106" s="239"/>
      <c r="E106" s="240"/>
      <c r="F106" s="19"/>
      <c r="G106" s="242"/>
      <c r="H106" s="238"/>
      <c r="I106" s="241"/>
      <c r="J106" s="240"/>
      <c r="K106" s="19"/>
    </row>
    <row r="107" spans="1:11" ht="19.5" customHeight="1" x14ac:dyDescent="0.25">
      <c r="A107" s="19"/>
      <c r="B107" s="233"/>
      <c r="C107" s="238"/>
      <c r="D107" s="239"/>
      <c r="E107" s="240"/>
      <c r="F107" s="19"/>
      <c r="G107" s="242"/>
      <c r="H107" s="238"/>
      <c r="I107" s="241"/>
      <c r="J107" s="240"/>
      <c r="K107" s="19"/>
    </row>
    <row r="108" spans="1:11" ht="19.5" customHeight="1" x14ac:dyDescent="0.25">
      <c r="A108" s="19"/>
      <c r="B108" s="233"/>
      <c r="C108" s="238"/>
      <c r="D108" s="239"/>
      <c r="E108" s="240"/>
      <c r="F108" s="19"/>
      <c r="G108" s="242"/>
      <c r="H108" s="238"/>
      <c r="I108" s="241"/>
      <c r="J108" s="240"/>
      <c r="K108" s="19"/>
    </row>
    <row r="109" spans="1:11" ht="19.5" customHeight="1" x14ac:dyDescent="0.25">
      <c r="A109" s="19"/>
      <c r="B109" s="233"/>
      <c r="C109" s="238"/>
      <c r="D109" s="239"/>
      <c r="E109" s="240"/>
      <c r="F109" s="19"/>
      <c r="G109" s="242"/>
      <c r="H109" s="238"/>
      <c r="I109" s="241"/>
      <c r="J109" s="240"/>
      <c r="K109" s="19"/>
    </row>
    <row r="110" spans="1:11" ht="19.5" customHeight="1" x14ac:dyDescent="0.25">
      <c r="A110" s="19"/>
      <c r="B110" s="233"/>
      <c r="C110" s="238"/>
      <c r="D110" s="239"/>
      <c r="E110" s="240"/>
      <c r="F110" s="19"/>
      <c r="G110" s="242"/>
      <c r="H110" s="238"/>
      <c r="I110" s="241"/>
      <c r="J110" s="240"/>
      <c r="K110" s="19"/>
    </row>
    <row r="111" spans="1:11" ht="19.5" customHeight="1" x14ac:dyDescent="0.25">
      <c r="A111" s="19"/>
      <c r="B111" s="233"/>
      <c r="C111" s="238"/>
      <c r="D111" s="239"/>
      <c r="E111" s="240"/>
      <c r="F111" s="19"/>
      <c r="G111" s="242"/>
      <c r="H111" s="238"/>
      <c r="I111" s="241"/>
      <c r="J111" s="240"/>
      <c r="K111" s="19"/>
    </row>
    <row r="112" spans="1:11" ht="19.5" customHeight="1" x14ac:dyDescent="0.25">
      <c r="A112" s="19"/>
      <c r="B112" s="233"/>
      <c r="C112" s="238"/>
      <c r="D112" s="239"/>
      <c r="E112" s="240"/>
      <c r="F112" s="19"/>
      <c r="G112" s="242"/>
      <c r="H112" s="238"/>
      <c r="I112" s="241"/>
      <c r="J112" s="240"/>
      <c r="K112" s="19"/>
    </row>
    <row r="113" spans="1:11" ht="19.5" customHeight="1" x14ac:dyDescent="0.25">
      <c r="A113" s="19"/>
      <c r="B113" s="233"/>
      <c r="C113" s="238"/>
      <c r="D113" s="239"/>
      <c r="E113" s="240"/>
      <c r="F113" s="19"/>
      <c r="G113" s="242"/>
      <c r="H113" s="238"/>
      <c r="I113" s="241"/>
      <c r="J113" s="240"/>
      <c r="K113" s="19"/>
    </row>
    <row r="114" spans="1:11" ht="19.5" customHeight="1" x14ac:dyDescent="0.25">
      <c r="A114" s="19"/>
      <c r="B114" s="233"/>
      <c r="C114" s="238"/>
      <c r="D114" s="239"/>
      <c r="E114" s="240"/>
      <c r="F114" s="19"/>
      <c r="G114" s="242"/>
      <c r="H114" s="238"/>
      <c r="I114" s="241"/>
      <c r="J114" s="240"/>
      <c r="K114" s="19"/>
    </row>
    <row r="115" spans="1:11" ht="19.5" customHeight="1" x14ac:dyDescent="0.25">
      <c r="A115" s="19"/>
      <c r="B115" s="233"/>
      <c r="C115" s="238"/>
      <c r="D115" s="239"/>
      <c r="E115" s="240"/>
      <c r="F115" s="19"/>
      <c r="G115" s="242"/>
      <c r="H115" s="238"/>
      <c r="I115" s="241"/>
      <c r="J115" s="240"/>
      <c r="K115" s="19"/>
    </row>
    <row r="116" spans="1:11" ht="19.5" customHeight="1" x14ac:dyDescent="0.25">
      <c r="A116" s="19"/>
      <c r="F116" s="19"/>
      <c r="G116" s="242"/>
      <c r="H116" s="238"/>
      <c r="I116" s="241"/>
      <c r="J116" s="240"/>
      <c r="K116" s="19"/>
    </row>
    <row r="117" spans="1:11" ht="19.5" customHeight="1" x14ac:dyDescent="0.25">
      <c r="A117" s="19"/>
      <c r="F117" s="19"/>
      <c r="G117" s="242"/>
      <c r="H117" s="238"/>
      <c r="I117" s="241"/>
      <c r="J117" s="240"/>
      <c r="K117" s="19"/>
    </row>
    <row r="118" spans="1:11" ht="19.5" customHeight="1" x14ac:dyDescent="0.25">
      <c r="A118" s="19"/>
      <c r="F118" s="19"/>
      <c r="G118" s="242"/>
      <c r="H118" s="238"/>
      <c r="I118" s="241"/>
      <c r="J118" s="240"/>
      <c r="K118" s="19"/>
    </row>
    <row r="119" spans="1:11" ht="19.5" customHeight="1" x14ac:dyDescent="0.25">
      <c r="A119" s="19"/>
      <c r="F119" s="19"/>
      <c r="G119" s="242"/>
      <c r="H119" s="238"/>
      <c r="I119" s="241"/>
      <c r="J119" s="240"/>
      <c r="K119" s="19"/>
    </row>
    <row r="120" spans="1:11" ht="19.5" customHeight="1" x14ac:dyDescent="0.25">
      <c r="A120" s="19"/>
      <c r="F120" s="19"/>
      <c r="G120" s="242"/>
      <c r="H120" s="238"/>
      <c r="I120" s="241"/>
      <c r="J120" s="240"/>
      <c r="K120" s="19"/>
    </row>
    <row r="121" spans="1:11" ht="19.5" customHeight="1" x14ac:dyDescent="0.25">
      <c r="A121" s="19"/>
      <c r="B121" s="233"/>
      <c r="C121" s="238"/>
      <c r="D121" s="239"/>
      <c r="E121" s="240"/>
      <c r="F121" s="19"/>
      <c r="G121" s="242"/>
      <c r="H121" s="238"/>
      <c r="I121" s="241"/>
      <c r="J121" s="240"/>
      <c r="K121" s="19"/>
    </row>
    <row r="122" spans="1:11" ht="19.5" customHeight="1" x14ac:dyDescent="0.25">
      <c r="A122" s="19"/>
      <c r="B122" s="233"/>
      <c r="C122" s="238"/>
      <c r="D122" s="239"/>
      <c r="E122" s="240"/>
      <c r="F122" s="19"/>
      <c r="G122" s="242"/>
      <c r="H122" s="238"/>
      <c r="I122" s="241"/>
      <c r="J122" s="240"/>
      <c r="K122" s="19"/>
    </row>
    <row r="123" spans="1:11" ht="19.5" customHeight="1" x14ac:dyDescent="0.25">
      <c r="A123" s="19"/>
      <c r="B123" s="233"/>
      <c r="C123" s="238"/>
      <c r="D123" s="239"/>
      <c r="E123" s="240"/>
      <c r="F123" s="19"/>
      <c r="G123" s="242"/>
      <c r="H123" s="238"/>
      <c r="I123" s="241"/>
      <c r="J123" s="240"/>
      <c r="K123" s="19"/>
    </row>
    <row r="124" spans="1:11" ht="19.5" customHeight="1" x14ac:dyDescent="0.25">
      <c r="A124" s="19"/>
      <c r="B124" s="233"/>
      <c r="C124" s="238"/>
      <c r="D124" s="239"/>
      <c r="E124" s="240"/>
      <c r="F124" s="19"/>
      <c r="G124" s="242"/>
      <c r="H124" s="238"/>
      <c r="I124" s="241"/>
      <c r="J124" s="240"/>
      <c r="K124" s="19"/>
    </row>
    <row r="125" spans="1:11" ht="19.5" customHeight="1" x14ac:dyDescent="0.25">
      <c r="A125" s="19"/>
      <c r="B125" s="233"/>
      <c r="C125" s="238"/>
      <c r="D125" s="239"/>
      <c r="E125" s="240"/>
      <c r="F125" s="19"/>
      <c r="G125" s="242"/>
      <c r="H125" s="238"/>
      <c r="I125" s="241"/>
      <c r="J125" s="240"/>
      <c r="K125" s="19"/>
    </row>
    <row r="126" spans="1:11" ht="19.5" customHeight="1" x14ac:dyDescent="0.25">
      <c r="A126" s="19"/>
      <c r="B126" s="233"/>
      <c r="C126" s="238"/>
      <c r="D126" s="239"/>
      <c r="E126" s="240"/>
      <c r="F126" s="19"/>
      <c r="G126" s="242"/>
      <c r="H126" s="238"/>
      <c r="I126" s="241"/>
      <c r="J126" s="240"/>
      <c r="K126" s="19"/>
    </row>
    <row r="127" spans="1:11" ht="19.5" customHeight="1" x14ac:dyDescent="0.25">
      <c r="A127" s="19"/>
      <c r="B127" s="233"/>
      <c r="C127" s="238"/>
      <c r="D127" s="239"/>
      <c r="E127" s="240"/>
      <c r="F127" s="19"/>
      <c r="G127" s="242"/>
      <c r="H127" s="238"/>
      <c r="I127" s="241"/>
      <c r="J127" s="240"/>
      <c r="K127" s="19"/>
    </row>
    <row r="128" spans="1:11" ht="19.5" customHeight="1" x14ac:dyDescent="0.25">
      <c r="A128" s="19"/>
      <c r="B128" s="233"/>
      <c r="C128" s="238"/>
      <c r="D128" s="239"/>
      <c r="E128" s="240"/>
      <c r="F128" s="19"/>
      <c r="G128" s="242"/>
      <c r="H128" s="238"/>
      <c r="I128" s="241"/>
      <c r="J128" s="240"/>
      <c r="K128" s="19"/>
    </row>
    <row r="129" spans="1:11" ht="19.5" customHeight="1" x14ac:dyDescent="0.25">
      <c r="A129" s="19"/>
      <c r="B129" s="233"/>
      <c r="C129" s="238"/>
      <c r="D129" s="239"/>
      <c r="E129" s="240"/>
      <c r="F129" s="19"/>
      <c r="G129" s="242"/>
      <c r="H129" s="238"/>
      <c r="I129" s="241"/>
      <c r="J129" s="240"/>
      <c r="K129" s="19"/>
    </row>
    <row r="130" spans="1:11" ht="19.5" customHeight="1" x14ac:dyDescent="0.25">
      <c r="A130" s="19"/>
      <c r="B130" s="233"/>
      <c r="C130" s="238"/>
      <c r="D130" s="239"/>
      <c r="E130" s="240"/>
      <c r="F130" s="19"/>
      <c r="G130" s="242"/>
      <c r="H130" s="238"/>
      <c r="I130" s="241"/>
      <c r="J130" s="240"/>
      <c r="K130" s="19"/>
    </row>
    <row r="131" spans="1:11" ht="19.5" customHeight="1" x14ac:dyDescent="0.25">
      <c r="A131" s="19"/>
      <c r="B131" s="233"/>
      <c r="C131" s="238"/>
      <c r="D131" s="239"/>
      <c r="E131" s="240"/>
      <c r="F131" s="19"/>
      <c r="G131" s="242"/>
      <c r="H131" s="238"/>
      <c r="I131" s="241"/>
      <c r="J131" s="240"/>
      <c r="K131" s="19"/>
    </row>
    <row r="132" spans="1:11" ht="19.5" customHeight="1" x14ac:dyDescent="0.25">
      <c r="A132" s="19"/>
      <c r="B132" s="233"/>
      <c r="C132" s="238"/>
      <c r="D132" s="239"/>
      <c r="E132" s="240"/>
      <c r="F132" s="19"/>
      <c r="G132" s="242"/>
      <c r="H132" s="238"/>
      <c r="I132" s="241"/>
      <c r="J132" s="240"/>
      <c r="K132" s="19"/>
    </row>
    <row r="133" spans="1:11" ht="19.5" customHeight="1" x14ac:dyDescent="0.25">
      <c r="A133" s="19"/>
      <c r="B133" s="233"/>
      <c r="C133" s="238"/>
      <c r="D133" s="239"/>
      <c r="E133" s="240"/>
      <c r="F133" s="19"/>
      <c r="G133" s="242"/>
      <c r="H133" s="238"/>
      <c r="I133" s="241"/>
      <c r="J133" s="240"/>
      <c r="K133" s="19"/>
    </row>
    <row r="134" spans="1:11" ht="19.5" customHeight="1" x14ac:dyDescent="0.25">
      <c r="A134" s="19"/>
      <c r="B134" s="233"/>
      <c r="C134" s="238"/>
      <c r="D134" s="239"/>
      <c r="E134" s="240"/>
      <c r="F134" s="19"/>
      <c r="G134" s="242"/>
      <c r="H134" s="238"/>
      <c r="I134" s="241"/>
      <c r="J134" s="240"/>
      <c r="K134" s="19"/>
    </row>
    <row r="135" spans="1:11" ht="19.5" customHeight="1" x14ac:dyDescent="0.25">
      <c r="A135" s="19"/>
      <c r="B135" s="233"/>
      <c r="C135" s="238"/>
      <c r="D135" s="239"/>
      <c r="E135" s="240"/>
      <c r="F135" s="19"/>
      <c r="G135" s="242"/>
      <c r="H135" s="238"/>
      <c r="I135" s="241"/>
      <c r="J135" s="240"/>
      <c r="K135" s="19"/>
    </row>
    <row r="136" spans="1:11" ht="19.5" customHeight="1" x14ac:dyDescent="0.25">
      <c r="A136" s="19"/>
      <c r="B136" s="233"/>
      <c r="C136" s="238"/>
      <c r="D136" s="239"/>
      <c r="E136" s="240"/>
      <c r="F136" s="19"/>
      <c r="G136" s="242"/>
      <c r="H136" s="238"/>
      <c r="I136" s="241"/>
      <c r="J136" s="240"/>
      <c r="K136" s="19"/>
    </row>
    <row r="137" spans="1:11" ht="19.5" customHeight="1" x14ac:dyDescent="0.25">
      <c r="A137" s="19"/>
      <c r="B137" s="233"/>
      <c r="C137" s="238"/>
      <c r="D137" s="239"/>
      <c r="E137" s="240"/>
      <c r="F137" s="19"/>
      <c r="G137" s="242"/>
      <c r="H137" s="238"/>
      <c r="I137" s="241"/>
      <c r="J137" s="240"/>
      <c r="K137" s="19"/>
    </row>
    <row r="138" spans="1:11" ht="19.5" customHeight="1" x14ac:dyDescent="0.25">
      <c r="A138" s="19"/>
      <c r="B138" s="233"/>
      <c r="C138" s="238"/>
      <c r="D138" s="239"/>
      <c r="E138" s="240"/>
      <c r="F138" s="19"/>
      <c r="G138" s="242"/>
      <c r="H138" s="238"/>
      <c r="I138" s="241"/>
      <c r="J138" s="240"/>
      <c r="K138" s="19"/>
    </row>
    <row r="139" spans="1:11" ht="19.5" customHeight="1" x14ac:dyDescent="0.25">
      <c r="A139" s="19"/>
      <c r="B139" s="233"/>
      <c r="C139" s="238"/>
      <c r="D139" s="239"/>
      <c r="E139" s="240"/>
      <c r="F139" s="19"/>
      <c r="G139" s="245"/>
      <c r="H139" s="246"/>
      <c r="I139" s="126"/>
      <c r="J139" s="247"/>
      <c r="K139" s="19"/>
    </row>
    <row r="140" spans="1:11" ht="19.5" customHeight="1" x14ac:dyDescent="0.25">
      <c r="A140" s="19"/>
      <c r="B140" s="233"/>
      <c r="C140" s="238"/>
      <c r="D140" s="239"/>
      <c r="E140" s="240"/>
      <c r="F140" s="19"/>
      <c r="G140" s="245"/>
      <c r="H140" s="246"/>
      <c r="I140" s="126"/>
      <c r="J140" s="247"/>
      <c r="K140" s="19"/>
    </row>
    <row r="141" spans="1:11" ht="19.5" customHeight="1" x14ac:dyDescent="0.25">
      <c r="A141" s="19"/>
      <c r="B141" s="233"/>
      <c r="C141" s="238"/>
      <c r="D141" s="239"/>
      <c r="E141" s="240"/>
      <c r="F141" s="19"/>
      <c r="G141" s="245"/>
      <c r="H141" s="246"/>
      <c r="I141" s="126"/>
      <c r="J141" s="247"/>
      <c r="K141" s="19"/>
    </row>
    <row r="142" spans="1:11" ht="19.5" customHeight="1" x14ac:dyDescent="0.25">
      <c r="A142" s="19"/>
      <c r="B142" s="233"/>
      <c r="C142" s="238"/>
      <c r="D142" s="239"/>
      <c r="E142" s="240"/>
      <c r="F142" s="19"/>
      <c r="G142" s="245"/>
      <c r="H142" s="246"/>
      <c r="I142" s="126"/>
      <c r="J142" s="247"/>
      <c r="K142" s="19"/>
    </row>
    <row r="143" spans="1:11" ht="19.5" customHeight="1" x14ac:dyDescent="0.25">
      <c r="A143" s="19"/>
      <c r="B143" s="233"/>
      <c r="C143" s="238"/>
      <c r="D143" s="239"/>
      <c r="E143" s="240"/>
      <c r="F143" s="19"/>
      <c r="G143" s="245"/>
      <c r="H143" s="246"/>
      <c r="I143" s="126"/>
      <c r="J143" s="247"/>
      <c r="K143" s="19"/>
    </row>
    <row r="144" spans="1:11" ht="19.5" customHeight="1" x14ac:dyDescent="0.25">
      <c r="A144" s="19"/>
      <c r="B144" s="233"/>
      <c r="C144" s="238"/>
      <c r="D144" s="239"/>
      <c r="E144" s="240"/>
      <c r="F144" s="19"/>
      <c r="G144" s="245"/>
      <c r="H144" s="246"/>
      <c r="I144" s="126"/>
      <c r="J144" s="247"/>
      <c r="K144" s="19"/>
    </row>
    <row r="145" spans="1:11" ht="19.5" customHeight="1" x14ac:dyDescent="0.25">
      <c r="A145" s="19"/>
      <c r="B145" s="233"/>
      <c r="C145" s="238"/>
      <c r="D145" s="239"/>
      <c r="E145" s="240"/>
      <c r="F145" s="19"/>
      <c r="G145" s="245"/>
      <c r="H145" s="246"/>
      <c r="I145" s="126"/>
      <c r="J145" s="247"/>
      <c r="K145" s="19"/>
    </row>
    <row r="146" spans="1:11" ht="19.5" customHeight="1" x14ac:dyDescent="0.25">
      <c r="A146" s="19"/>
      <c r="B146" s="233"/>
      <c r="C146" s="238"/>
      <c r="D146" s="239"/>
      <c r="E146" s="240"/>
      <c r="F146" s="19"/>
      <c r="G146" s="245"/>
      <c r="H146" s="246"/>
      <c r="I146" s="126"/>
      <c r="J146" s="247"/>
      <c r="K146" s="19"/>
    </row>
    <row r="147" spans="1:11" ht="19.5" customHeight="1" x14ac:dyDescent="0.25">
      <c r="A147" s="19"/>
      <c r="B147" s="233"/>
      <c r="C147" s="238"/>
      <c r="D147" s="239"/>
      <c r="E147" s="240"/>
      <c r="F147" s="19"/>
      <c r="G147" s="245"/>
      <c r="H147" s="246"/>
      <c r="I147" s="126"/>
      <c r="J147" s="247"/>
      <c r="K147" s="19"/>
    </row>
    <row r="148" spans="1:11" ht="19.5" customHeight="1" x14ac:dyDescent="0.25">
      <c r="A148" s="19"/>
      <c r="B148" s="233"/>
      <c r="C148" s="238"/>
      <c r="D148" s="239"/>
      <c r="E148" s="240"/>
      <c r="F148" s="19"/>
      <c r="G148" s="245"/>
      <c r="H148" s="246"/>
      <c r="I148" s="126"/>
      <c r="J148" s="247"/>
      <c r="K148" s="19"/>
    </row>
    <row r="149" spans="1:11" ht="19.5" customHeight="1" x14ac:dyDescent="0.25">
      <c r="A149" s="19"/>
      <c r="B149" s="233"/>
      <c r="C149" s="238"/>
      <c r="D149" s="239"/>
      <c r="E149" s="240"/>
      <c r="F149" s="19"/>
      <c r="G149" s="245"/>
      <c r="H149" s="246"/>
      <c r="I149" s="126"/>
      <c r="J149" s="247"/>
      <c r="K149" s="19"/>
    </row>
    <row r="150" spans="1:11" ht="19.5" customHeight="1" x14ac:dyDescent="0.25">
      <c r="A150" s="19"/>
      <c r="B150" s="233"/>
      <c r="C150" s="238"/>
      <c r="D150" s="239"/>
      <c r="E150" s="240"/>
      <c r="F150" s="19"/>
      <c r="G150" s="245"/>
      <c r="H150" s="246"/>
      <c r="I150" s="126"/>
      <c r="J150" s="247"/>
      <c r="K150" s="19"/>
    </row>
    <row r="151" spans="1:11" ht="19.5" customHeight="1" x14ac:dyDescent="0.25">
      <c r="A151" s="19"/>
      <c r="B151" s="233"/>
      <c r="C151" s="238"/>
      <c r="D151" s="239"/>
      <c r="E151" s="240"/>
      <c r="F151" s="19"/>
      <c r="G151" s="245"/>
      <c r="H151" s="246"/>
      <c r="I151" s="126"/>
      <c r="J151" s="247"/>
      <c r="K151" s="19"/>
    </row>
    <row r="152" spans="1:11" ht="19.5" customHeight="1" x14ac:dyDescent="0.25">
      <c r="A152" s="19"/>
      <c r="B152" s="233"/>
      <c r="C152" s="238"/>
      <c r="D152" s="239"/>
      <c r="E152" s="240"/>
      <c r="F152" s="19"/>
      <c r="G152" s="245"/>
      <c r="H152" s="246"/>
      <c r="I152" s="126"/>
      <c r="J152" s="247"/>
      <c r="K152" s="19"/>
    </row>
    <row r="153" spans="1:11" ht="19.5" customHeight="1" x14ac:dyDescent="0.25">
      <c r="A153" s="19"/>
      <c r="B153" s="233"/>
      <c r="C153" s="238"/>
      <c r="D153" s="239"/>
      <c r="E153" s="240"/>
      <c r="F153" s="19"/>
      <c r="G153" s="245"/>
      <c r="H153" s="246"/>
      <c r="I153" s="126"/>
      <c r="J153" s="247"/>
      <c r="K153" s="19"/>
    </row>
    <row r="154" spans="1:11" ht="19.5" customHeight="1" x14ac:dyDescent="0.25">
      <c r="A154" s="19"/>
      <c r="B154" s="233"/>
      <c r="C154" s="238"/>
      <c r="D154" s="239"/>
      <c r="E154" s="240"/>
      <c r="F154" s="19"/>
      <c r="G154" s="245"/>
      <c r="H154" s="246"/>
      <c r="I154" s="126"/>
      <c r="J154" s="247"/>
      <c r="K154" s="19"/>
    </row>
    <row r="155" spans="1:11" ht="19.5" customHeight="1" x14ac:dyDescent="0.25">
      <c r="A155" s="19"/>
      <c r="B155" s="233"/>
      <c r="C155" s="238"/>
      <c r="D155" s="239"/>
      <c r="E155" s="240"/>
      <c r="F155" s="19"/>
      <c r="G155" s="245"/>
      <c r="H155" s="246"/>
      <c r="I155" s="126"/>
      <c r="J155" s="247"/>
      <c r="K155" s="19"/>
    </row>
    <row r="156" spans="1:11" ht="19.5" customHeight="1" x14ac:dyDescent="0.25">
      <c r="A156" s="19"/>
      <c r="B156" s="233"/>
      <c r="C156" s="238"/>
      <c r="D156" s="239"/>
      <c r="E156" s="240"/>
      <c r="F156" s="19"/>
      <c r="G156" s="245"/>
      <c r="H156" s="246"/>
      <c r="I156" s="126"/>
      <c r="J156" s="247"/>
      <c r="K156" s="19"/>
    </row>
    <row r="157" spans="1:11" ht="19.5" customHeight="1" x14ac:dyDescent="0.25">
      <c r="A157" s="19"/>
      <c r="B157" s="233"/>
      <c r="C157" s="238"/>
      <c r="D157" s="239"/>
      <c r="E157" s="240"/>
      <c r="F157" s="19"/>
      <c r="G157" s="245"/>
      <c r="H157" s="246"/>
      <c r="I157" s="126"/>
      <c r="J157" s="247"/>
      <c r="K157" s="19"/>
    </row>
    <row r="158" spans="1:11" ht="19.5" customHeight="1" x14ac:dyDescent="0.25">
      <c r="A158" s="19"/>
      <c r="B158" s="233"/>
      <c r="C158" s="238"/>
      <c r="D158" s="239"/>
      <c r="E158" s="240"/>
      <c r="F158" s="19"/>
      <c r="G158" s="245"/>
      <c r="H158" s="246"/>
      <c r="I158" s="126"/>
      <c r="J158" s="247"/>
      <c r="K158" s="19"/>
    </row>
    <row r="159" spans="1:11" ht="19.5" customHeight="1" x14ac:dyDescent="0.25">
      <c r="A159" s="19"/>
      <c r="B159" s="233"/>
      <c r="C159" s="238"/>
      <c r="D159" s="239"/>
      <c r="E159" s="240"/>
      <c r="F159" s="19"/>
      <c r="G159" s="245"/>
      <c r="H159" s="246"/>
      <c r="I159" s="126"/>
      <c r="J159" s="247"/>
      <c r="K159" s="19"/>
    </row>
    <row r="160" spans="1:11" ht="19.5" customHeight="1" x14ac:dyDescent="0.25">
      <c r="A160" s="19"/>
      <c r="B160" s="245"/>
      <c r="C160" s="246"/>
      <c r="D160" s="248"/>
      <c r="E160" s="247"/>
      <c r="F160" s="19"/>
      <c r="G160" s="245"/>
      <c r="H160" s="246"/>
      <c r="I160" s="126"/>
      <c r="J160" s="247"/>
      <c r="K160" s="19"/>
    </row>
    <row r="161" spans="1:11" ht="19.5" customHeight="1" x14ac:dyDescent="0.25">
      <c r="A161" s="19"/>
      <c r="B161" s="245"/>
      <c r="C161" s="246"/>
      <c r="D161" s="248"/>
      <c r="E161" s="247"/>
      <c r="F161" s="19"/>
      <c r="G161" s="245"/>
      <c r="H161" s="246"/>
      <c r="I161" s="126"/>
      <c r="J161" s="247"/>
      <c r="K161" s="19"/>
    </row>
    <row r="162" spans="1:11" ht="19.5" customHeight="1" x14ac:dyDescent="0.25">
      <c r="A162" s="19"/>
      <c r="B162" s="245"/>
      <c r="C162" s="246"/>
      <c r="D162" s="248"/>
      <c r="E162" s="247"/>
      <c r="F162" s="19"/>
      <c r="G162" s="245"/>
      <c r="H162" s="246"/>
      <c r="I162" s="126"/>
      <c r="J162" s="247"/>
      <c r="K162" s="19"/>
    </row>
    <row r="163" spans="1:11" ht="19.5" customHeight="1" x14ac:dyDescent="0.25">
      <c r="A163" s="19"/>
      <c r="B163" s="245"/>
      <c r="C163" s="246"/>
      <c r="D163" s="248"/>
      <c r="E163" s="247"/>
      <c r="F163" s="19"/>
      <c r="G163" s="245"/>
      <c r="H163" s="246"/>
      <c r="I163" s="126"/>
      <c r="J163" s="247"/>
      <c r="K163" s="19"/>
    </row>
    <row r="164" spans="1:11" ht="19.5" customHeight="1" x14ac:dyDescent="0.25">
      <c r="A164" s="19"/>
      <c r="B164" s="245"/>
      <c r="C164" s="246"/>
      <c r="D164" s="248"/>
      <c r="E164" s="247"/>
      <c r="F164" s="19"/>
      <c r="G164" s="245"/>
      <c r="H164" s="246"/>
      <c r="I164" s="126"/>
      <c r="J164" s="247"/>
      <c r="K164" s="19"/>
    </row>
    <row r="165" spans="1:11" ht="19.5" customHeight="1" x14ac:dyDescent="0.25">
      <c r="A165" s="19"/>
      <c r="B165" s="245"/>
      <c r="C165" s="246"/>
      <c r="D165" s="248"/>
      <c r="E165" s="247"/>
      <c r="F165" s="19"/>
      <c r="G165" s="245"/>
      <c r="H165" s="246"/>
      <c r="I165" s="126"/>
      <c r="J165" s="247"/>
      <c r="K165" s="19"/>
    </row>
    <row r="166" spans="1:11" ht="19.5" customHeight="1" x14ac:dyDescent="0.25">
      <c r="A166" s="19"/>
      <c r="B166" s="245"/>
      <c r="C166" s="246"/>
      <c r="D166" s="248"/>
      <c r="E166" s="247"/>
      <c r="F166" s="19"/>
      <c r="G166" s="245"/>
      <c r="H166" s="246"/>
      <c r="I166" s="126"/>
      <c r="J166" s="247"/>
      <c r="K166" s="19"/>
    </row>
    <row r="167" spans="1:11" ht="19.5" customHeight="1" x14ac:dyDescent="0.25">
      <c r="A167" s="19"/>
      <c r="B167" s="245"/>
      <c r="C167" s="246"/>
      <c r="D167" s="248"/>
      <c r="E167" s="247"/>
      <c r="F167" s="19"/>
      <c r="G167" s="245"/>
      <c r="H167" s="246"/>
      <c r="I167" s="126"/>
      <c r="J167" s="247"/>
      <c r="K167" s="19"/>
    </row>
    <row r="168" spans="1:11" ht="19.5" customHeight="1" x14ac:dyDescent="0.25">
      <c r="A168" s="19"/>
      <c r="B168" s="245"/>
      <c r="C168" s="246"/>
      <c r="D168" s="248"/>
      <c r="E168" s="247"/>
      <c r="F168" s="19"/>
      <c r="G168" s="245"/>
      <c r="H168" s="246"/>
      <c r="I168" s="126"/>
      <c r="J168" s="247"/>
      <c r="K168" s="19"/>
    </row>
    <row r="169" spans="1:11" ht="19.5" customHeight="1" x14ac:dyDescent="0.25">
      <c r="A169" s="19"/>
      <c r="B169" s="245"/>
      <c r="C169" s="246"/>
      <c r="D169" s="248"/>
      <c r="E169" s="247"/>
      <c r="F169" s="19"/>
      <c r="G169" s="245"/>
      <c r="H169" s="246"/>
      <c r="I169" s="126"/>
      <c r="J169" s="247"/>
      <c r="K169" s="19"/>
    </row>
    <row r="170" spans="1:11" ht="19.5" customHeight="1" x14ac:dyDescent="0.25">
      <c r="A170" s="19"/>
      <c r="B170" s="245"/>
      <c r="C170" s="246"/>
      <c r="D170" s="248"/>
      <c r="E170" s="247"/>
      <c r="F170" s="19"/>
      <c r="G170" s="245"/>
      <c r="H170" s="246"/>
      <c r="I170" s="126"/>
      <c r="J170" s="247"/>
      <c r="K170" s="19"/>
    </row>
    <row r="171" spans="1:11" ht="19.5" customHeight="1" x14ac:dyDescent="0.25">
      <c r="A171" s="19"/>
      <c r="B171" s="245"/>
      <c r="C171" s="246"/>
      <c r="D171" s="248"/>
      <c r="E171" s="247"/>
      <c r="F171" s="19"/>
      <c r="G171" s="245"/>
      <c r="H171" s="246"/>
      <c r="I171" s="126"/>
      <c r="J171" s="247"/>
      <c r="K171" s="19"/>
    </row>
    <row r="172" spans="1:11" ht="19.5" customHeight="1" x14ac:dyDescent="0.25">
      <c r="A172" s="19"/>
      <c r="B172" s="245"/>
      <c r="C172" s="246"/>
      <c r="D172" s="248"/>
      <c r="E172" s="247"/>
      <c r="F172" s="19"/>
      <c r="G172" s="245"/>
      <c r="H172" s="246"/>
      <c r="I172" s="126"/>
      <c r="J172" s="247"/>
      <c r="K172" s="19"/>
    </row>
    <row r="173" spans="1:11" ht="19.5" customHeight="1" x14ac:dyDescent="0.25">
      <c r="A173" s="19"/>
      <c r="B173" s="245"/>
      <c r="C173" s="246"/>
      <c r="D173" s="248"/>
      <c r="E173" s="247"/>
      <c r="F173" s="19"/>
      <c r="G173" s="245"/>
      <c r="H173" s="246"/>
      <c r="I173" s="126"/>
      <c r="J173" s="247"/>
      <c r="K173" s="19"/>
    </row>
    <row r="174" spans="1:11" ht="19.5" customHeight="1" x14ac:dyDescent="0.25">
      <c r="A174" s="19"/>
      <c r="B174" s="245"/>
      <c r="C174" s="246"/>
      <c r="D174" s="248"/>
      <c r="E174" s="247"/>
      <c r="F174" s="19"/>
      <c r="G174" s="245"/>
      <c r="H174" s="246"/>
      <c r="I174" s="126"/>
      <c r="J174" s="247"/>
      <c r="K174" s="19"/>
    </row>
    <row r="175" spans="1:11" ht="19.5" customHeight="1" x14ac:dyDescent="0.25">
      <c r="A175" s="19"/>
      <c r="B175" s="245"/>
      <c r="C175" s="246"/>
      <c r="D175" s="248"/>
      <c r="E175" s="247"/>
      <c r="F175" s="19"/>
      <c r="G175" s="245"/>
      <c r="H175" s="246"/>
      <c r="I175" s="126"/>
      <c r="J175" s="247"/>
      <c r="K175" s="19"/>
    </row>
    <row r="176" spans="1:11" ht="19.5" customHeight="1" x14ac:dyDescent="0.25">
      <c r="A176" s="19"/>
      <c r="B176" s="245"/>
      <c r="C176" s="246"/>
      <c r="D176" s="248"/>
      <c r="E176" s="247"/>
      <c r="F176" s="19"/>
      <c r="G176" s="245"/>
      <c r="H176" s="246"/>
      <c r="I176" s="126"/>
      <c r="J176" s="247"/>
      <c r="K176" s="19"/>
    </row>
    <row r="177" spans="1:11" ht="19.5" customHeight="1" x14ac:dyDescent="0.25">
      <c r="A177" s="19"/>
      <c r="B177" s="245"/>
      <c r="C177" s="246"/>
      <c r="D177" s="248"/>
      <c r="E177" s="247"/>
      <c r="F177" s="19"/>
      <c r="G177" s="245"/>
      <c r="H177" s="246"/>
      <c r="I177" s="126"/>
      <c r="J177" s="247"/>
      <c r="K177" s="19"/>
    </row>
    <row r="178" spans="1:11" ht="19.5" customHeight="1" x14ac:dyDescent="0.25">
      <c r="A178" s="19"/>
      <c r="B178" s="245"/>
      <c r="C178" s="246"/>
      <c r="D178" s="248"/>
      <c r="E178" s="247"/>
      <c r="F178" s="19"/>
      <c r="G178" s="245"/>
      <c r="H178" s="246"/>
      <c r="I178" s="126"/>
      <c r="J178" s="247"/>
      <c r="K178" s="19"/>
    </row>
    <row r="179" spans="1:11" ht="19.5" customHeight="1" x14ac:dyDescent="0.25">
      <c r="A179" s="19"/>
      <c r="B179" s="245"/>
      <c r="C179" s="246"/>
      <c r="D179" s="248"/>
      <c r="E179" s="247"/>
      <c r="F179" s="19"/>
      <c r="G179" s="245"/>
      <c r="H179" s="246"/>
      <c r="I179" s="126"/>
      <c r="J179" s="247"/>
      <c r="K179" s="19"/>
    </row>
    <row r="180" spans="1:11" ht="19.5" customHeight="1" x14ac:dyDescent="0.25">
      <c r="A180" s="19"/>
      <c r="B180" s="245"/>
      <c r="C180" s="246"/>
      <c r="D180" s="248"/>
      <c r="E180" s="247"/>
      <c r="F180" s="19"/>
      <c r="G180" s="245"/>
      <c r="H180" s="246"/>
      <c r="I180" s="126"/>
      <c r="J180" s="247"/>
      <c r="K180" s="19"/>
    </row>
    <row r="181" spans="1:11" ht="19.5" customHeight="1" x14ac:dyDescent="0.25">
      <c r="A181" s="19"/>
      <c r="B181" s="245"/>
      <c r="C181" s="246"/>
      <c r="D181" s="248"/>
      <c r="E181" s="247"/>
      <c r="F181" s="19"/>
      <c r="G181" s="245"/>
      <c r="H181" s="246"/>
      <c r="I181" s="126"/>
      <c r="J181" s="247"/>
      <c r="K181" s="19"/>
    </row>
    <row r="182" spans="1:11" ht="19.5" customHeight="1" x14ac:dyDescent="0.25">
      <c r="A182" s="19"/>
      <c r="B182" s="245"/>
      <c r="C182" s="246"/>
      <c r="D182" s="248"/>
      <c r="E182" s="247"/>
      <c r="F182" s="19"/>
      <c r="G182" s="245"/>
      <c r="H182" s="246"/>
      <c r="I182" s="126"/>
      <c r="J182" s="247"/>
      <c r="K182" s="19"/>
    </row>
    <row r="183" spans="1:11" ht="19.5" customHeight="1" x14ac:dyDescent="0.25">
      <c r="A183" s="19"/>
      <c r="B183" s="245"/>
      <c r="C183" s="246"/>
      <c r="D183" s="248"/>
      <c r="E183" s="247"/>
      <c r="F183" s="19"/>
      <c r="G183" s="245"/>
      <c r="H183" s="246"/>
      <c r="I183" s="126"/>
      <c r="J183" s="247"/>
      <c r="K183" s="19"/>
    </row>
    <row r="184" spans="1:11" ht="19.5" customHeight="1" x14ac:dyDescent="0.25">
      <c r="A184" s="19"/>
      <c r="B184" s="245"/>
      <c r="C184" s="246"/>
      <c r="D184" s="248"/>
      <c r="E184" s="247"/>
      <c r="F184" s="19"/>
      <c r="G184" s="245"/>
      <c r="H184" s="246"/>
      <c r="I184" s="126"/>
      <c r="J184" s="247"/>
      <c r="K184" s="19"/>
    </row>
    <row r="185" spans="1:11" ht="19.5" customHeight="1" x14ac:dyDescent="0.25">
      <c r="A185" s="19"/>
      <c r="B185" s="245"/>
      <c r="C185" s="246"/>
      <c r="D185" s="248"/>
      <c r="E185" s="247"/>
      <c r="F185" s="19"/>
      <c r="G185" s="245"/>
      <c r="H185" s="246"/>
      <c r="I185" s="126"/>
      <c r="J185" s="247"/>
      <c r="K185" s="19"/>
    </row>
    <row r="186" spans="1:11" ht="19.5" customHeight="1" x14ac:dyDescent="0.25">
      <c r="A186" s="19"/>
      <c r="B186" s="245"/>
      <c r="C186" s="246"/>
      <c r="D186" s="248"/>
      <c r="E186" s="247"/>
      <c r="F186" s="19"/>
      <c r="G186" s="245"/>
      <c r="H186" s="246"/>
      <c r="I186" s="126"/>
      <c r="J186" s="247"/>
      <c r="K186" s="19"/>
    </row>
    <row r="187" spans="1:11" ht="19.5" customHeight="1" x14ac:dyDescent="0.25">
      <c r="A187" s="19"/>
      <c r="B187" s="245"/>
      <c r="C187" s="246"/>
      <c r="D187" s="248"/>
      <c r="E187" s="247"/>
      <c r="F187" s="19"/>
      <c r="G187" s="245"/>
      <c r="H187" s="246"/>
      <c r="I187" s="126"/>
      <c r="J187" s="247"/>
      <c r="K187" s="19"/>
    </row>
    <row r="188" spans="1:11" ht="19.5" customHeight="1" x14ac:dyDescent="0.25">
      <c r="A188" s="19"/>
      <c r="B188" s="245"/>
      <c r="C188" s="246"/>
      <c r="D188" s="248"/>
      <c r="E188" s="247"/>
      <c r="F188" s="19"/>
      <c r="G188" s="245"/>
      <c r="H188" s="246"/>
      <c r="I188" s="126"/>
      <c r="J188" s="247"/>
      <c r="K188" s="19"/>
    </row>
    <row r="189" spans="1:11" ht="19.5" customHeight="1" x14ac:dyDescent="0.25">
      <c r="A189" s="19"/>
      <c r="B189" s="245"/>
      <c r="C189" s="246"/>
      <c r="D189" s="248"/>
      <c r="E189" s="247"/>
      <c r="F189" s="19"/>
      <c r="G189" s="245"/>
      <c r="H189" s="246"/>
      <c r="I189" s="126"/>
      <c r="J189" s="247"/>
      <c r="K189" s="19"/>
    </row>
    <row r="190" spans="1:11" ht="19.5" customHeight="1" x14ac:dyDescent="0.25">
      <c r="A190" s="19"/>
      <c r="B190" s="245"/>
      <c r="C190" s="246"/>
      <c r="D190" s="248"/>
      <c r="E190" s="247"/>
      <c r="F190" s="19"/>
      <c r="G190" s="245"/>
      <c r="H190" s="246"/>
      <c r="I190" s="126"/>
      <c r="J190" s="247"/>
      <c r="K190" s="19"/>
    </row>
    <row r="191" spans="1:11" ht="19.5" customHeight="1" x14ac:dyDescent="0.25">
      <c r="A191" s="19"/>
      <c r="B191" s="245"/>
      <c r="C191" s="246"/>
      <c r="D191" s="248"/>
      <c r="E191" s="247"/>
      <c r="F191" s="19"/>
      <c r="G191" s="245"/>
      <c r="H191" s="246"/>
      <c r="I191" s="126"/>
      <c r="J191" s="247"/>
      <c r="K191" s="19"/>
    </row>
    <row r="192" spans="1:11" ht="19.5" customHeight="1" x14ac:dyDescent="0.25">
      <c r="A192" s="19"/>
      <c r="B192" s="245"/>
      <c r="C192" s="246"/>
      <c r="D192" s="248"/>
      <c r="E192" s="247"/>
      <c r="F192" s="19"/>
      <c r="G192" s="245"/>
      <c r="H192" s="246"/>
      <c r="I192" s="126"/>
      <c r="J192" s="247"/>
      <c r="K192" s="19"/>
    </row>
    <row r="193" spans="1:11" ht="19.5" customHeight="1" x14ac:dyDescent="0.25">
      <c r="A193" s="19"/>
      <c r="B193" s="245"/>
      <c r="C193" s="246"/>
      <c r="D193" s="248"/>
      <c r="E193" s="247"/>
      <c r="F193" s="19"/>
      <c r="G193" s="245"/>
      <c r="H193" s="246"/>
      <c r="I193" s="126"/>
      <c r="J193" s="247"/>
      <c r="K193" s="19"/>
    </row>
    <row r="194" spans="1:11" ht="19.5" customHeight="1" x14ac:dyDescent="0.25">
      <c r="A194" s="19"/>
      <c r="B194" s="245"/>
      <c r="C194" s="246"/>
      <c r="D194" s="248"/>
      <c r="E194" s="247"/>
      <c r="F194" s="19"/>
      <c r="G194" s="245"/>
      <c r="H194" s="246"/>
      <c r="I194" s="126"/>
      <c r="J194" s="247"/>
      <c r="K194" s="19"/>
    </row>
    <row r="195" spans="1:11" ht="19.5" customHeight="1" x14ac:dyDescent="0.25">
      <c r="A195" s="19"/>
      <c r="B195" s="245"/>
      <c r="C195" s="246"/>
      <c r="D195" s="248"/>
      <c r="E195" s="247"/>
      <c r="F195" s="19"/>
      <c r="G195" s="245"/>
      <c r="H195" s="246"/>
      <c r="I195" s="126"/>
      <c r="J195" s="247"/>
      <c r="K195" s="19"/>
    </row>
    <row r="196" spans="1:11" ht="19.5" customHeight="1" x14ac:dyDescent="0.25">
      <c r="A196" s="19"/>
      <c r="B196" s="245"/>
      <c r="C196" s="246"/>
      <c r="D196" s="248"/>
      <c r="E196" s="247"/>
      <c r="F196" s="19"/>
      <c r="G196" s="245"/>
      <c r="H196" s="246"/>
      <c r="I196" s="126"/>
      <c r="J196" s="247"/>
      <c r="K196" s="19"/>
    </row>
    <row r="197" spans="1:11" ht="19.5" customHeight="1" x14ac:dyDescent="0.25">
      <c r="A197" s="19"/>
      <c r="B197" s="245"/>
      <c r="C197" s="246"/>
      <c r="D197" s="248"/>
      <c r="E197" s="247"/>
      <c r="F197" s="19"/>
      <c r="G197" s="245"/>
      <c r="H197" s="246"/>
      <c r="I197" s="126"/>
      <c r="J197" s="247"/>
      <c r="K197" s="19"/>
    </row>
    <row r="198" spans="1:11" ht="19.5" customHeight="1" x14ac:dyDescent="0.25">
      <c r="A198" s="19"/>
      <c r="B198" s="245"/>
      <c r="C198" s="246"/>
      <c r="D198" s="248"/>
      <c r="E198" s="247"/>
      <c r="F198" s="19"/>
      <c r="G198" s="245"/>
      <c r="H198" s="246"/>
      <c r="I198" s="126"/>
      <c r="J198" s="247"/>
      <c r="K198" s="19"/>
    </row>
    <row r="199" spans="1:11" ht="19.5" customHeight="1" x14ac:dyDescent="0.25">
      <c r="A199" s="19"/>
      <c r="B199" s="245"/>
      <c r="C199" s="246"/>
      <c r="D199" s="248"/>
      <c r="E199" s="247"/>
      <c r="F199" s="19"/>
      <c r="G199" s="245"/>
      <c r="H199" s="246"/>
      <c r="I199" s="126"/>
      <c r="J199" s="247"/>
      <c r="K199" s="19"/>
    </row>
    <row r="200" spans="1:11" ht="19.5" customHeight="1" x14ac:dyDescent="0.25">
      <c r="A200" s="19"/>
      <c r="B200" s="245"/>
      <c r="C200" s="246"/>
      <c r="D200" s="248"/>
      <c r="E200" s="247"/>
      <c r="F200" s="19"/>
      <c r="G200" s="245"/>
      <c r="H200" s="246"/>
      <c r="I200" s="126"/>
      <c r="J200" s="247"/>
      <c r="K200" s="19"/>
    </row>
    <row r="201" spans="1:11" ht="19.5" customHeight="1" x14ac:dyDescent="0.25">
      <c r="A201" s="19"/>
      <c r="B201" s="245"/>
      <c r="C201" s="246"/>
      <c r="D201" s="248"/>
      <c r="E201" s="247"/>
      <c r="F201" s="19"/>
      <c r="G201" s="245"/>
      <c r="H201" s="246"/>
      <c r="I201" s="126"/>
      <c r="J201" s="247"/>
      <c r="K201" s="19"/>
    </row>
    <row r="202" spans="1:11" ht="19.5" customHeight="1" x14ac:dyDescent="0.25">
      <c r="A202" s="19"/>
      <c r="B202" s="245"/>
      <c r="C202" s="246"/>
      <c r="D202" s="248"/>
      <c r="E202" s="247"/>
      <c r="F202" s="19"/>
      <c r="G202" s="245"/>
      <c r="H202" s="246"/>
      <c r="I202" s="126"/>
      <c r="J202" s="247"/>
      <c r="K202" s="19"/>
    </row>
    <row r="203" spans="1:11" ht="19.5" customHeight="1" x14ac:dyDescent="0.25">
      <c r="A203" s="19"/>
      <c r="B203" s="245"/>
      <c r="C203" s="246"/>
      <c r="D203" s="248"/>
      <c r="E203" s="247"/>
      <c r="F203" s="19"/>
      <c r="G203" s="245"/>
      <c r="H203" s="246"/>
      <c r="I203" s="126"/>
      <c r="J203" s="247"/>
      <c r="K203" s="19"/>
    </row>
    <row r="204" spans="1:11" ht="19.5" customHeight="1" x14ac:dyDescent="0.25">
      <c r="A204" s="19"/>
      <c r="B204" s="245"/>
      <c r="C204" s="246"/>
      <c r="D204" s="248"/>
      <c r="E204" s="247"/>
      <c r="F204" s="19"/>
      <c r="G204" s="245"/>
      <c r="H204" s="246"/>
      <c r="I204" s="126"/>
      <c r="J204" s="247"/>
      <c r="K204" s="19"/>
    </row>
    <row r="205" spans="1:11" ht="19.5" customHeight="1" x14ac:dyDescent="0.25">
      <c r="A205" s="19"/>
      <c r="B205" s="245"/>
      <c r="C205" s="246"/>
      <c r="D205" s="248"/>
      <c r="E205" s="247"/>
      <c r="F205" s="19"/>
      <c r="G205" s="245"/>
      <c r="H205" s="246"/>
      <c r="I205" s="126"/>
      <c r="J205" s="247"/>
      <c r="K205" s="19"/>
    </row>
    <row r="206" spans="1:11" ht="19.5" customHeight="1" x14ac:dyDescent="0.25">
      <c r="A206" s="19"/>
      <c r="B206" s="245"/>
      <c r="C206" s="246"/>
      <c r="D206" s="248"/>
      <c r="E206" s="247"/>
      <c r="F206" s="19"/>
      <c r="G206" s="245"/>
      <c r="H206" s="246"/>
      <c r="I206" s="126"/>
      <c r="J206" s="247"/>
      <c r="K206" s="19"/>
    </row>
    <row r="207" spans="1:11" ht="19.5" customHeight="1" x14ac:dyDescent="0.25">
      <c r="A207" s="19"/>
      <c r="B207" s="245"/>
      <c r="C207" s="246"/>
      <c r="D207" s="248"/>
      <c r="E207" s="247"/>
      <c r="F207" s="19"/>
      <c r="G207" s="245"/>
      <c r="H207" s="246"/>
      <c r="I207" s="126"/>
      <c r="J207" s="247"/>
      <c r="K207" s="19"/>
    </row>
    <row r="208" spans="1:11" ht="19.5" customHeight="1" x14ac:dyDescent="0.25">
      <c r="A208" s="19"/>
      <c r="B208" s="245"/>
      <c r="C208" s="246"/>
      <c r="D208" s="248"/>
      <c r="E208" s="247"/>
      <c r="F208" s="19"/>
      <c r="G208" s="245"/>
      <c r="H208" s="246"/>
      <c r="I208" s="126"/>
      <c r="J208" s="247"/>
      <c r="K208" s="19"/>
    </row>
    <row r="209" spans="1:11" ht="19.5" customHeight="1" x14ac:dyDescent="0.25">
      <c r="A209" s="19"/>
      <c r="B209" s="245"/>
      <c r="C209" s="246"/>
      <c r="D209" s="248"/>
      <c r="E209" s="247"/>
      <c r="F209" s="19"/>
      <c r="G209" s="245"/>
      <c r="H209" s="246"/>
      <c r="I209" s="126"/>
      <c r="J209" s="247"/>
      <c r="K209" s="19"/>
    </row>
    <row r="210" spans="1:11" ht="19.5" customHeight="1" x14ac:dyDescent="0.25">
      <c r="A210" s="19"/>
      <c r="B210" s="245"/>
      <c r="C210" s="246"/>
      <c r="D210" s="248"/>
      <c r="E210" s="247"/>
      <c r="F210" s="19"/>
      <c r="G210" s="245"/>
      <c r="H210" s="246"/>
      <c r="I210" s="126"/>
      <c r="J210" s="247"/>
      <c r="K210" s="19"/>
    </row>
    <row r="211" spans="1:11" ht="19.5" customHeight="1" x14ac:dyDescent="0.25">
      <c r="A211" s="19"/>
      <c r="B211" s="245"/>
      <c r="C211" s="246"/>
      <c r="D211" s="248"/>
      <c r="E211" s="247"/>
      <c r="F211" s="19"/>
      <c r="G211" s="245"/>
      <c r="H211" s="246"/>
      <c r="I211" s="126"/>
      <c r="J211" s="247"/>
      <c r="K211" s="19"/>
    </row>
    <row r="212" spans="1:11" ht="19.5" customHeight="1" x14ac:dyDescent="0.25">
      <c r="A212" s="19"/>
      <c r="B212" s="245"/>
      <c r="C212" s="246"/>
      <c r="D212" s="248"/>
      <c r="E212" s="247"/>
      <c r="F212" s="19"/>
      <c r="G212" s="245"/>
      <c r="H212" s="246"/>
      <c r="I212" s="126"/>
      <c r="J212" s="247"/>
      <c r="K212" s="19"/>
    </row>
    <row r="213" spans="1:11" ht="19.5" customHeight="1" x14ac:dyDescent="0.25">
      <c r="A213" s="19"/>
      <c r="B213" s="245"/>
      <c r="C213" s="246"/>
      <c r="D213" s="248"/>
      <c r="E213" s="247"/>
      <c r="F213" s="19"/>
      <c r="G213" s="245"/>
      <c r="H213" s="246"/>
      <c r="I213" s="126"/>
      <c r="J213" s="247"/>
      <c r="K213" s="19"/>
    </row>
    <row r="214" spans="1:11" ht="19.5" customHeight="1" x14ac:dyDescent="0.25">
      <c r="A214" s="19"/>
      <c r="B214" s="245"/>
      <c r="C214" s="246"/>
      <c r="D214" s="248"/>
      <c r="E214" s="247"/>
      <c r="F214" s="19"/>
      <c r="G214" s="245"/>
      <c r="H214" s="246"/>
      <c r="I214" s="126"/>
      <c r="J214" s="247"/>
      <c r="K214" s="19"/>
    </row>
    <row r="215" spans="1:11" ht="19.5" customHeight="1" x14ac:dyDescent="0.25">
      <c r="A215" s="19"/>
      <c r="B215" s="245"/>
      <c r="C215" s="246"/>
      <c r="D215" s="248"/>
      <c r="E215" s="247"/>
      <c r="F215" s="19"/>
      <c r="G215" s="245"/>
      <c r="H215" s="246"/>
      <c r="I215" s="126"/>
      <c r="J215" s="247"/>
      <c r="K215" s="19"/>
    </row>
    <row r="216" spans="1:11" ht="19.5" customHeight="1" x14ac:dyDescent="0.25">
      <c r="A216" s="19"/>
      <c r="B216" s="245"/>
      <c r="C216" s="246"/>
      <c r="D216" s="248"/>
      <c r="E216" s="247"/>
      <c r="F216" s="19"/>
      <c r="G216" s="245"/>
      <c r="H216" s="246"/>
      <c r="I216" s="126"/>
      <c r="J216" s="247"/>
      <c r="K216" s="19"/>
    </row>
    <row r="217" spans="1:11" ht="19.5" customHeight="1" x14ac:dyDescent="0.25">
      <c r="A217" s="19"/>
      <c r="B217" s="245"/>
      <c r="C217" s="246"/>
      <c r="D217" s="248"/>
      <c r="E217" s="247"/>
      <c r="F217" s="19"/>
      <c r="G217" s="245"/>
      <c r="H217" s="246"/>
      <c r="I217" s="126"/>
      <c r="J217" s="247"/>
      <c r="K217" s="19"/>
    </row>
    <row r="218" spans="1:11" ht="19.5" customHeight="1" x14ac:dyDescent="0.25">
      <c r="A218" s="19"/>
      <c r="B218" s="245"/>
      <c r="C218" s="246"/>
      <c r="D218" s="248"/>
      <c r="E218" s="247"/>
      <c r="F218" s="19"/>
      <c r="G218" s="245"/>
      <c r="H218" s="246"/>
      <c r="I218" s="126"/>
      <c r="J218" s="247"/>
      <c r="K218" s="19"/>
    </row>
    <row r="219" spans="1:11" ht="19.5" customHeight="1" x14ac:dyDescent="0.25">
      <c r="A219" s="19"/>
      <c r="B219" s="245"/>
      <c r="C219" s="246"/>
      <c r="D219" s="248"/>
      <c r="E219" s="247"/>
      <c r="F219" s="19"/>
      <c r="G219" s="245"/>
      <c r="H219" s="246"/>
      <c r="I219" s="126"/>
      <c r="J219" s="247"/>
      <c r="K219" s="19"/>
    </row>
    <row r="220" spans="1:11" ht="19.5" customHeight="1" x14ac:dyDescent="0.25">
      <c r="A220" s="19"/>
      <c r="B220" s="245"/>
      <c r="C220" s="246"/>
      <c r="D220" s="248"/>
      <c r="E220" s="247"/>
      <c r="F220" s="19"/>
      <c r="G220" s="245"/>
      <c r="H220" s="246"/>
      <c r="I220" s="126"/>
      <c r="J220" s="247"/>
      <c r="K220" s="19"/>
    </row>
    <row r="221" spans="1:11" ht="15.75" customHeight="1" x14ac:dyDescent="0.25">
      <c r="E221" s="139"/>
      <c r="J221" s="139"/>
    </row>
    <row r="222" spans="1:11" ht="15.75" customHeight="1" x14ac:dyDescent="0.25">
      <c r="E222" s="139"/>
      <c r="J222" s="139"/>
    </row>
    <row r="223" spans="1:11" ht="15.75" customHeight="1" x14ac:dyDescent="0.25">
      <c r="E223" s="139"/>
      <c r="J223" s="139"/>
    </row>
    <row r="224" spans="1:11" ht="15.75" customHeight="1" x14ac:dyDescent="0.25">
      <c r="E224" s="139"/>
      <c r="J224" s="139"/>
    </row>
    <row r="225" spans="5:10" ht="15.75" customHeight="1" x14ac:dyDescent="0.25">
      <c r="E225" s="139"/>
      <c r="J225" s="139"/>
    </row>
    <row r="226" spans="5:10" ht="15.75" customHeight="1" x14ac:dyDescent="0.25">
      <c r="E226" s="139"/>
      <c r="J226" s="139"/>
    </row>
    <row r="227" spans="5:10" ht="15.75" customHeight="1" x14ac:dyDescent="0.25">
      <c r="E227" s="139"/>
      <c r="J227" s="139"/>
    </row>
    <row r="228" spans="5:10" ht="15.75" customHeight="1" x14ac:dyDescent="0.25">
      <c r="E228" s="139"/>
      <c r="J228" s="139"/>
    </row>
    <row r="229" spans="5:10" ht="15.75" customHeight="1" x14ac:dyDescent="0.25">
      <c r="E229" s="139"/>
      <c r="J229" s="139"/>
    </row>
    <row r="230" spans="5:10" ht="15.75" customHeight="1" x14ac:dyDescent="0.25">
      <c r="E230" s="139"/>
      <c r="J230" s="139"/>
    </row>
    <row r="231" spans="5:10" ht="15.75" customHeight="1" x14ac:dyDescent="0.25">
      <c r="E231" s="139"/>
      <c r="J231" s="139"/>
    </row>
    <row r="232" spans="5:10" ht="15.75" customHeight="1" x14ac:dyDescent="0.25">
      <c r="E232" s="139"/>
      <c r="J232" s="139"/>
    </row>
    <row r="233" spans="5:10" ht="15.75" customHeight="1" x14ac:dyDescent="0.25">
      <c r="E233" s="139"/>
      <c r="J233" s="139"/>
    </row>
    <row r="234" spans="5:10" ht="15.75" customHeight="1" x14ac:dyDescent="0.25">
      <c r="E234" s="139"/>
      <c r="J234" s="139"/>
    </row>
    <row r="235" spans="5:10" ht="15.75" customHeight="1" x14ac:dyDescent="0.25">
      <c r="E235" s="139"/>
      <c r="J235" s="139"/>
    </row>
    <row r="236" spans="5:10" ht="15.75" customHeight="1" x14ac:dyDescent="0.25">
      <c r="E236" s="139"/>
      <c r="J236" s="139"/>
    </row>
    <row r="237" spans="5:10" ht="15.75" customHeight="1" x14ac:dyDescent="0.25">
      <c r="E237" s="139"/>
      <c r="J237" s="139"/>
    </row>
    <row r="238" spans="5:10" ht="15.75" customHeight="1" x14ac:dyDescent="0.25">
      <c r="E238" s="139"/>
      <c r="J238" s="139"/>
    </row>
    <row r="239" spans="5:10" ht="15.75" customHeight="1" x14ac:dyDescent="0.25">
      <c r="E239" s="139"/>
      <c r="J239" s="139"/>
    </row>
    <row r="240" spans="5:10" ht="15.75" customHeight="1" x14ac:dyDescent="0.25">
      <c r="E240" s="139"/>
      <c r="J240" s="139"/>
    </row>
    <row r="241" spans="5:10" ht="15.75" customHeight="1" x14ac:dyDescent="0.25">
      <c r="E241" s="139"/>
      <c r="J241" s="139"/>
    </row>
    <row r="242" spans="5:10" ht="15.75" customHeight="1" x14ac:dyDescent="0.25">
      <c r="E242" s="139"/>
      <c r="J242" s="139"/>
    </row>
    <row r="243" spans="5:10" ht="15.75" customHeight="1" x14ac:dyDescent="0.25">
      <c r="E243" s="139"/>
      <c r="J243" s="139"/>
    </row>
    <row r="244" spans="5:10" ht="15.75" customHeight="1" x14ac:dyDescent="0.25">
      <c r="E244" s="139"/>
      <c r="J244" s="139"/>
    </row>
    <row r="245" spans="5:10" ht="15.75" customHeight="1" x14ac:dyDescent="0.25">
      <c r="E245" s="139"/>
      <c r="J245" s="139"/>
    </row>
    <row r="246" spans="5:10" ht="15.75" customHeight="1" x14ac:dyDescent="0.25">
      <c r="E246" s="139"/>
      <c r="J246" s="139"/>
    </row>
    <row r="247" spans="5:10" ht="15.75" customHeight="1" x14ac:dyDescent="0.25">
      <c r="E247" s="139"/>
      <c r="J247" s="139"/>
    </row>
    <row r="248" spans="5:10" ht="15.75" customHeight="1" x14ac:dyDescent="0.25">
      <c r="E248" s="139"/>
      <c r="J248" s="139"/>
    </row>
    <row r="249" spans="5:10" ht="15.75" customHeight="1" x14ac:dyDescent="0.25">
      <c r="E249" s="139"/>
      <c r="J249" s="139"/>
    </row>
    <row r="250" spans="5:10" ht="15.75" customHeight="1" x14ac:dyDescent="0.25">
      <c r="E250" s="139"/>
      <c r="J250" s="139"/>
    </row>
    <row r="251" spans="5:10" ht="15.75" customHeight="1" x14ac:dyDescent="0.25">
      <c r="E251" s="139"/>
      <c r="J251" s="139"/>
    </row>
    <row r="252" spans="5:10" ht="15.75" customHeight="1" x14ac:dyDescent="0.25">
      <c r="E252" s="139"/>
      <c r="J252" s="139"/>
    </row>
    <row r="253" spans="5:10" ht="15.75" customHeight="1" x14ac:dyDescent="0.25">
      <c r="E253" s="139"/>
      <c r="J253" s="139"/>
    </row>
    <row r="254" spans="5:10" ht="15.75" customHeight="1" x14ac:dyDescent="0.25">
      <c r="E254" s="139"/>
      <c r="J254" s="139"/>
    </row>
    <row r="255" spans="5:10" ht="15.75" customHeight="1" x14ac:dyDescent="0.25">
      <c r="E255" s="139"/>
      <c r="J255" s="139"/>
    </row>
    <row r="256" spans="5:10" ht="15.75" customHeight="1" x14ac:dyDescent="0.25">
      <c r="E256" s="139"/>
      <c r="J256" s="139"/>
    </row>
    <row r="257" spans="5:10" ht="15.75" customHeight="1" x14ac:dyDescent="0.25">
      <c r="E257" s="139"/>
      <c r="J257" s="139"/>
    </row>
    <row r="258" spans="5:10" ht="15.75" customHeight="1" x14ac:dyDescent="0.25">
      <c r="E258" s="139"/>
      <c r="J258" s="139"/>
    </row>
    <row r="259" spans="5:10" ht="15.75" customHeight="1" x14ac:dyDescent="0.25">
      <c r="E259" s="139"/>
      <c r="J259" s="139"/>
    </row>
    <row r="260" spans="5:10" ht="15.75" customHeight="1" x14ac:dyDescent="0.25">
      <c r="E260" s="139"/>
      <c r="J260" s="139"/>
    </row>
    <row r="261" spans="5:10" ht="15.75" customHeight="1" x14ac:dyDescent="0.25">
      <c r="E261" s="139"/>
      <c r="J261" s="139"/>
    </row>
    <row r="262" spans="5:10" ht="15.75" customHeight="1" x14ac:dyDescent="0.25">
      <c r="E262" s="139"/>
      <c r="J262" s="139"/>
    </row>
    <row r="263" spans="5:10" ht="15.75" customHeight="1" x14ac:dyDescent="0.25">
      <c r="E263" s="139"/>
      <c r="J263" s="139"/>
    </row>
    <row r="264" spans="5:10" ht="15.75" customHeight="1" x14ac:dyDescent="0.25">
      <c r="E264" s="139"/>
      <c r="J264" s="139"/>
    </row>
    <row r="265" spans="5:10" ht="15.75" customHeight="1" x14ac:dyDescent="0.25">
      <c r="E265" s="139"/>
      <c r="J265" s="139"/>
    </row>
    <row r="266" spans="5:10" ht="15.75" customHeight="1" x14ac:dyDescent="0.25">
      <c r="E266" s="139"/>
      <c r="J266" s="139"/>
    </row>
    <row r="267" spans="5:10" ht="15.75" customHeight="1" x14ac:dyDescent="0.25">
      <c r="E267" s="139"/>
      <c r="J267" s="139"/>
    </row>
    <row r="268" spans="5:10" ht="15.75" customHeight="1" x14ac:dyDescent="0.25">
      <c r="E268" s="139"/>
      <c r="J268" s="139"/>
    </row>
    <row r="269" spans="5:10" ht="15.75" customHeight="1" x14ac:dyDescent="0.25">
      <c r="E269" s="139"/>
      <c r="J269" s="139"/>
    </row>
    <row r="270" spans="5:10" ht="15.75" customHeight="1" x14ac:dyDescent="0.25">
      <c r="E270" s="139"/>
      <c r="J270" s="139"/>
    </row>
    <row r="271" spans="5:10" ht="15.75" customHeight="1" x14ac:dyDescent="0.25">
      <c r="E271" s="139"/>
      <c r="J271" s="139"/>
    </row>
    <row r="272" spans="5:10" ht="15.75" customHeight="1" x14ac:dyDescent="0.25">
      <c r="E272" s="139"/>
      <c r="J272" s="139"/>
    </row>
    <row r="273" spans="5:10" ht="15.75" customHeight="1" x14ac:dyDescent="0.25">
      <c r="E273" s="139"/>
      <c r="J273" s="139"/>
    </row>
    <row r="274" spans="5:10" ht="15.75" customHeight="1" x14ac:dyDescent="0.25">
      <c r="E274" s="139"/>
      <c r="J274" s="139"/>
    </row>
    <row r="275" spans="5:10" ht="15.75" customHeight="1" x14ac:dyDescent="0.25">
      <c r="E275" s="139"/>
      <c r="J275" s="139"/>
    </row>
    <row r="276" spans="5:10" ht="15.75" customHeight="1" x14ac:dyDescent="0.25">
      <c r="E276" s="139"/>
      <c r="J276" s="139"/>
    </row>
    <row r="277" spans="5:10" ht="15.75" customHeight="1" x14ac:dyDescent="0.25">
      <c r="E277" s="139"/>
      <c r="J277" s="139"/>
    </row>
    <row r="278" spans="5:10" ht="15.75" customHeight="1" x14ac:dyDescent="0.25">
      <c r="E278" s="139"/>
      <c r="J278" s="139"/>
    </row>
    <row r="279" spans="5:10" ht="15.75" customHeight="1" x14ac:dyDescent="0.25">
      <c r="E279" s="139"/>
      <c r="J279" s="139"/>
    </row>
    <row r="280" spans="5:10" ht="15.75" customHeight="1" x14ac:dyDescent="0.25">
      <c r="E280" s="139"/>
      <c r="J280" s="139"/>
    </row>
    <row r="281" spans="5:10" ht="15.75" customHeight="1" x14ac:dyDescent="0.25">
      <c r="E281" s="139"/>
      <c r="J281" s="139"/>
    </row>
    <row r="282" spans="5:10" ht="15.75" customHeight="1" x14ac:dyDescent="0.25">
      <c r="E282" s="139"/>
      <c r="J282" s="139"/>
    </row>
    <row r="283" spans="5:10" ht="15.75" customHeight="1" x14ac:dyDescent="0.25">
      <c r="E283" s="139"/>
      <c r="J283" s="139"/>
    </row>
    <row r="284" spans="5:10" ht="15.75" customHeight="1" x14ac:dyDescent="0.25">
      <c r="E284" s="139"/>
      <c r="J284" s="139"/>
    </row>
    <row r="285" spans="5:10" ht="15.75" customHeight="1" x14ac:dyDescent="0.25">
      <c r="E285" s="139"/>
      <c r="J285" s="139"/>
    </row>
    <row r="286" spans="5:10" ht="15.75" customHeight="1" x14ac:dyDescent="0.25">
      <c r="E286" s="139"/>
      <c r="J286" s="139"/>
    </row>
    <row r="287" spans="5:10" ht="15.75" customHeight="1" x14ac:dyDescent="0.25">
      <c r="E287" s="139"/>
      <c r="J287" s="139"/>
    </row>
    <row r="288" spans="5:10" ht="15.75" customHeight="1" x14ac:dyDescent="0.25">
      <c r="E288" s="139"/>
      <c r="J288" s="139"/>
    </row>
    <row r="289" spans="5:10" ht="15.75" customHeight="1" x14ac:dyDescent="0.25">
      <c r="E289" s="139"/>
      <c r="J289" s="139"/>
    </row>
    <row r="290" spans="5:10" ht="15.75" customHeight="1" x14ac:dyDescent="0.25">
      <c r="E290" s="139"/>
      <c r="J290" s="139"/>
    </row>
    <row r="291" spans="5:10" ht="15.75" customHeight="1" x14ac:dyDescent="0.25">
      <c r="E291" s="139"/>
      <c r="J291" s="139"/>
    </row>
    <row r="292" spans="5:10" ht="15.75" customHeight="1" x14ac:dyDescent="0.25">
      <c r="E292" s="139"/>
      <c r="J292" s="139"/>
    </row>
    <row r="293" spans="5:10" ht="15.75" customHeight="1" x14ac:dyDescent="0.25">
      <c r="E293" s="139"/>
      <c r="J293" s="139"/>
    </row>
    <row r="294" spans="5:10" ht="15.75" customHeight="1" x14ac:dyDescent="0.25">
      <c r="E294" s="139"/>
      <c r="J294" s="139"/>
    </row>
    <row r="295" spans="5:10" ht="15.75" customHeight="1" x14ac:dyDescent="0.25">
      <c r="E295" s="139"/>
      <c r="J295" s="139"/>
    </row>
    <row r="296" spans="5:10" ht="15.75" customHeight="1" x14ac:dyDescent="0.25">
      <c r="E296" s="139"/>
      <c r="J296" s="139"/>
    </row>
    <row r="297" spans="5:10" ht="15.75" customHeight="1" x14ac:dyDescent="0.25">
      <c r="E297" s="139"/>
      <c r="J297" s="139"/>
    </row>
    <row r="298" spans="5:10" ht="15.75" customHeight="1" x14ac:dyDescent="0.25">
      <c r="E298" s="139"/>
      <c r="J298" s="139"/>
    </row>
    <row r="299" spans="5:10" ht="15.75" customHeight="1" x14ac:dyDescent="0.25">
      <c r="E299" s="139"/>
      <c r="J299" s="139"/>
    </row>
    <row r="300" spans="5:10" ht="15.75" customHeight="1" x14ac:dyDescent="0.25">
      <c r="E300" s="139"/>
      <c r="J300" s="139"/>
    </row>
    <row r="301" spans="5:10" ht="15.75" customHeight="1" x14ac:dyDescent="0.25">
      <c r="E301" s="139"/>
      <c r="J301" s="139"/>
    </row>
    <row r="302" spans="5:10" ht="15.75" customHeight="1" x14ac:dyDescent="0.25">
      <c r="E302" s="139"/>
      <c r="J302" s="139"/>
    </row>
    <row r="303" spans="5:10" ht="15.75" customHeight="1" x14ac:dyDescent="0.25">
      <c r="E303" s="139"/>
      <c r="J303" s="139"/>
    </row>
    <row r="304" spans="5:10" ht="15.75" customHeight="1" x14ac:dyDescent="0.25">
      <c r="E304" s="139"/>
      <c r="J304" s="139"/>
    </row>
    <row r="305" spans="5:10" ht="15.75" customHeight="1" x14ac:dyDescent="0.25">
      <c r="E305" s="139"/>
      <c r="J305" s="139"/>
    </row>
    <row r="306" spans="5:10" ht="15.75" customHeight="1" x14ac:dyDescent="0.25">
      <c r="E306" s="139"/>
      <c r="J306" s="139"/>
    </row>
    <row r="307" spans="5:10" ht="15.75" customHeight="1" x14ac:dyDescent="0.25">
      <c r="E307" s="139"/>
      <c r="J307" s="139"/>
    </row>
    <row r="308" spans="5:10" ht="15.75" customHeight="1" x14ac:dyDescent="0.25">
      <c r="E308" s="139"/>
      <c r="J308" s="139"/>
    </row>
    <row r="309" spans="5:10" ht="15.75" customHeight="1" x14ac:dyDescent="0.25">
      <c r="E309" s="139"/>
      <c r="J309" s="139"/>
    </row>
    <row r="310" spans="5:10" ht="15.75" customHeight="1" x14ac:dyDescent="0.25">
      <c r="E310" s="139"/>
      <c r="J310" s="139"/>
    </row>
    <row r="311" spans="5:10" ht="15.75" customHeight="1" x14ac:dyDescent="0.25">
      <c r="E311" s="139"/>
      <c r="J311" s="139"/>
    </row>
    <row r="312" spans="5:10" ht="15.75" customHeight="1" x14ac:dyDescent="0.25">
      <c r="E312" s="139"/>
      <c r="J312" s="139"/>
    </row>
    <row r="313" spans="5:10" ht="15.75" customHeight="1" x14ac:dyDescent="0.25">
      <c r="E313" s="139"/>
      <c r="J313" s="139"/>
    </row>
    <row r="314" spans="5:10" ht="15.75" customHeight="1" x14ac:dyDescent="0.25">
      <c r="E314" s="139"/>
      <c r="J314" s="139"/>
    </row>
    <row r="315" spans="5:10" ht="15.75" customHeight="1" x14ac:dyDescent="0.25">
      <c r="E315" s="139"/>
      <c r="J315" s="139"/>
    </row>
    <row r="316" spans="5:10" ht="15.75" customHeight="1" x14ac:dyDescent="0.25">
      <c r="E316" s="139"/>
      <c r="J316" s="139"/>
    </row>
    <row r="317" spans="5:10" ht="15.75" customHeight="1" x14ac:dyDescent="0.25">
      <c r="E317" s="139"/>
      <c r="J317" s="139"/>
    </row>
    <row r="318" spans="5:10" ht="15.75" customHeight="1" x14ac:dyDescent="0.25">
      <c r="E318" s="139"/>
      <c r="J318" s="139"/>
    </row>
    <row r="319" spans="5:10" ht="15.75" customHeight="1" x14ac:dyDescent="0.25">
      <c r="E319" s="139"/>
      <c r="J319" s="139"/>
    </row>
    <row r="320" spans="5:10" ht="15.75" customHeight="1" x14ac:dyDescent="0.25">
      <c r="E320" s="139"/>
      <c r="J320" s="139"/>
    </row>
    <row r="321" spans="5:10" ht="15.75" customHeight="1" x14ac:dyDescent="0.25">
      <c r="E321" s="139"/>
      <c r="J321" s="139"/>
    </row>
    <row r="322" spans="5:10" ht="15.75" customHeight="1" x14ac:dyDescent="0.25">
      <c r="E322" s="139"/>
      <c r="J322" s="139"/>
    </row>
    <row r="323" spans="5:10" ht="15.75" customHeight="1" x14ac:dyDescent="0.25">
      <c r="E323" s="139"/>
      <c r="J323" s="139"/>
    </row>
    <row r="324" spans="5:10" ht="15.75" customHeight="1" x14ac:dyDescent="0.25">
      <c r="E324" s="139"/>
      <c r="J324" s="139"/>
    </row>
    <row r="325" spans="5:10" ht="15.75" customHeight="1" x14ac:dyDescent="0.25">
      <c r="E325" s="139"/>
      <c r="J325" s="139"/>
    </row>
    <row r="326" spans="5:10" ht="15.75" customHeight="1" x14ac:dyDescent="0.25">
      <c r="E326" s="139"/>
      <c r="J326" s="139"/>
    </row>
    <row r="327" spans="5:10" ht="15.75" customHeight="1" x14ac:dyDescent="0.25">
      <c r="E327" s="139"/>
      <c r="J327" s="139"/>
    </row>
    <row r="328" spans="5:10" ht="15.75" customHeight="1" x14ac:dyDescent="0.25">
      <c r="E328" s="139"/>
      <c r="J328" s="139"/>
    </row>
    <row r="329" spans="5:10" ht="15.75" customHeight="1" x14ac:dyDescent="0.25">
      <c r="E329" s="139"/>
      <c r="J329" s="139"/>
    </row>
    <row r="330" spans="5:10" ht="15.75" customHeight="1" x14ac:dyDescent="0.25">
      <c r="E330" s="139"/>
      <c r="J330" s="139"/>
    </row>
    <row r="331" spans="5:10" ht="15.75" customHeight="1" x14ac:dyDescent="0.25">
      <c r="E331" s="139"/>
      <c r="J331" s="139"/>
    </row>
    <row r="332" spans="5:10" ht="15.75" customHeight="1" x14ac:dyDescent="0.25">
      <c r="E332" s="139"/>
      <c r="J332" s="139"/>
    </row>
    <row r="333" spans="5:10" ht="15.75" customHeight="1" x14ac:dyDescent="0.25">
      <c r="E333" s="139"/>
      <c r="J333" s="139"/>
    </row>
    <row r="334" spans="5:10" ht="15.75" customHeight="1" x14ac:dyDescent="0.25">
      <c r="E334" s="139"/>
      <c r="J334" s="139"/>
    </row>
    <row r="335" spans="5:10" ht="15.75" customHeight="1" x14ac:dyDescent="0.25">
      <c r="E335" s="139"/>
      <c r="J335" s="139"/>
    </row>
    <row r="336" spans="5:10" ht="15.75" customHeight="1" x14ac:dyDescent="0.25">
      <c r="E336" s="139"/>
      <c r="J336" s="139"/>
    </row>
    <row r="337" spans="5:10" ht="15.75" customHeight="1" x14ac:dyDescent="0.25">
      <c r="E337" s="139"/>
      <c r="J337" s="139"/>
    </row>
    <row r="338" spans="5:10" ht="15.75" customHeight="1" x14ac:dyDescent="0.25">
      <c r="E338" s="139"/>
      <c r="J338" s="139"/>
    </row>
    <row r="339" spans="5:10" ht="15.75" customHeight="1" x14ac:dyDescent="0.25">
      <c r="E339" s="139"/>
      <c r="J339" s="139"/>
    </row>
    <row r="340" spans="5:10" ht="15.75" customHeight="1" x14ac:dyDescent="0.25">
      <c r="E340" s="139"/>
      <c r="J340" s="139"/>
    </row>
    <row r="341" spans="5:10" ht="15.75" customHeight="1" x14ac:dyDescent="0.25">
      <c r="E341" s="139"/>
      <c r="J341" s="139"/>
    </row>
    <row r="342" spans="5:10" ht="15.75" customHeight="1" x14ac:dyDescent="0.25">
      <c r="E342" s="139"/>
      <c r="J342" s="139"/>
    </row>
    <row r="343" spans="5:10" ht="15.75" customHeight="1" x14ac:dyDescent="0.25">
      <c r="E343" s="139"/>
      <c r="J343" s="139"/>
    </row>
    <row r="344" spans="5:10" ht="15.75" customHeight="1" x14ac:dyDescent="0.25">
      <c r="E344" s="139"/>
      <c r="J344" s="139"/>
    </row>
    <row r="345" spans="5:10" ht="15.75" customHeight="1" x14ac:dyDescent="0.25">
      <c r="E345" s="139"/>
      <c r="J345" s="139"/>
    </row>
    <row r="346" spans="5:10" ht="15.75" customHeight="1" x14ac:dyDescent="0.25">
      <c r="E346" s="139"/>
      <c r="J346" s="139"/>
    </row>
    <row r="347" spans="5:10" ht="15.75" customHeight="1" x14ac:dyDescent="0.25">
      <c r="E347" s="139"/>
      <c r="J347" s="139"/>
    </row>
    <row r="348" spans="5:10" ht="15.75" customHeight="1" x14ac:dyDescent="0.25">
      <c r="E348" s="139"/>
      <c r="J348" s="139"/>
    </row>
    <row r="349" spans="5:10" ht="15.75" customHeight="1" x14ac:dyDescent="0.25">
      <c r="E349" s="139"/>
      <c r="J349" s="139"/>
    </row>
    <row r="350" spans="5:10" ht="15.75" customHeight="1" x14ac:dyDescent="0.25">
      <c r="E350" s="139"/>
      <c r="J350" s="139"/>
    </row>
    <row r="351" spans="5:10" ht="15.75" customHeight="1" x14ac:dyDescent="0.25">
      <c r="E351" s="139"/>
      <c r="J351" s="139"/>
    </row>
    <row r="352" spans="5:10" ht="15.75" customHeight="1" x14ac:dyDescent="0.25">
      <c r="E352" s="139"/>
      <c r="J352" s="139"/>
    </row>
    <row r="353" spans="5:10" ht="15.75" customHeight="1" x14ac:dyDescent="0.25">
      <c r="E353" s="139"/>
      <c r="J353" s="139"/>
    </row>
    <row r="354" spans="5:10" ht="15.75" customHeight="1" x14ac:dyDescent="0.25">
      <c r="E354" s="139"/>
      <c r="J354" s="139"/>
    </row>
    <row r="355" spans="5:10" ht="15.75" customHeight="1" x14ac:dyDescent="0.25">
      <c r="E355" s="139"/>
      <c r="J355" s="139"/>
    </row>
    <row r="356" spans="5:10" ht="15.75" customHeight="1" x14ac:dyDescent="0.25">
      <c r="E356" s="139"/>
      <c r="J356" s="139"/>
    </row>
    <row r="357" spans="5:10" ht="15.75" customHeight="1" x14ac:dyDescent="0.25">
      <c r="E357" s="139"/>
      <c r="J357" s="139"/>
    </row>
    <row r="358" spans="5:10" ht="15.75" customHeight="1" x14ac:dyDescent="0.25">
      <c r="E358" s="139"/>
      <c r="J358" s="139"/>
    </row>
    <row r="359" spans="5:10" ht="15.75" customHeight="1" x14ac:dyDescent="0.25">
      <c r="E359" s="139"/>
      <c r="J359" s="139"/>
    </row>
    <row r="360" spans="5:10" ht="15.75" customHeight="1" x14ac:dyDescent="0.25">
      <c r="E360" s="139"/>
      <c r="J360" s="139"/>
    </row>
    <row r="361" spans="5:10" ht="15.75" customHeight="1" x14ac:dyDescent="0.25">
      <c r="E361" s="139"/>
      <c r="J361" s="139"/>
    </row>
    <row r="362" spans="5:10" ht="15.75" customHeight="1" x14ac:dyDescent="0.25">
      <c r="E362" s="139"/>
      <c r="J362" s="139"/>
    </row>
    <row r="363" spans="5:10" ht="15.75" customHeight="1" x14ac:dyDescent="0.25">
      <c r="E363" s="139"/>
      <c r="J363" s="139"/>
    </row>
    <row r="364" spans="5:10" ht="15.75" customHeight="1" x14ac:dyDescent="0.25">
      <c r="E364" s="139"/>
      <c r="J364" s="139"/>
    </row>
    <row r="365" spans="5:10" ht="15.75" customHeight="1" x14ac:dyDescent="0.25">
      <c r="E365" s="139"/>
      <c r="J365" s="139"/>
    </row>
    <row r="366" spans="5:10" ht="15.75" customHeight="1" x14ac:dyDescent="0.25">
      <c r="E366" s="139"/>
      <c r="J366" s="139"/>
    </row>
    <row r="367" spans="5:10" ht="15.75" customHeight="1" x14ac:dyDescent="0.25">
      <c r="E367" s="139"/>
      <c r="J367" s="139"/>
    </row>
    <row r="368" spans="5:10" ht="15.75" customHeight="1" x14ac:dyDescent="0.25">
      <c r="E368" s="139"/>
      <c r="J368" s="139"/>
    </row>
    <row r="369" spans="5:10" ht="15.75" customHeight="1" x14ac:dyDescent="0.25">
      <c r="E369" s="139"/>
      <c r="J369" s="139"/>
    </row>
    <row r="370" spans="5:10" ht="15.75" customHeight="1" x14ac:dyDescent="0.25">
      <c r="E370" s="139"/>
      <c r="J370" s="139"/>
    </row>
    <row r="371" spans="5:10" ht="15.75" customHeight="1" x14ac:dyDescent="0.25">
      <c r="E371" s="139"/>
      <c r="J371" s="139"/>
    </row>
    <row r="372" spans="5:10" ht="15.75" customHeight="1" x14ac:dyDescent="0.25">
      <c r="E372" s="139"/>
      <c r="J372" s="139"/>
    </row>
    <row r="373" spans="5:10" ht="15.75" customHeight="1" x14ac:dyDescent="0.25">
      <c r="E373" s="139"/>
      <c r="J373" s="139"/>
    </row>
    <row r="374" spans="5:10" ht="15.75" customHeight="1" x14ac:dyDescent="0.25">
      <c r="E374" s="139"/>
      <c r="J374" s="139"/>
    </row>
    <row r="375" spans="5:10" ht="15.75" customHeight="1" x14ac:dyDescent="0.25">
      <c r="E375" s="139"/>
      <c r="J375" s="139"/>
    </row>
    <row r="376" spans="5:10" ht="15.75" customHeight="1" x14ac:dyDescent="0.25">
      <c r="E376" s="139"/>
      <c r="J376" s="139"/>
    </row>
    <row r="377" spans="5:10" ht="15.75" customHeight="1" x14ac:dyDescent="0.25">
      <c r="E377" s="139"/>
      <c r="J377" s="139"/>
    </row>
    <row r="378" spans="5:10" ht="15.75" customHeight="1" x14ac:dyDescent="0.25">
      <c r="E378" s="139"/>
      <c r="J378" s="139"/>
    </row>
    <row r="379" spans="5:10" ht="15.75" customHeight="1" x14ac:dyDescent="0.25">
      <c r="E379" s="139"/>
      <c r="J379" s="139"/>
    </row>
    <row r="380" spans="5:10" ht="15.75" customHeight="1" x14ac:dyDescent="0.25">
      <c r="E380" s="139"/>
      <c r="J380" s="139"/>
    </row>
    <row r="381" spans="5:10" ht="15.75" customHeight="1" x14ac:dyDescent="0.25">
      <c r="E381" s="139"/>
      <c r="J381" s="139"/>
    </row>
    <row r="382" spans="5:10" ht="15.75" customHeight="1" x14ac:dyDescent="0.25">
      <c r="E382" s="139"/>
      <c r="J382" s="139"/>
    </row>
    <row r="383" spans="5:10" ht="15.75" customHeight="1" x14ac:dyDescent="0.25">
      <c r="E383" s="139"/>
      <c r="J383" s="139"/>
    </row>
    <row r="384" spans="5:10" ht="15.75" customHeight="1" x14ac:dyDescent="0.25">
      <c r="E384" s="139"/>
      <c r="J384" s="139"/>
    </row>
    <row r="385" spans="5:10" ht="15.75" customHeight="1" x14ac:dyDescent="0.25">
      <c r="E385" s="139"/>
      <c r="J385" s="139"/>
    </row>
    <row r="386" spans="5:10" ht="15.75" customHeight="1" x14ac:dyDescent="0.25">
      <c r="E386" s="139"/>
      <c r="J386" s="139"/>
    </row>
    <row r="387" spans="5:10" ht="15.75" customHeight="1" x14ac:dyDescent="0.25">
      <c r="E387" s="139"/>
      <c r="J387" s="139"/>
    </row>
    <row r="388" spans="5:10" ht="15.75" customHeight="1" x14ac:dyDescent="0.25">
      <c r="E388" s="139"/>
      <c r="J388" s="139"/>
    </row>
    <row r="389" spans="5:10" ht="15.75" customHeight="1" x14ac:dyDescent="0.25">
      <c r="E389" s="139"/>
      <c r="J389" s="139"/>
    </row>
    <row r="390" spans="5:10" ht="15.75" customHeight="1" x14ac:dyDescent="0.25">
      <c r="E390" s="139"/>
      <c r="J390" s="139"/>
    </row>
    <row r="391" spans="5:10" ht="15.75" customHeight="1" x14ac:dyDescent="0.25">
      <c r="E391" s="139"/>
      <c r="J391" s="139"/>
    </row>
    <row r="392" spans="5:10" ht="15.75" customHeight="1" x14ac:dyDescent="0.25">
      <c r="E392" s="139"/>
      <c r="J392" s="139"/>
    </row>
    <row r="393" spans="5:10" ht="15.75" customHeight="1" x14ac:dyDescent="0.25">
      <c r="E393" s="139"/>
      <c r="J393" s="139"/>
    </row>
    <row r="394" spans="5:10" ht="15.75" customHeight="1" x14ac:dyDescent="0.25">
      <c r="E394" s="139"/>
      <c r="J394" s="139"/>
    </row>
    <row r="395" spans="5:10" ht="15.75" customHeight="1" x14ac:dyDescent="0.25">
      <c r="E395" s="139"/>
      <c r="J395" s="139"/>
    </row>
    <row r="396" spans="5:10" ht="15.75" customHeight="1" x14ac:dyDescent="0.25">
      <c r="E396" s="139"/>
      <c r="J396" s="139"/>
    </row>
    <row r="397" spans="5:10" ht="15.75" customHeight="1" x14ac:dyDescent="0.25">
      <c r="E397" s="139"/>
      <c r="J397" s="139"/>
    </row>
    <row r="398" spans="5:10" ht="15.75" customHeight="1" x14ac:dyDescent="0.25">
      <c r="E398" s="139"/>
      <c r="J398" s="139"/>
    </row>
    <row r="399" spans="5:10" ht="15.75" customHeight="1" x14ac:dyDescent="0.25">
      <c r="E399" s="139"/>
      <c r="J399" s="139"/>
    </row>
    <row r="400" spans="5:10" ht="15.75" customHeight="1" x14ac:dyDescent="0.25">
      <c r="E400" s="139"/>
      <c r="J400" s="139"/>
    </row>
    <row r="401" spans="5:10" ht="15.75" customHeight="1" x14ac:dyDescent="0.25">
      <c r="E401" s="139"/>
      <c r="J401" s="139"/>
    </row>
    <row r="402" spans="5:10" ht="15.75" customHeight="1" x14ac:dyDescent="0.25">
      <c r="E402" s="139"/>
      <c r="J402" s="139"/>
    </row>
    <row r="403" spans="5:10" ht="15.75" customHeight="1" x14ac:dyDescent="0.25">
      <c r="E403" s="139"/>
      <c r="J403" s="139"/>
    </row>
    <row r="404" spans="5:10" ht="15.75" customHeight="1" x14ac:dyDescent="0.25">
      <c r="E404" s="139"/>
      <c r="J404" s="139"/>
    </row>
    <row r="405" spans="5:10" ht="15.75" customHeight="1" x14ac:dyDescent="0.25">
      <c r="E405" s="139"/>
      <c r="J405" s="139"/>
    </row>
    <row r="406" spans="5:10" ht="15.75" customHeight="1" x14ac:dyDescent="0.25">
      <c r="E406" s="139"/>
      <c r="J406" s="139"/>
    </row>
    <row r="407" spans="5:10" ht="15.75" customHeight="1" x14ac:dyDescent="0.25">
      <c r="E407" s="139"/>
      <c r="J407" s="139"/>
    </row>
    <row r="408" spans="5:10" ht="15.75" customHeight="1" x14ac:dyDescent="0.25">
      <c r="E408" s="139"/>
      <c r="J408" s="139"/>
    </row>
    <row r="409" spans="5:10" ht="15.75" customHeight="1" x14ac:dyDescent="0.25">
      <c r="E409" s="139"/>
      <c r="J409" s="139"/>
    </row>
    <row r="410" spans="5:10" ht="15.75" customHeight="1" x14ac:dyDescent="0.25">
      <c r="E410" s="139"/>
      <c r="J410" s="139"/>
    </row>
    <row r="411" spans="5:10" ht="15.75" customHeight="1" x14ac:dyDescent="0.25">
      <c r="E411" s="139"/>
      <c r="J411" s="139"/>
    </row>
    <row r="412" spans="5:10" ht="15.75" customHeight="1" x14ac:dyDescent="0.25">
      <c r="E412" s="139"/>
      <c r="J412" s="139"/>
    </row>
    <row r="413" spans="5:10" ht="15.75" customHeight="1" x14ac:dyDescent="0.25">
      <c r="E413" s="139"/>
      <c r="J413" s="139"/>
    </row>
    <row r="414" spans="5:10" ht="15.75" customHeight="1" x14ac:dyDescent="0.25">
      <c r="E414" s="139"/>
      <c r="J414" s="139"/>
    </row>
    <row r="415" spans="5:10" ht="15.75" customHeight="1" x14ac:dyDescent="0.25">
      <c r="E415" s="139"/>
      <c r="J415" s="139"/>
    </row>
    <row r="416" spans="5:10" ht="15.75" customHeight="1" x14ac:dyDescent="0.25">
      <c r="E416" s="139"/>
      <c r="J416" s="139"/>
    </row>
    <row r="417" spans="5:10" ht="15.75" customHeight="1" x14ac:dyDescent="0.25">
      <c r="E417" s="139"/>
      <c r="J417" s="139"/>
    </row>
    <row r="418" spans="5:10" ht="15.75" customHeight="1" x14ac:dyDescent="0.25">
      <c r="E418" s="139"/>
      <c r="J418" s="139"/>
    </row>
    <row r="419" spans="5:10" ht="15.75" customHeight="1" x14ac:dyDescent="0.25">
      <c r="E419" s="139"/>
      <c r="J419" s="139"/>
    </row>
    <row r="420" spans="5:10" ht="15.75" customHeight="1" x14ac:dyDescent="0.25">
      <c r="E420" s="139"/>
      <c r="J420" s="139"/>
    </row>
    <row r="421" spans="5:10" ht="15.75" customHeight="1" x14ac:dyDescent="0.25">
      <c r="E421" s="139"/>
      <c r="J421" s="139"/>
    </row>
    <row r="422" spans="5:10" ht="15.75" customHeight="1" x14ac:dyDescent="0.25">
      <c r="E422" s="139"/>
      <c r="J422" s="139"/>
    </row>
    <row r="423" spans="5:10" ht="15.75" customHeight="1" x14ac:dyDescent="0.25">
      <c r="E423" s="139"/>
      <c r="J423" s="139"/>
    </row>
    <row r="424" spans="5:10" ht="15.75" customHeight="1" x14ac:dyDescent="0.25">
      <c r="E424" s="139"/>
      <c r="J424" s="139"/>
    </row>
    <row r="425" spans="5:10" ht="15.75" customHeight="1" x14ac:dyDescent="0.25">
      <c r="E425" s="139"/>
      <c r="J425" s="139"/>
    </row>
    <row r="426" spans="5:10" ht="15.75" customHeight="1" x14ac:dyDescent="0.25">
      <c r="E426" s="139"/>
      <c r="J426" s="139"/>
    </row>
    <row r="427" spans="5:10" ht="15.75" customHeight="1" x14ac:dyDescent="0.25">
      <c r="E427" s="139"/>
      <c r="J427" s="139"/>
    </row>
    <row r="428" spans="5:10" ht="15.75" customHeight="1" x14ac:dyDescent="0.25">
      <c r="E428" s="139"/>
      <c r="J428" s="139"/>
    </row>
    <row r="429" spans="5:10" ht="15.75" customHeight="1" x14ac:dyDescent="0.25">
      <c r="E429" s="139"/>
      <c r="J429" s="139"/>
    </row>
    <row r="430" spans="5:10" ht="15.75" customHeight="1" x14ac:dyDescent="0.25">
      <c r="E430" s="139"/>
      <c r="J430" s="139"/>
    </row>
    <row r="431" spans="5:10" ht="15.75" customHeight="1" x14ac:dyDescent="0.25">
      <c r="E431" s="139"/>
      <c r="J431" s="139"/>
    </row>
    <row r="432" spans="5:10" ht="15.75" customHeight="1" x14ac:dyDescent="0.25">
      <c r="E432" s="139"/>
      <c r="J432" s="139"/>
    </row>
    <row r="433" spans="5:10" ht="15.75" customHeight="1" x14ac:dyDescent="0.25">
      <c r="E433" s="139"/>
      <c r="J433" s="139"/>
    </row>
    <row r="434" spans="5:10" ht="15.75" customHeight="1" x14ac:dyDescent="0.25">
      <c r="E434" s="139"/>
      <c r="J434" s="139"/>
    </row>
    <row r="435" spans="5:10" ht="15.75" customHeight="1" x14ac:dyDescent="0.25">
      <c r="E435" s="139"/>
      <c r="J435" s="139"/>
    </row>
    <row r="436" spans="5:10" ht="15.75" customHeight="1" x14ac:dyDescent="0.25">
      <c r="E436" s="139"/>
      <c r="J436" s="139"/>
    </row>
    <row r="437" spans="5:10" ht="15.75" customHeight="1" x14ac:dyDescent="0.25">
      <c r="E437" s="139"/>
      <c r="J437" s="139"/>
    </row>
    <row r="438" spans="5:10" ht="15.75" customHeight="1" x14ac:dyDescent="0.25">
      <c r="E438" s="139"/>
      <c r="J438" s="139"/>
    </row>
    <row r="439" spans="5:10" ht="15.75" customHeight="1" x14ac:dyDescent="0.25">
      <c r="E439" s="139"/>
      <c r="J439" s="139"/>
    </row>
    <row r="440" spans="5:10" ht="15.75" customHeight="1" x14ac:dyDescent="0.25">
      <c r="E440" s="139"/>
      <c r="J440" s="139"/>
    </row>
    <row r="441" spans="5:10" ht="15.75" customHeight="1" x14ac:dyDescent="0.25">
      <c r="E441" s="139"/>
      <c r="J441" s="139"/>
    </row>
    <row r="442" spans="5:10" ht="15.75" customHeight="1" x14ac:dyDescent="0.25">
      <c r="E442" s="139"/>
      <c r="J442" s="139"/>
    </row>
    <row r="443" spans="5:10" ht="15.75" customHeight="1" x14ac:dyDescent="0.25">
      <c r="E443" s="139"/>
      <c r="J443" s="139"/>
    </row>
    <row r="444" spans="5:10" ht="15.75" customHeight="1" x14ac:dyDescent="0.25">
      <c r="E444" s="139"/>
      <c r="J444" s="139"/>
    </row>
    <row r="445" spans="5:10" ht="15.75" customHeight="1" x14ac:dyDescent="0.25">
      <c r="E445" s="139"/>
      <c r="J445" s="139"/>
    </row>
    <row r="446" spans="5:10" ht="15.75" customHeight="1" x14ac:dyDescent="0.25">
      <c r="E446" s="139"/>
      <c r="J446" s="139"/>
    </row>
    <row r="447" spans="5:10" ht="15.75" customHeight="1" x14ac:dyDescent="0.25">
      <c r="E447" s="139"/>
      <c r="J447" s="139"/>
    </row>
    <row r="448" spans="5:10" ht="15.75" customHeight="1" x14ac:dyDescent="0.25">
      <c r="E448" s="139"/>
      <c r="J448" s="139"/>
    </row>
    <row r="449" spans="5:10" ht="15.75" customHeight="1" x14ac:dyDescent="0.25">
      <c r="E449" s="139"/>
      <c r="J449" s="139"/>
    </row>
    <row r="450" spans="5:10" ht="15.75" customHeight="1" x14ac:dyDescent="0.25">
      <c r="E450" s="139"/>
      <c r="J450" s="139"/>
    </row>
    <row r="451" spans="5:10" ht="15.75" customHeight="1" x14ac:dyDescent="0.25">
      <c r="E451" s="139"/>
      <c r="J451" s="139"/>
    </row>
    <row r="452" spans="5:10" ht="15.75" customHeight="1" x14ac:dyDescent="0.25">
      <c r="E452" s="139"/>
      <c r="J452" s="139"/>
    </row>
    <row r="453" spans="5:10" ht="15.75" customHeight="1" x14ac:dyDescent="0.25">
      <c r="E453" s="139"/>
      <c r="J453" s="139"/>
    </row>
    <row r="454" spans="5:10" ht="15.75" customHeight="1" x14ac:dyDescent="0.25">
      <c r="E454" s="139"/>
      <c r="J454" s="139"/>
    </row>
    <row r="455" spans="5:10" ht="15.75" customHeight="1" x14ac:dyDescent="0.25">
      <c r="E455" s="139"/>
      <c r="J455" s="139"/>
    </row>
    <row r="456" spans="5:10" ht="15.75" customHeight="1" x14ac:dyDescent="0.25">
      <c r="E456" s="139"/>
      <c r="J456" s="139"/>
    </row>
    <row r="457" spans="5:10" ht="15.75" customHeight="1" x14ac:dyDescent="0.25">
      <c r="E457" s="139"/>
      <c r="J457" s="139"/>
    </row>
    <row r="458" spans="5:10" ht="15.75" customHeight="1" x14ac:dyDescent="0.25">
      <c r="E458" s="139"/>
      <c r="J458" s="139"/>
    </row>
    <row r="459" spans="5:10" ht="15.75" customHeight="1" x14ac:dyDescent="0.25">
      <c r="E459" s="139"/>
      <c r="J459" s="139"/>
    </row>
    <row r="460" spans="5:10" ht="15.75" customHeight="1" x14ac:dyDescent="0.25">
      <c r="E460" s="139"/>
      <c r="J460" s="139"/>
    </row>
    <row r="461" spans="5:10" ht="15.75" customHeight="1" x14ac:dyDescent="0.25">
      <c r="E461" s="139"/>
      <c r="J461" s="139"/>
    </row>
    <row r="462" spans="5:10" ht="15.75" customHeight="1" x14ac:dyDescent="0.25">
      <c r="E462" s="139"/>
      <c r="J462" s="139"/>
    </row>
    <row r="463" spans="5:10" ht="15.75" customHeight="1" x14ac:dyDescent="0.25">
      <c r="E463" s="139"/>
      <c r="J463" s="139"/>
    </row>
    <row r="464" spans="5:10" ht="15.75" customHeight="1" x14ac:dyDescent="0.25">
      <c r="E464" s="139"/>
      <c r="J464" s="139"/>
    </row>
    <row r="465" spans="5:10" ht="15.75" customHeight="1" x14ac:dyDescent="0.25">
      <c r="E465" s="139"/>
      <c r="J465" s="139"/>
    </row>
    <row r="466" spans="5:10" ht="15.75" customHeight="1" x14ac:dyDescent="0.25">
      <c r="E466" s="139"/>
      <c r="J466" s="139"/>
    </row>
    <row r="467" spans="5:10" ht="15.75" customHeight="1" x14ac:dyDescent="0.25">
      <c r="E467" s="139"/>
      <c r="J467" s="139"/>
    </row>
    <row r="468" spans="5:10" ht="15.75" customHeight="1" x14ac:dyDescent="0.25">
      <c r="E468" s="139"/>
      <c r="J468" s="139"/>
    </row>
    <row r="469" spans="5:10" ht="15.75" customHeight="1" x14ac:dyDescent="0.25">
      <c r="E469" s="139"/>
      <c r="J469" s="139"/>
    </row>
    <row r="470" spans="5:10" ht="15.75" customHeight="1" x14ac:dyDescent="0.25">
      <c r="E470" s="139"/>
      <c r="J470" s="139"/>
    </row>
    <row r="471" spans="5:10" ht="15.75" customHeight="1" x14ac:dyDescent="0.25">
      <c r="E471" s="139"/>
      <c r="J471" s="139"/>
    </row>
    <row r="472" spans="5:10" ht="15.75" customHeight="1" x14ac:dyDescent="0.25">
      <c r="E472" s="139"/>
      <c r="J472" s="139"/>
    </row>
    <row r="473" spans="5:10" ht="15.75" customHeight="1" x14ac:dyDescent="0.25">
      <c r="E473" s="139"/>
      <c r="J473" s="139"/>
    </row>
    <row r="474" spans="5:10" ht="15.75" customHeight="1" x14ac:dyDescent="0.25">
      <c r="E474" s="139"/>
      <c r="J474" s="139"/>
    </row>
    <row r="475" spans="5:10" ht="15.75" customHeight="1" x14ac:dyDescent="0.25">
      <c r="E475" s="139"/>
      <c r="J475" s="139"/>
    </row>
    <row r="476" spans="5:10" ht="15.75" customHeight="1" x14ac:dyDescent="0.25">
      <c r="E476" s="139"/>
      <c r="J476" s="139"/>
    </row>
    <row r="477" spans="5:10" ht="15.75" customHeight="1" x14ac:dyDescent="0.25">
      <c r="E477" s="139"/>
      <c r="J477" s="139"/>
    </row>
    <row r="478" spans="5:10" ht="15.75" customHeight="1" x14ac:dyDescent="0.25">
      <c r="E478" s="139"/>
      <c r="J478" s="139"/>
    </row>
    <row r="479" spans="5:10" ht="15.75" customHeight="1" x14ac:dyDescent="0.25">
      <c r="E479" s="139"/>
      <c r="J479" s="139"/>
    </row>
    <row r="480" spans="5:10" ht="15.75" customHeight="1" x14ac:dyDescent="0.25">
      <c r="E480" s="139"/>
      <c r="J480" s="139"/>
    </row>
    <row r="481" spans="5:10" ht="15.75" customHeight="1" x14ac:dyDescent="0.25">
      <c r="E481" s="139"/>
      <c r="J481" s="139"/>
    </row>
    <row r="482" spans="5:10" ht="15.75" customHeight="1" x14ac:dyDescent="0.25">
      <c r="E482" s="139"/>
      <c r="J482" s="139"/>
    </row>
    <row r="483" spans="5:10" ht="15.75" customHeight="1" x14ac:dyDescent="0.25">
      <c r="E483" s="139"/>
      <c r="J483" s="139"/>
    </row>
    <row r="484" spans="5:10" ht="15.75" customHeight="1" x14ac:dyDescent="0.25">
      <c r="E484" s="139"/>
      <c r="J484" s="139"/>
    </row>
    <row r="485" spans="5:10" ht="15.75" customHeight="1" x14ac:dyDescent="0.25">
      <c r="E485" s="139"/>
      <c r="J485" s="139"/>
    </row>
    <row r="486" spans="5:10" ht="15.75" customHeight="1" x14ac:dyDescent="0.25">
      <c r="E486" s="139"/>
      <c r="J486" s="139"/>
    </row>
    <row r="487" spans="5:10" ht="15.75" customHeight="1" x14ac:dyDescent="0.25">
      <c r="E487" s="139"/>
      <c r="J487" s="139"/>
    </row>
    <row r="488" spans="5:10" ht="15.75" customHeight="1" x14ac:dyDescent="0.25">
      <c r="E488" s="139"/>
      <c r="J488" s="139"/>
    </row>
    <row r="489" spans="5:10" ht="15.75" customHeight="1" x14ac:dyDescent="0.25">
      <c r="E489" s="139"/>
      <c r="J489" s="139"/>
    </row>
    <row r="490" spans="5:10" ht="15.75" customHeight="1" x14ac:dyDescent="0.25">
      <c r="E490" s="139"/>
      <c r="J490" s="139"/>
    </row>
    <row r="491" spans="5:10" ht="15.75" customHeight="1" x14ac:dyDescent="0.25">
      <c r="E491" s="139"/>
      <c r="J491" s="139"/>
    </row>
    <row r="492" spans="5:10" ht="15.75" customHeight="1" x14ac:dyDescent="0.25">
      <c r="E492" s="139"/>
      <c r="J492" s="139"/>
    </row>
    <row r="493" spans="5:10" ht="15.75" customHeight="1" x14ac:dyDescent="0.25">
      <c r="E493" s="139"/>
      <c r="J493" s="139"/>
    </row>
    <row r="494" spans="5:10" ht="15.75" customHeight="1" x14ac:dyDescent="0.25">
      <c r="E494" s="139"/>
      <c r="J494" s="139"/>
    </row>
    <row r="495" spans="5:10" ht="15.75" customHeight="1" x14ac:dyDescent="0.25">
      <c r="E495" s="139"/>
      <c r="J495" s="139"/>
    </row>
    <row r="496" spans="5:10" ht="15.75" customHeight="1" x14ac:dyDescent="0.25">
      <c r="E496" s="139"/>
      <c r="J496" s="139"/>
    </row>
    <row r="497" spans="5:10" ht="15.75" customHeight="1" x14ac:dyDescent="0.25">
      <c r="E497" s="139"/>
      <c r="J497" s="139"/>
    </row>
    <row r="498" spans="5:10" ht="15.75" customHeight="1" x14ac:dyDescent="0.25">
      <c r="E498" s="139"/>
      <c r="J498" s="139"/>
    </row>
    <row r="499" spans="5:10" ht="15.75" customHeight="1" x14ac:dyDescent="0.25">
      <c r="E499" s="139"/>
      <c r="J499" s="139"/>
    </row>
    <row r="500" spans="5:10" ht="15.75" customHeight="1" x14ac:dyDescent="0.25">
      <c r="E500" s="139"/>
      <c r="J500" s="139"/>
    </row>
    <row r="501" spans="5:10" ht="15.75" customHeight="1" x14ac:dyDescent="0.25">
      <c r="E501" s="139"/>
      <c r="J501" s="139"/>
    </row>
    <row r="502" spans="5:10" ht="15.75" customHeight="1" x14ac:dyDescent="0.25">
      <c r="E502" s="139"/>
      <c r="J502" s="139"/>
    </row>
    <row r="503" spans="5:10" ht="15.75" customHeight="1" x14ac:dyDescent="0.25">
      <c r="E503" s="139"/>
      <c r="J503" s="139"/>
    </row>
    <row r="504" spans="5:10" ht="15.75" customHeight="1" x14ac:dyDescent="0.25">
      <c r="E504" s="139"/>
      <c r="J504" s="139"/>
    </row>
    <row r="505" spans="5:10" ht="15.75" customHeight="1" x14ac:dyDescent="0.25">
      <c r="E505" s="139"/>
      <c r="J505" s="139"/>
    </row>
    <row r="506" spans="5:10" ht="15.75" customHeight="1" x14ac:dyDescent="0.25">
      <c r="E506" s="139"/>
      <c r="J506" s="139"/>
    </row>
    <row r="507" spans="5:10" ht="15.75" customHeight="1" x14ac:dyDescent="0.25">
      <c r="E507" s="139"/>
      <c r="J507" s="139"/>
    </row>
    <row r="508" spans="5:10" ht="15.75" customHeight="1" x14ac:dyDescent="0.25">
      <c r="E508" s="139"/>
      <c r="J508" s="139"/>
    </row>
    <row r="509" spans="5:10" ht="15.75" customHeight="1" x14ac:dyDescent="0.25">
      <c r="E509" s="139"/>
      <c r="J509" s="139"/>
    </row>
    <row r="510" spans="5:10" ht="15.75" customHeight="1" x14ac:dyDescent="0.25">
      <c r="E510" s="139"/>
      <c r="J510" s="139"/>
    </row>
    <row r="511" spans="5:10" ht="15.75" customHeight="1" x14ac:dyDescent="0.25">
      <c r="E511" s="139"/>
      <c r="J511" s="139"/>
    </row>
    <row r="512" spans="5:10" ht="15.75" customHeight="1" x14ac:dyDescent="0.25">
      <c r="E512" s="139"/>
      <c r="J512" s="139"/>
    </row>
    <row r="513" spans="5:10" ht="15.75" customHeight="1" x14ac:dyDescent="0.25">
      <c r="E513" s="139"/>
      <c r="J513" s="139"/>
    </row>
    <row r="514" spans="5:10" ht="15.75" customHeight="1" x14ac:dyDescent="0.25">
      <c r="E514" s="139"/>
      <c r="J514" s="139"/>
    </row>
    <row r="515" spans="5:10" ht="15.75" customHeight="1" x14ac:dyDescent="0.25">
      <c r="E515" s="139"/>
      <c r="J515" s="139"/>
    </row>
    <row r="516" spans="5:10" ht="15.75" customHeight="1" x14ac:dyDescent="0.25">
      <c r="E516" s="139"/>
      <c r="J516" s="139"/>
    </row>
    <row r="517" spans="5:10" ht="15.75" customHeight="1" x14ac:dyDescent="0.25">
      <c r="E517" s="139"/>
      <c r="J517" s="139"/>
    </row>
    <row r="518" spans="5:10" ht="15.75" customHeight="1" x14ac:dyDescent="0.25">
      <c r="E518" s="139"/>
      <c r="J518" s="139"/>
    </row>
    <row r="519" spans="5:10" ht="15.75" customHeight="1" x14ac:dyDescent="0.25">
      <c r="E519" s="139"/>
      <c r="J519" s="139"/>
    </row>
    <row r="520" spans="5:10" ht="15.75" customHeight="1" x14ac:dyDescent="0.25">
      <c r="E520" s="139"/>
      <c r="J520" s="139"/>
    </row>
    <row r="521" spans="5:10" ht="15.75" customHeight="1" x14ac:dyDescent="0.25">
      <c r="E521" s="139"/>
      <c r="J521" s="139"/>
    </row>
    <row r="522" spans="5:10" ht="15.75" customHeight="1" x14ac:dyDescent="0.25">
      <c r="E522" s="139"/>
      <c r="J522" s="139"/>
    </row>
    <row r="523" spans="5:10" ht="15.75" customHeight="1" x14ac:dyDescent="0.25">
      <c r="E523" s="139"/>
      <c r="J523" s="139"/>
    </row>
    <row r="524" spans="5:10" ht="15.75" customHeight="1" x14ac:dyDescent="0.25">
      <c r="E524" s="139"/>
      <c r="J524" s="139"/>
    </row>
    <row r="525" spans="5:10" ht="15.75" customHeight="1" x14ac:dyDescent="0.25">
      <c r="E525" s="139"/>
      <c r="J525" s="139"/>
    </row>
    <row r="526" spans="5:10" ht="15.75" customHeight="1" x14ac:dyDescent="0.25">
      <c r="E526" s="139"/>
      <c r="J526" s="139"/>
    </row>
    <row r="527" spans="5:10" ht="15.75" customHeight="1" x14ac:dyDescent="0.25">
      <c r="E527" s="139"/>
      <c r="J527" s="139"/>
    </row>
    <row r="528" spans="5:10" ht="15.75" customHeight="1" x14ac:dyDescent="0.25">
      <c r="E528" s="139"/>
      <c r="J528" s="139"/>
    </row>
    <row r="529" spans="5:10" ht="15.75" customHeight="1" x14ac:dyDescent="0.25">
      <c r="E529" s="139"/>
      <c r="J529" s="139"/>
    </row>
    <row r="530" spans="5:10" ht="15.75" customHeight="1" x14ac:dyDescent="0.25">
      <c r="E530" s="139"/>
      <c r="J530" s="139"/>
    </row>
    <row r="531" spans="5:10" ht="15.75" customHeight="1" x14ac:dyDescent="0.25">
      <c r="E531" s="139"/>
      <c r="J531" s="139"/>
    </row>
    <row r="532" spans="5:10" ht="15.75" customHeight="1" x14ac:dyDescent="0.25">
      <c r="E532" s="139"/>
      <c r="J532" s="139"/>
    </row>
    <row r="533" spans="5:10" ht="15.75" customHeight="1" x14ac:dyDescent="0.25">
      <c r="E533" s="139"/>
      <c r="J533" s="139"/>
    </row>
    <row r="534" spans="5:10" ht="15.75" customHeight="1" x14ac:dyDescent="0.25">
      <c r="E534" s="139"/>
      <c r="J534" s="139"/>
    </row>
    <row r="535" spans="5:10" ht="15.75" customHeight="1" x14ac:dyDescent="0.25">
      <c r="E535" s="139"/>
      <c r="J535" s="139"/>
    </row>
    <row r="536" spans="5:10" ht="15.75" customHeight="1" x14ac:dyDescent="0.25">
      <c r="E536" s="139"/>
      <c r="J536" s="139"/>
    </row>
    <row r="537" spans="5:10" ht="15.75" customHeight="1" x14ac:dyDescent="0.25">
      <c r="E537" s="139"/>
      <c r="J537" s="139"/>
    </row>
    <row r="538" spans="5:10" ht="15.75" customHeight="1" x14ac:dyDescent="0.25">
      <c r="E538" s="139"/>
      <c r="J538" s="139"/>
    </row>
    <row r="539" spans="5:10" ht="15.75" customHeight="1" x14ac:dyDescent="0.25">
      <c r="E539" s="139"/>
      <c r="J539" s="139"/>
    </row>
    <row r="540" spans="5:10" ht="15.75" customHeight="1" x14ac:dyDescent="0.25">
      <c r="E540" s="139"/>
      <c r="J540" s="139"/>
    </row>
    <row r="541" spans="5:10" ht="15.75" customHeight="1" x14ac:dyDescent="0.25">
      <c r="E541" s="139"/>
      <c r="J541" s="139"/>
    </row>
    <row r="542" spans="5:10" ht="15.75" customHeight="1" x14ac:dyDescent="0.25">
      <c r="E542" s="139"/>
      <c r="J542" s="139"/>
    </row>
    <row r="543" spans="5:10" ht="15.75" customHeight="1" x14ac:dyDescent="0.25">
      <c r="E543" s="139"/>
      <c r="J543" s="139"/>
    </row>
    <row r="544" spans="5:10" ht="15.75" customHeight="1" x14ac:dyDescent="0.25">
      <c r="E544" s="139"/>
      <c r="J544" s="139"/>
    </row>
    <row r="545" spans="5:10" ht="15.75" customHeight="1" x14ac:dyDescent="0.25">
      <c r="E545" s="139"/>
      <c r="J545" s="139"/>
    </row>
    <row r="546" spans="5:10" ht="15.75" customHeight="1" x14ac:dyDescent="0.25">
      <c r="E546" s="139"/>
      <c r="J546" s="139"/>
    </row>
    <row r="547" spans="5:10" ht="15.75" customHeight="1" x14ac:dyDescent="0.25">
      <c r="E547" s="139"/>
      <c r="J547" s="139"/>
    </row>
    <row r="548" spans="5:10" ht="15.75" customHeight="1" x14ac:dyDescent="0.25">
      <c r="E548" s="139"/>
      <c r="J548" s="139"/>
    </row>
    <row r="549" spans="5:10" ht="15.75" customHeight="1" x14ac:dyDescent="0.25">
      <c r="E549" s="139"/>
      <c r="J549" s="139"/>
    </row>
    <row r="550" spans="5:10" ht="15.75" customHeight="1" x14ac:dyDescent="0.25">
      <c r="E550" s="139"/>
      <c r="J550" s="139"/>
    </row>
    <row r="551" spans="5:10" ht="15.75" customHeight="1" x14ac:dyDescent="0.25">
      <c r="E551" s="139"/>
      <c r="J551" s="139"/>
    </row>
    <row r="552" spans="5:10" ht="15.75" customHeight="1" x14ac:dyDescent="0.25">
      <c r="E552" s="139"/>
      <c r="J552" s="139"/>
    </row>
    <row r="553" spans="5:10" ht="15.75" customHeight="1" x14ac:dyDescent="0.25">
      <c r="E553" s="139"/>
      <c r="J553" s="139"/>
    </row>
    <row r="554" spans="5:10" ht="15.75" customHeight="1" x14ac:dyDescent="0.25">
      <c r="E554" s="139"/>
      <c r="J554" s="139"/>
    </row>
    <row r="555" spans="5:10" ht="15.75" customHeight="1" x14ac:dyDescent="0.25">
      <c r="E555" s="139"/>
      <c r="J555" s="139"/>
    </row>
    <row r="556" spans="5:10" ht="15.75" customHeight="1" x14ac:dyDescent="0.25">
      <c r="E556" s="139"/>
      <c r="J556" s="139"/>
    </row>
    <row r="557" spans="5:10" ht="15.75" customHeight="1" x14ac:dyDescent="0.25">
      <c r="E557" s="139"/>
      <c r="J557" s="139"/>
    </row>
    <row r="558" spans="5:10" ht="15.75" customHeight="1" x14ac:dyDescent="0.25">
      <c r="E558" s="139"/>
      <c r="J558" s="139"/>
    </row>
    <row r="559" spans="5:10" ht="15.75" customHeight="1" x14ac:dyDescent="0.25">
      <c r="E559" s="139"/>
      <c r="J559" s="139"/>
    </row>
    <row r="560" spans="5:10" ht="15.75" customHeight="1" x14ac:dyDescent="0.25">
      <c r="E560" s="139"/>
      <c r="J560" s="139"/>
    </row>
    <row r="561" spans="5:10" ht="15.75" customHeight="1" x14ac:dyDescent="0.25">
      <c r="E561" s="139"/>
      <c r="J561" s="139"/>
    </row>
    <row r="562" spans="5:10" ht="15.75" customHeight="1" x14ac:dyDescent="0.25">
      <c r="E562" s="139"/>
      <c r="J562" s="139"/>
    </row>
    <row r="563" spans="5:10" ht="15.75" customHeight="1" x14ac:dyDescent="0.25">
      <c r="E563" s="139"/>
      <c r="J563" s="139"/>
    </row>
    <row r="564" spans="5:10" ht="15.75" customHeight="1" x14ac:dyDescent="0.25">
      <c r="E564" s="139"/>
      <c r="J564" s="139"/>
    </row>
    <row r="565" spans="5:10" ht="15.75" customHeight="1" x14ac:dyDescent="0.25">
      <c r="E565" s="139"/>
      <c r="J565" s="139"/>
    </row>
    <row r="566" spans="5:10" ht="15.75" customHeight="1" x14ac:dyDescent="0.25">
      <c r="E566" s="139"/>
      <c r="J566" s="139"/>
    </row>
    <row r="567" spans="5:10" ht="15.75" customHeight="1" x14ac:dyDescent="0.25">
      <c r="E567" s="139"/>
      <c r="J567" s="139"/>
    </row>
    <row r="568" spans="5:10" ht="15.75" customHeight="1" x14ac:dyDescent="0.25">
      <c r="E568" s="139"/>
      <c r="J568" s="139"/>
    </row>
    <row r="569" spans="5:10" ht="15.75" customHeight="1" x14ac:dyDescent="0.25">
      <c r="E569" s="139"/>
      <c r="J569" s="139"/>
    </row>
    <row r="570" spans="5:10" ht="15.75" customHeight="1" x14ac:dyDescent="0.25">
      <c r="E570" s="139"/>
      <c r="J570" s="139"/>
    </row>
    <row r="571" spans="5:10" ht="15.75" customHeight="1" x14ac:dyDescent="0.25">
      <c r="E571" s="139"/>
      <c r="J571" s="139"/>
    </row>
    <row r="572" spans="5:10" ht="15.75" customHeight="1" x14ac:dyDescent="0.25">
      <c r="E572" s="139"/>
      <c r="J572" s="139"/>
    </row>
    <row r="573" spans="5:10" ht="15.75" customHeight="1" x14ac:dyDescent="0.25">
      <c r="E573" s="139"/>
      <c r="J573" s="139"/>
    </row>
    <row r="574" spans="5:10" ht="15.75" customHeight="1" x14ac:dyDescent="0.25">
      <c r="E574" s="139"/>
      <c r="J574" s="139"/>
    </row>
    <row r="575" spans="5:10" ht="15.75" customHeight="1" x14ac:dyDescent="0.25">
      <c r="E575" s="139"/>
      <c r="J575" s="139"/>
    </row>
    <row r="576" spans="5:10" ht="15.75" customHeight="1" x14ac:dyDescent="0.25">
      <c r="E576" s="139"/>
      <c r="J576" s="139"/>
    </row>
    <row r="577" spans="5:10" ht="15.75" customHeight="1" x14ac:dyDescent="0.25">
      <c r="E577" s="139"/>
      <c r="J577" s="139"/>
    </row>
    <row r="578" spans="5:10" ht="15.75" customHeight="1" x14ac:dyDescent="0.25">
      <c r="E578" s="139"/>
      <c r="J578" s="139"/>
    </row>
    <row r="579" spans="5:10" ht="15.75" customHeight="1" x14ac:dyDescent="0.25">
      <c r="E579" s="139"/>
      <c r="J579" s="139"/>
    </row>
    <row r="580" spans="5:10" ht="15.75" customHeight="1" x14ac:dyDescent="0.25">
      <c r="E580" s="139"/>
      <c r="J580" s="139"/>
    </row>
    <row r="581" spans="5:10" ht="15.75" customHeight="1" x14ac:dyDescent="0.25">
      <c r="E581" s="139"/>
      <c r="J581" s="139"/>
    </row>
    <row r="582" spans="5:10" ht="15.75" customHeight="1" x14ac:dyDescent="0.25">
      <c r="E582" s="139"/>
      <c r="J582" s="139"/>
    </row>
    <row r="583" spans="5:10" ht="15.75" customHeight="1" x14ac:dyDescent="0.25">
      <c r="E583" s="139"/>
      <c r="J583" s="139"/>
    </row>
    <row r="584" spans="5:10" ht="15.75" customHeight="1" x14ac:dyDescent="0.25">
      <c r="E584" s="139"/>
      <c r="J584" s="139"/>
    </row>
    <row r="585" spans="5:10" ht="15.75" customHeight="1" x14ac:dyDescent="0.25">
      <c r="E585" s="139"/>
      <c r="J585" s="139"/>
    </row>
    <row r="586" spans="5:10" ht="15.75" customHeight="1" x14ac:dyDescent="0.25">
      <c r="E586" s="139"/>
      <c r="J586" s="139"/>
    </row>
    <row r="587" spans="5:10" ht="15.75" customHeight="1" x14ac:dyDescent="0.25">
      <c r="E587" s="139"/>
      <c r="J587" s="139"/>
    </row>
    <row r="588" spans="5:10" ht="15.75" customHeight="1" x14ac:dyDescent="0.25">
      <c r="E588" s="139"/>
      <c r="J588" s="139"/>
    </row>
    <row r="589" spans="5:10" ht="15.75" customHeight="1" x14ac:dyDescent="0.25">
      <c r="E589" s="139"/>
      <c r="J589" s="139"/>
    </row>
    <row r="590" spans="5:10" ht="15.75" customHeight="1" x14ac:dyDescent="0.25">
      <c r="E590" s="139"/>
      <c r="J590" s="139"/>
    </row>
    <row r="591" spans="5:10" ht="15.75" customHeight="1" x14ac:dyDescent="0.25">
      <c r="E591" s="139"/>
      <c r="J591" s="139"/>
    </row>
    <row r="592" spans="5:10" ht="15.75" customHeight="1" x14ac:dyDescent="0.25">
      <c r="E592" s="139"/>
      <c r="J592" s="139"/>
    </row>
    <row r="593" spans="5:10" ht="15.75" customHeight="1" x14ac:dyDescent="0.25">
      <c r="E593" s="139"/>
      <c r="J593" s="139"/>
    </row>
    <row r="594" spans="5:10" ht="15.75" customHeight="1" x14ac:dyDescent="0.25">
      <c r="E594" s="139"/>
      <c r="J594" s="139"/>
    </row>
    <row r="595" spans="5:10" ht="15.75" customHeight="1" x14ac:dyDescent="0.25">
      <c r="E595" s="139"/>
      <c r="J595" s="139"/>
    </row>
    <row r="596" spans="5:10" ht="15.75" customHeight="1" x14ac:dyDescent="0.25">
      <c r="E596" s="139"/>
      <c r="J596" s="139"/>
    </row>
    <row r="597" spans="5:10" ht="15.75" customHeight="1" x14ac:dyDescent="0.25">
      <c r="E597" s="139"/>
      <c r="J597" s="139"/>
    </row>
    <row r="598" spans="5:10" ht="15.75" customHeight="1" x14ac:dyDescent="0.25">
      <c r="E598" s="139"/>
      <c r="J598" s="139"/>
    </row>
    <row r="599" spans="5:10" ht="15.75" customHeight="1" x14ac:dyDescent="0.25">
      <c r="E599" s="139"/>
      <c r="J599" s="139"/>
    </row>
    <row r="600" spans="5:10" ht="15.75" customHeight="1" x14ac:dyDescent="0.25">
      <c r="E600" s="139"/>
      <c r="J600" s="139"/>
    </row>
    <row r="601" spans="5:10" ht="15.75" customHeight="1" x14ac:dyDescent="0.25">
      <c r="E601" s="139"/>
      <c r="J601" s="139"/>
    </row>
    <row r="602" spans="5:10" ht="15.75" customHeight="1" x14ac:dyDescent="0.25">
      <c r="E602" s="139"/>
      <c r="J602" s="139"/>
    </row>
    <row r="603" spans="5:10" ht="15.75" customHeight="1" x14ac:dyDescent="0.25">
      <c r="E603" s="139"/>
      <c r="J603" s="139"/>
    </row>
    <row r="604" spans="5:10" ht="15.75" customHeight="1" x14ac:dyDescent="0.25">
      <c r="E604" s="139"/>
      <c r="J604" s="139"/>
    </row>
    <row r="605" spans="5:10" ht="15.75" customHeight="1" x14ac:dyDescent="0.25">
      <c r="E605" s="139"/>
      <c r="J605" s="139"/>
    </row>
    <row r="606" spans="5:10" ht="15.75" customHeight="1" x14ac:dyDescent="0.25">
      <c r="E606" s="139"/>
      <c r="J606" s="139"/>
    </row>
    <row r="607" spans="5:10" ht="15.75" customHeight="1" x14ac:dyDescent="0.25">
      <c r="E607" s="139"/>
      <c r="J607" s="139"/>
    </row>
    <row r="608" spans="5:10" ht="15.75" customHeight="1" x14ac:dyDescent="0.25">
      <c r="E608" s="139"/>
      <c r="J608" s="139"/>
    </row>
    <row r="609" spans="5:10" ht="15.75" customHeight="1" x14ac:dyDescent="0.25">
      <c r="E609" s="139"/>
      <c r="J609" s="139"/>
    </row>
    <row r="610" spans="5:10" ht="15.75" customHeight="1" x14ac:dyDescent="0.25">
      <c r="E610" s="139"/>
      <c r="J610" s="139"/>
    </row>
    <row r="611" spans="5:10" ht="15.75" customHeight="1" x14ac:dyDescent="0.25">
      <c r="E611" s="139"/>
      <c r="J611" s="139"/>
    </row>
    <row r="612" spans="5:10" ht="15.75" customHeight="1" x14ac:dyDescent="0.25">
      <c r="E612" s="139"/>
      <c r="J612" s="139"/>
    </row>
    <row r="613" spans="5:10" ht="15.75" customHeight="1" x14ac:dyDescent="0.25">
      <c r="E613" s="139"/>
      <c r="J613" s="139"/>
    </row>
    <row r="614" spans="5:10" ht="15.75" customHeight="1" x14ac:dyDescent="0.25">
      <c r="E614" s="139"/>
      <c r="J614" s="139"/>
    </row>
    <row r="615" spans="5:10" ht="15.75" customHeight="1" x14ac:dyDescent="0.25">
      <c r="E615" s="139"/>
      <c r="J615" s="139"/>
    </row>
    <row r="616" spans="5:10" ht="15.75" customHeight="1" x14ac:dyDescent="0.25">
      <c r="E616" s="139"/>
      <c r="J616" s="139"/>
    </row>
    <row r="617" spans="5:10" ht="15.75" customHeight="1" x14ac:dyDescent="0.25">
      <c r="E617" s="139"/>
      <c r="J617" s="139"/>
    </row>
    <row r="618" spans="5:10" ht="15.75" customHeight="1" x14ac:dyDescent="0.25">
      <c r="E618" s="139"/>
      <c r="J618" s="139"/>
    </row>
    <row r="619" spans="5:10" ht="15.75" customHeight="1" x14ac:dyDescent="0.25">
      <c r="E619" s="139"/>
      <c r="J619" s="139"/>
    </row>
    <row r="620" spans="5:10" ht="15.75" customHeight="1" x14ac:dyDescent="0.25">
      <c r="E620" s="139"/>
      <c r="J620" s="139"/>
    </row>
    <row r="621" spans="5:10" ht="15.75" customHeight="1" x14ac:dyDescent="0.25">
      <c r="E621" s="139"/>
      <c r="J621" s="139"/>
    </row>
    <row r="622" spans="5:10" ht="15.75" customHeight="1" x14ac:dyDescent="0.25">
      <c r="E622" s="139"/>
      <c r="J622" s="139"/>
    </row>
    <row r="623" spans="5:10" ht="15.75" customHeight="1" x14ac:dyDescent="0.25">
      <c r="E623" s="139"/>
      <c r="J623" s="139"/>
    </row>
    <row r="624" spans="5:10" ht="15.75" customHeight="1" x14ac:dyDescent="0.25">
      <c r="E624" s="139"/>
      <c r="J624" s="139"/>
    </row>
    <row r="625" spans="5:10" ht="15.75" customHeight="1" x14ac:dyDescent="0.25">
      <c r="E625" s="139"/>
      <c r="J625" s="139"/>
    </row>
    <row r="626" spans="5:10" ht="15.75" customHeight="1" x14ac:dyDescent="0.25">
      <c r="E626" s="139"/>
      <c r="J626" s="139"/>
    </row>
    <row r="627" spans="5:10" ht="15.75" customHeight="1" x14ac:dyDescent="0.25">
      <c r="E627" s="139"/>
      <c r="J627" s="139"/>
    </row>
    <row r="628" spans="5:10" ht="15.75" customHeight="1" x14ac:dyDescent="0.25">
      <c r="E628" s="139"/>
      <c r="J628" s="139"/>
    </row>
    <row r="629" spans="5:10" ht="15.75" customHeight="1" x14ac:dyDescent="0.25">
      <c r="E629" s="139"/>
      <c r="J629" s="139"/>
    </row>
    <row r="630" spans="5:10" ht="15.75" customHeight="1" x14ac:dyDescent="0.25">
      <c r="E630" s="139"/>
      <c r="J630" s="139"/>
    </row>
    <row r="631" spans="5:10" ht="15.75" customHeight="1" x14ac:dyDescent="0.25">
      <c r="E631" s="139"/>
      <c r="J631" s="139"/>
    </row>
    <row r="632" spans="5:10" ht="15.75" customHeight="1" x14ac:dyDescent="0.25">
      <c r="E632" s="139"/>
      <c r="J632" s="139"/>
    </row>
    <row r="633" spans="5:10" ht="15.75" customHeight="1" x14ac:dyDescent="0.25">
      <c r="E633" s="139"/>
      <c r="J633" s="139"/>
    </row>
    <row r="634" spans="5:10" ht="15.75" customHeight="1" x14ac:dyDescent="0.25">
      <c r="E634" s="139"/>
      <c r="J634" s="139"/>
    </row>
    <row r="635" spans="5:10" ht="15.75" customHeight="1" x14ac:dyDescent="0.25">
      <c r="E635" s="139"/>
      <c r="J635" s="139"/>
    </row>
    <row r="636" spans="5:10" ht="15.75" customHeight="1" x14ac:dyDescent="0.25">
      <c r="E636" s="139"/>
      <c r="J636" s="139"/>
    </row>
    <row r="637" spans="5:10" ht="15.75" customHeight="1" x14ac:dyDescent="0.25">
      <c r="E637" s="139"/>
      <c r="J637" s="139"/>
    </row>
    <row r="638" spans="5:10" ht="15.75" customHeight="1" x14ac:dyDescent="0.25">
      <c r="E638" s="139"/>
      <c r="J638" s="139"/>
    </row>
    <row r="639" spans="5:10" ht="15.75" customHeight="1" x14ac:dyDescent="0.25">
      <c r="E639" s="139"/>
      <c r="J639" s="139"/>
    </row>
    <row r="640" spans="5:10" ht="15.75" customHeight="1" x14ac:dyDescent="0.25">
      <c r="E640" s="139"/>
      <c r="J640" s="139"/>
    </row>
    <row r="641" spans="5:10" ht="15.75" customHeight="1" x14ac:dyDescent="0.25">
      <c r="E641" s="139"/>
      <c r="J641" s="139"/>
    </row>
    <row r="642" spans="5:10" ht="15.75" customHeight="1" x14ac:dyDescent="0.25">
      <c r="E642" s="139"/>
      <c r="J642" s="139"/>
    </row>
    <row r="643" spans="5:10" ht="15.75" customHeight="1" x14ac:dyDescent="0.25">
      <c r="E643" s="139"/>
      <c r="J643" s="139"/>
    </row>
    <row r="644" spans="5:10" ht="15.75" customHeight="1" x14ac:dyDescent="0.25">
      <c r="E644" s="139"/>
      <c r="J644" s="139"/>
    </row>
    <row r="645" spans="5:10" ht="15.75" customHeight="1" x14ac:dyDescent="0.25">
      <c r="E645" s="139"/>
      <c r="J645" s="139"/>
    </row>
    <row r="646" spans="5:10" ht="15.75" customHeight="1" x14ac:dyDescent="0.25">
      <c r="E646" s="139"/>
      <c r="J646" s="139"/>
    </row>
    <row r="647" spans="5:10" ht="15.75" customHeight="1" x14ac:dyDescent="0.25">
      <c r="E647" s="139"/>
      <c r="J647" s="139"/>
    </row>
    <row r="648" spans="5:10" ht="15.75" customHeight="1" x14ac:dyDescent="0.25">
      <c r="E648" s="139"/>
      <c r="J648" s="139"/>
    </row>
    <row r="649" spans="5:10" ht="15.75" customHeight="1" x14ac:dyDescent="0.25">
      <c r="E649" s="139"/>
      <c r="J649" s="139"/>
    </row>
    <row r="650" spans="5:10" ht="15.75" customHeight="1" x14ac:dyDescent="0.25">
      <c r="E650" s="139"/>
      <c r="J650" s="139"/>
    </row>
    <row r="651" spans="5:10" ht="15.75" customHeight="1" x14ac:dyDescent="0.25">
      <c r="E651" s="139"/>
      <c r="J651" s="139"/>
    </row>
    <row r="652" spans="5:10" ht="15.75" customHeight="1" x14ac:dyDescent="0.25">
      <c r="E652" s="139"/>
      <c r="J652" s="139"/>
    </row>
    <row r="653" spans="5:10" ht="15.75" customHeight="1" x14ac:dyDescent="0.25">
      <c r="E653" s="139"/>
      <c r="J653" s="139"/>
    </row>
    <row r="654" spans="5:10" ht="15.75" customHeight="1" x14ac:dyDescent="0.25">
      <c r="E654" s="139"/>
      <c r="J654" s="139"/>
    </row>
    <row r="655" spans="5:10" ht="15.75" customHeight="1" x14ac:dyDescent="0.25">
      <c r="E655" s="139"/>
      <c r="J655" s="139"/>
    </row>
    <row r="656" spans="5:10" ht="15.75" customHeight="1" x14ac:dyDescent="0.25">
      <c r="E656" s="139"/>
      <c r="J656" s="139"/>
    </row>
    <row r="657" spans="5:10" ht="15.75" customHeight="1" x14ac:dyDescent="0.25">
      <c r="E657" s="139"/>
      <c r="J657" s="139"/>
    </row>
    <row r="658" spans="5:10" ht="15.75" customHeight="1" x14ac:dyDescent="0.25">
      <c r="E658" s="139"/>
      <c r="J658" s="139"/>
    </row>
    <row r="659" spans="5:10" ht="15.75" customHeight="1" x14ac:dyDescent="0.25">
      <c r="E659" s="139"/>
      <c r="J659" s="139"/>
    </row>
    <row r="660" spans="5:10" ht="15.75" customHeight="1" x14ac:dyDescent="0.25">
      <c r="E660" s="139"/>
      <c r="J660" s="139"/>
    </row>
    <row r="661" spans="5:10" ht="15.75" customHeight="1" x14ac:dyDescent="0.25">
      <c r="E661" s="139"/>
      <c r="J661" s="139"/>
    </row>
    <row r="662" spans="5:10" ht="15.75" customHeight="1" x14ac:dyDescent="0.25">
      <c r="E662" s="139"/>
      <c r="J662" s="139"/>
    </row>
    <row r="663" spans="5:10" ht="15.75" customHeight="1" x14ac:dyDescent="0.25">
      <c r="E663" s="139"/>
      <c r="J663" s="139"/>
    </row>
    <row r="664" spans="5:10" ht="15.75" customHeight="1" x14ac:dyDescent="0.25">
      <c r="E664" s="139"/>
      <c r="J664" s="139"/>
    </row>
    <row r="665" spans="5:10" ht="15.75" customHeight="1" x14ac:dyDescent="0.25">
      <c r="E665" s="139"/>
      <c r="J665" s="139"/>
    </row>
    <row r="666" spans="5:10" ht="15.75" customHeight="1" x14ac:dyDescent="0.25">
      <c r="E666" s="139"/>
      <c r="J666" s="139"/>
    </row>
    <row r="667" spans="5:10" ht="15.75" customHeight="1" x14ac:dyDescent="0.25">
      <c r="E667" s="139"/>
      <c r="J667" s="139"/>
    </row>
    <row r="668" spans="5:10" ht="15.75" customHeight="1" x14ac:dyDescent="0.25">
      <c r="E668" s="139"/>
      <c r="J668" s="139"/>
    </row>
    <row r="669" spans="5:10" ht="15.75" customHeight="1" x14ac:dyDescent="0.25">
      <c r="E669" s="139"/>
      <c r="J669" s="139"/>
    </row>
    <row r="670" spans="5:10" ht="15.75" customHeight="1" x14ac:dyDescent="0.25">
      <c r="E670" s="139"/>
      <c r="J670" s="139"/>
    </row>
    <row r="671" spans="5:10" ht="15.75" customHeight="1" x14ac:dyDescent="0.25">
      <c r="E671" s="139"/>
      <c r="J671" s="139"/>
    </row>
    <row r="672" spans="5:10" ht="15.75" customHeight="1" x14ac:dyDescent="0.25">
      <c r="E672" s="139"/>
      <c r="J672" s="139"/>
    </row>
    <row r="673" spans="5:10" ht="15.75" customHeight="1" x14ac:dyDescent="0.25">
      <c r="E673" s="139"/>
      <c r="J673" s="139"/>
    </row>
    <row r="674" spans="5:10" ht="15.75" customHeight="1" x14ac:dyDescent="0.25">
      <c r="E674" s="139"/>
      <c r="J674" s="139"/>
    </row>
    <row r="675" spans="5:10" ht="15.75" customHeight="1" x14ac:dyDescent="0.25">
      <c r="E675" s="139"/>
      <c r="J675" s="139"/>
    </row>
    <row r="676" spans="5:10" ht="15.75" customHeight="1" x14ac:dyDescent="0.25">
      <c r="E676" s="139"/>
      <c r="J676" s="139"/>
    </row>
    <row r="677" spans="5:10" ht="15.75" customHeight="1" x14ac:dyDescent="0.25">
      <c r="E677" s="139"/>
      <c r="J677" s="139"/>
    </row>
    <row r="678" spans="5:10" ht="15.75" customHeight="1" x14ac:dyDescent="0.25">
      <c r="E678" s="139"/>
      <c r="J678" s="139"/>
    </row>
    <row r="679" spans="5:10" ht="15.75" customHeight="1" x14ac:dyDescent="0.25">
      <c r="E679" s="139"/>
      <c r="J679" s="139"/>
    </row>
    <row r="680" spans="5:10" ht="15.75" customHeight="1" x14ac:dyDescent="0.25">
      <c r="E680" s="139"/>
      <c r="J680" s="139"/>
    </row>
    <row r="681" spans="5:10" ht="15.75" customHeight="1" x14ac:dyDescent="0.25">
      <c r="E681" s="139"/>
      <c r="J681" s="139"/>
    </row>
    <row r="682" spans="5:10" ht="15.75" customHeight="1" x14ac:dyDescent="0.25">
      <c r="E682" s="139"/>
      <c r="J682" s="139"/>
    </row>
    <row r="683" spans="5:10" ht="15.75" customHeight="1" x14ac:dyDescent="0.25">
      <c r="E683" s="139"/>
      <c r="J683" s="139"/>
    </row>
    <row r="684" spans="5:10" ht="15.75" customHeight="1" x14ac:dyDescent="0.25">
      <c r="E684" s="139"/>
      <c r="J684" s="139"/>
    </row>
    <row r="685" spans="5:10" ht="15.75" customHeight="1" x14ac:dyDescent="0.25">
      <c r="E685" s="139"/>
      <c r="J685" s="139"/>
    </row>
    <row r="686" spans="5:10" ht="15.75" customHeight="1" x14ac:dyDescent="0.25">
      <c r="E686" s="139"/>
      <c r="J686" s="139"/>
    </row>
    <row r="687" spans="5:10" ht="15.75" customHeight="1" x14ac:dyDescent="0.25">
      <c r="E687" s="139"/>
      <c r="J687" s="139"/>
    </row>
    <row r="688" spans="5:10" ht="15.75" customHeight="1" x14ac:dyDescent="0.25">
      <c r="E688" s="139"/>
      <c r="J688" s="139"/>
    </row>
    <row r="689" spans="5:10" ht="15.75" customHeight="1" x14ac:dyDescent="0.25">
      <c r="E689" s="139"/>
      <c r="J689" s="139"/>
    </row>
    <row r="690" spans="5:10" ht="15.75" customHeight="1" x14ac:dyDescent="0.25">
      <c r="E690" s="139"/>
      <c r="J690" s="139"/>
    </row>
    <row r="691" spans="5:10" ht="15.75" customHeight="1" x14ac:dyDescent="0.25">
      <c r="E691" s="139"/>
      <c r="J691" s="139"/>
    </row>
    <row r="692" spans="5:10" ht="15.75" customHeight="1" x14ac:dyDescent="0.25">
      <c r="E692" s="139"/>
      <c r="J692" s="139"/>
    </row>
    <row r="693" spans="5:10" ht="15.75" customHeight="1" x14ac:dyDescent="0.25">
      <c r="E693" s="139"/>
      <c r="J693" s="139"/>
    </row>
    <row r="694" spans="5:10" ht="15.75" customHeight="1" x14ac:dyDescent="0.25">
      <c r="E694" s="139"/>
      <c r="J694" s="139"/>
    </row>
    <row r="695" spans="5:10" ht="15.75" customHeight="1" x14ac:dyDescent="0.25">
      <c r="E695" s="139"/>
      <c r="J695" s="139"/>
    </row>
    <row r="696" spans="5:10" ht="15.75" customHeight="1" x14ac:dyDescent="0.25">
      <c r="E696" s="139"/>
      <c r="J696" s="139"/>
    </row>
    <row r="697" spans="5:10" ht="15.75" customHeight="1" x14ac:dyDescent="0.25">
      <c r="E697" s="139"/>
      <c r="J697" s="139"/>
    </row>
    <row r="698" spans="5:10" ht="15.75" customHeight="1" x14ac:dyDescent="0.25">
      <c r="E698" s="139"/>
      <c r="J698" s="139"/>
    </row>
    <row r="699" spans="5:10" ht="15.75" customHeight="1" x14ac:dyDescent="0.25">
      <c r="E699" s="139"/>
      <c r="J699" s="139"/>
    </row>
    <row r="700" spans="5:10" ht="15.75" customHeight="1" x14ac:dyDescent="0.25">
      <c r="E700" s="139"/>
      <c r="J700" s="139"/>
    </row>
    <row r="701" spans="5:10" ht="15.75" customHeight="1" x14ac:dyDescent="0.25">
      <c r="E701" s="139"/>
      <c r="J701" s="139"/>
    </row>
    <row r="702" spans="5:10" ht="15.75" customHeight="1" x14ac:dyDescent="0.25">
      <c r="E702" s="139"/>
      <c r="J702" s="139"/>
    </row>
    <row r="703" spans="5:10" ht="15.75" customHeight="1" x14ac:dyDescent="0.25">
      <c r="E703" s="139"/>
      <c r="J703" s="139"/>
    </row>
    <row r="704" spans="5:10" ht="15.75" customHeight="1" x14ac:dyDescent="0.25">
      <c r="E704" s="139"/>
      <c r="J704" s="139"/>
    </row>
    <row r="705" spans="5:10" ht="15.75" customHeight="1" x14ac:dyDescent="0.25">
      <c r="E705" s="139"/>
      <c r="J705" s="139"/>
    </row>
    <row r="706" spans="5:10" ht="15.75" customHeight="1" x14ac:dyDescent="0.25">
      <c r="E706" s="139"/>
      <c r="J706" s="139"/>
    </row>
    <row r="707" spans="5:10" ht="15.75" customHeight="1" x14ac:dyDescent="0.25">
      <c r="E707" s="139"/>
      <c r="J707" s="139"/>
    </row>
    <row r="708" spans="5:10" ht="15.75" customHeight="1" x14ac:dyDescent="0.25">
      <c r="E708" s="139"/>
      <c r="J708" s="139"/>
    </row>
    <row r="709" spans="5:10" ht="15.75" customHeight="1" x14ac:dyDescent="0.25">
      <c r="E709" s="139"/>
      <c r="J709" s="139"/>
    </row>
    <row r="710" spans="5:10" ht="15.75" customHeight="1" x14ac:dyDescent="0.25">
      <c r="E710" s="139"/>
      <c r="J710" s="139"/>
    </row>
    <row r="711" spans="5:10" ht="15.75" customHeight="1" x14ac:dyDescent="0.25">
      <c r="E711" s="139"/>
      <c r="J711" s="139"/>
    </row>
    <row r="712" spans="5:10" ht="15.75" customHeight="1" x14ac:dyDescent="0.25">
      <c r="E712" s="139"/>
      <c r="J712" s="139"/>
    </row>
    <row r="713" spans="5:10" ht="15.75" customHeight="1" x14ac:dyDescent="0.25">
      <c r="E713" s="139"/>
      <c r="J713" s="139"/>
    </row>
    <row r="714" spans="5:10" ht="15.75" customHeight="1" x14ac:dyDescent="0.25">
      <c r="E714" s="139"/>
      <c r="J714" s="139"/>
    </row>
    <row r="715" spans="5:10" ht="15.75" customHeight="1" x14ac:dyDescent="0.25">
      <c r="E715" s="139"/>
      <c r="J715" s="139"/>
    </row>
    <row r="716" spans="5:10" ht="15.75" customHeight="1" x14ac:dyDescent="0.25">
      <c r="E716" s="139"/>
      <c r="J716" s="139"/>
    </row>
    <row r="717" spans="5:10" ht="15.75" customHeight="1" x14ac:dyDescent="0.25">
      <c r="E717" s="139"/>
      <c r="J717" s="139"/>
    </row>
    <row r="718" spans="5:10" ht="15.75" customHeight="1" x14ac:dyDescent="0.25">
      <c r="E718" s="139"/>
      <c r="J718" s="139"/>
    </row>
    <row r="719" spans="5:10" ht="15.75" customHeight="1" x14ac:dyDescent="0.25">
      <c r="E719" s="139"/>
      <c r="J719" s="139"/>
    </row>
    <row r="720" spans="5:10" ht="15.75" customHeight="1" x14ac:dyDescent="0.25">
      <c r="E720" s="139"/>
      <c r="J720" s="139"/>
    </row>
    <row r="721" spans="5:10" ht="15.75" customHeight="1" x14ac:dyDescent="0.25">
      <c r="E721" s="139"/>
      <c r="J721" s="139"/>
    </row>
    <row r="722" spans="5:10" ht="15.75" customHeight="1" x14ac:dyDescent="0.25">
      <c r="E722" s="139"/>
      <c r="J722" s="139"/>
    </row>
    <row r="723" spans="5:10" ht="15.75" customHeight="1" x14ac:dyDescent="0.25">
      <c r="E723" s="139"/>
      <c r="J723" s="139"/>
    </row>
    <row r="724" spans="5:10" ht="15.75" customHeight="1" x14ac:dyDescent="0.25">
      <c r="E724" s="139"/>
      <c r="J724" s="139"/>
    </row>
    <row r="725" spans="5:10" ht="15.75" customHeight="1" x14ac:dyDescent="0.25">
      <c r="E725" s="139"/>
      <c r="J725" s="139"/>
    </row>
    <row r="726" spans="5:10" ht="15.75" customHeight="1" x14ac:dyDescent="0.25">
      <c r="E726" s="139"/>
      <c r="J726" s="139"/>
    </row>
    <row r="727" spans="5:10" ht="15.75" customHeight="1" x14ac:dyDescent="0.25">
      <c r="E727" s="139"/>
      <c r="J727" s="139"/>
    </row>
    <row r="728" spans="5:10" ht="15.75" customHeight="1" x14ac:dyDescent="0.25">
      <c r="E728" s="139"/>
      <c r="J728" s="139"/>
    </row>
    <row r="729" spans="5:10" ht="15.75" customHeight="1" x14ac:dyDescent="0.25">
      <c r="E729" s="139"/>
      <c r="J729" s="139"/>
    </row>
    <row r="730" spans="5:10" ht="15.75" customHeight="1" x14ac:dyDescent="0.25">
      <c r="E730" s="139"/>
      <c r="J730" s="139"/>
    </row>
    <row r="731" spans="5:10" ht="15.75" customHeight="1" x14ac:dyDescent="0.25">
      <c r="E731" s="139"/>
      <c r="J731" s="139"/>
    </row>
    <row r="732" spans="5:10" ht="15.75" customHeight="1" x14ac:dyDescent="0.25">
      <c r="E732" s="139"/>
      <c r="J732" s="139"/>
    </row>
    <row r="733" spans="5:10" ht="15.75" customHeight="1" x14ac:dyDescent="0.25">
      <c r="E733" s="139"/>
      <c r="J733" s="139"/>
    </row>
    <row r="734" spans="5:10" ht="15.75" customHeight="1" x14ac:dyDescent="0.25">
      <c r="E734" s="139"/>
      <c r="J734" s="139"/>
    </row>
    <row r="735" spans="5:10" ht="15.75" customHeight="1" x14ac:dyDescent="0.25">
      <c r="E735" s="139"/>
      <c r="J735" s="139"/>
    </row>
    <row r="736" spans="5:10" ht="15.75" customHeight="1" x14ac:dyDescent="0.25">
      <c r="E736" s="139"/>
      <c r="J736" s="139"/>
    </row>
    <row r="737" spans="5:10" ht="15.75" customHeight="1" x14ac:dyDescent="0.25">
      <c r="E737" s="139"/>
      <c r="J737" s="139"/>
    </row>
    <row r="738" spans="5:10" ht="15.75" customHeight="1" x14ac:dyDescent="0.25">
      <c r="E738" s="139"/>
      <c r="J738" s="139"/>
    </row>
    <row r="739" spans="5:10" ht="15.75" customHeight="1" x14ac:dyDescent="0.25">
      <c r="E739" s="139"/>
      <c r="J739" s="139"/>
    </row>
    <row r="740" spans="5:10" ht="15.75" customHeight="1" x14ac:dyDescent="0.25">
      <c r="E740" s="139"/>
      <c r="J740" s="139"/>
    </row>
    <row r="741" spans="5:10" ht="15.75" customHeight="1" x14ac:dyDescent="0.25">
      <c r="E741" s="139"/>
      <c r="J741" s="139"/>
    </row>
    <row r="742" spans="5:10" ht="15.75" customHeight="1" x14ac:dyDescent="0.25">
      <c r="E742" s="139"/>
      <c r="J742" s="139"/>
    </row>
    <row r="743" spans="5:10" ht="15.75" customHeight="1" x14ac:dyDescent="0.25">
      <c r="E743" s="139"/>
      <c r="J743" s="139"/>
    </row>
    <row r="744" spans="5:10" ht="15.75" customHeight="1" x14ac:dyDescent="0.25">
      <c r="E744" s="139"/>
      <c r="J744" s="139"/>
    </row>
    <row r="745" spans="5:10" ht="15.75" customHeight="1" x14ac:dyDescent="0.25">
      <c r="E745" s="139"/>
      <c r="J745" s="139"/>
    </row>
    <row r="746" spans="5:10" ht="15.75" customHeight="1" x14ac:dyDescent="0.25">
      <c r="E746" s="139"/>
      <c r="J746" s="139"/>
    </row>
    <row r="747" spans="5:10" ht="15.75" customHeight="1" x14ac:dyDescent="0.25">
      <c r="E747" s="139"/>
      <c r="J747" s="139"/>
    </row>
    <row r="748" spans="5:10" ht="15.75" customHeight="1" x14ac:dyDescent="0.25">
      <c r="E748" s="139"/>
      <c r="J748" s="139"/>
    </row>
    <row r="749" spans="5:10" ht="15.75" customHeight="1" x14ac:dyDescent="0.25">
      <c r="E749" s="139"/>
      <c r="J749" s="139"/>
    </row>
    <row r="750" spans="5:10" ht="15.75" customHeight="1" x14ac:dyDescent="0.25">
      <c r="E750" s="139"/>
      <c r="J750" s="139"/>
    </row>
    <row r="751" spans="5:10" ht="15.75" customHeight="1" x14ac:dyDescent="0.25">
      <c r="E751" s="139"/>
      <c r="J751" s="139"/>
    </row>
    <row r="752" spans="5:10" ht="15.75" customHeight="1" x14ac:dyDescent="0.25">
      <c r="E752" s="139"/>
      <c r="J752" s="139"/>
    </row>
    <row r="753" spans="5:10" ht="15.75" customHeight="1" x14ac:dyDescent="0.25">
      <c r="E753" s="139"/>
      <c r="J753" s="139"/>
    </row>
    <row r="754" spans="5:10" ht="15.75" customHeight="1" x14ac:dyDescent="0.25">
      <c r="E754" s="139"/>
      <c r="J754" s="139"/>
    </row>
    <row r="755" spans="5:10" ht="15.75" customHeight="1" x14ac:dyDescent="0.25">
      <c r="E755" s="139"/>
      <c r="J755" s="139"/>
    </row>
    <row r="756" spans="5:10" ht="15.75" customHeight="1" x14ac:dyDescent="0.25">
      <c r="E756" s="139"/>
      <c r="J756" s="139"/>
    </row>
    <row r="757" spans="5:10" ht="15.75" customHeight="1" x14ac:dyDescent="0.25">
      <c r="E757" s="139"/>
      <c r="J757" s="139"/>
    </row>
    <row r="758" spans="5:10" ht="15.75" customHeight="1" x14ac:dyDescent="0.25">
      <c r="E758" s="139"/>
      <c r="J758" s="139"/>
    </row>
    <row r="759" spans="5:10" ht="15.75" customHeight="1" x14ac:dyDescent="0.25">
      <c r="E759" s="139"/>
      <c r="J759" s="139"/>
    </row>
    <row r="760" spans="5:10" ht="15.75" customHeight="1" x14ac:dyDescent="0.25">
      <c r="E760" s="139"/>
      <c r="J760" s="139"/>
    </row>
    <row r="761" spans="5:10" ht="15.75" customHeight="1" x14ac:dyDescent="0.25">
      <c r="E761" s="139"/>
      <c r="J761" s="139"/>
    </row>
    <row r="762" spans="5:10" ht="15.75" customHeight="1" x14ac:dyDescent="0.25">
      <c r="E762" s="139"/>
      <c r="J762" s="139"/>
    </row>
    <row r="763" spans="5:10" ht="15.75" customHeight="1" x14ac:dyDescent="0.25">
      <c r="E763" s="139"/>
      <c r="J763" s="139"/>
    </row>
    <row r="764" spans="5:10" ht="15.75" customHeight="1" x14ac:dyDescent="0.25">
      <c r="E764" s="139"/>
      <c r="J764" s="139"/>
    </row>
    <row r="765" spans="5:10" ht="15.75" customHeight="1" x14ac:dyDescent="0.25">
      <c r="E765" s="139"/>
      <c r="J765" s="139"/>
    </row>
    <row r="766" spans="5:10" ht="15.75" customHeight="1" x14ac:dyDescent="0.25">
      <c r="E766" s="139"/>
      <c r="J766" s="139"/>
    </row>
    <row r="767" spans="5:10" ht="15.75" customHeight="1" x14ac:dyDescent="0.25">
      <c r="E767" s="139"/>
      <c r="J767" s="139"/>
    </row>
    <row r="768" spans="5:10" ht="15.75" customHeight="1" x14ac:dyDescent="0.25">
      <c r="E768" s="139"/>
      <c r="J768" s="139"/>
    </row>
    <row r="769" spans="5:10" ht="15.75" customHeight="1" x14ac:dyDescent="0.25">
      <c r="E769" s="139"/>
      <c r="J769" s="139"/>
    </row>
    <row r="770" spans="5:10" ht="15.75" customHeight="1" x14ac:dyDescent="0.25">
      <c r="E770" s="139"/>
      <c r="J770" s="139"/>
    </row>
    <row r="771" spans="5:10" ht="15.75" customHeight="1" x14ac:dyDescent="0.25">
      <c r="E771" s="139"/>
      <c r="J771" s="139"/>
    </row>
    <row r="772" spans="5:10" ht="15.75" customHeight="1" x14ac:dyDescent="0.25">
      <c r="E772" s="139"/>
      <c r="J772" s="139"/>
    </row>
    <row r="773" spans="5:10" ht="15.75" customHeight="1" x14ac:dyDescent="0.25">
      <c r="E773" s="139"/>
      <c r="J773" s="139"/>
    </row>
    <row r="774" spans="5:10" ht="15.75" customHeight="1" x14ac:dyDescent="0.25">
      <c r="E774" s="139"/>
      <c r="J774" s="139"/>
    </row>
    <row r="775" spans="5:10" ht="15.75" customHeight="1" x14ac:dyDescent="0.25">
      <c r="E775" s="139"/>
      <c r="J775" s="139"/>
    </row>
    <row r="776" spans="5:10" ht="15.75" customHeight="1" x14ac:dyDescent="0.25">
      <c r="E776" s="139"/>
      <c r="J776" s="139"/>
    </row>
    <row r="777" spans="5:10" ht="15.75" customHeight="1" x14ac:dyDescent="0.25">
      <c r="E777" s="139"/>
      <c r="J777" s="139"/>
    </row>
    <row r="778" spans="5:10" ht="15.75" customHeight="1" x14ac:dyDescent="0.25">
      <c r="E778" s="139"/>
      <c r="J778" s="139"/>
    </row>
    <row r="779" spans="5:10" ht="15.75" customHeight="1" x14ac:dyDescent="0.25">
      <c r="E779" s="139"/>
      <c r="J779" s="139"/>
    </row>
    <row r="780" spans="5:10" ht="15.75" customHeight="1" x14ac:dyDescent="0.25">
      <c r="E780" s="139"/>
      <c r="J780" s="139"/>
    </row>
    <row r="781" spans="5:10" ht="15.75" customHeight="1" x14ac:dyDescent="0.25">
      <c r="E781" s="139"/>
      <c r="J781" s="139"/>
    </row>
    <row r="782" spans="5:10" ht="15.75" customHeight="1" x14ac:dyDescent="0.25">
      <c r="E782" s="139"/>
      <c r="J782" s="139"/>
    </row>
    <row r="783" spans="5:10" ht="15.75" customHeight="1" x14ac:dyDescent="0.25">
      <c r="E783" s="139"/>
      <c r="J783" s="139"/>
    </row>
    <row r="784" spans="5:10" ht="15.75" customHeight="1" x14ac:dyDescent="0.25">
      <c r="E784" s="139"/>
      <c r="J784" s="139"/>
    </row>
    <row r="785" spans="5:10" ht="15.75" customHeight="1" x14ac:dyDescent="0.25">
      <c r="E785" s="139"/>
      <c r="J785" s="139"/>
    </row>
    <row r="786" spans="5:10" ht="15.75" customHeight="1" x14ac:dyDescent="0.25">
      <c r="E786" s="139"/>
      <c r="J786" s="139"/>
    </row>
    <row r="787" spans="5:10" ht="15.75" customHeight="1" x14ac:dyDescent="0.25">
      <c r="E787" s="139"/>
      <c r="J787" s="139"/>
    </row>
    <row r="788" spans="5:10" ht="15.75" customHeight="1" x14ac:dyDescent="0.25">
      <c r="E788" s="139"/>
      <c r="J788" s="139"/>
    </row>
    <row r="789" spans="5:10" ht="15.75" customHeight="1" x14ac:dyDescent="0.25">
      <c r="E789" s="139"/>
      <c r="J789" s="139"/>
    </row>
    <row r="790" spans="5:10" ht="15.75" customHeight="1" x14ac:dyDescent="0.25">
      <c r="E790" s="139"/>
      <c r="J790" s="139"/>
    </row>
    <row r="791" spans="5:10" ht="15.75" customHeight="1" x14ac:dyDescent="0.25">
      <c r="E791" s="139"/>
      <c r="J791" s="139"/>
    </row>
    <row r="792" spans="5:10" ht="15.75" customHeight="1" x14ac:dyDescent="0.25">
      <c r="E792" s="139"/>
      <c r="J792" s="139"/>
    </row>
    <row r="793" spans="5:10" ht="15.75" customHeight="1" x14ac:dyDescent="0.25">
      <c r="E793" s="139"/>
      <c r="J793" s="139"/>
    </row>
    <row r="794" spans="5:10" ht="15.75" customHeight="1" x14ac:dyDescent="0.25">
      <c r="E794" s="139"/>
      <c r="J794" s="139"/>
    </row>
    <row r="795" spans="5:10" ht="15.75" customHeight="1" x14ac:dyDescent="0.25">
      <c r="E795" s="139"/>
      <c r="J795" s="139"/>
    </row>
    <row r="796" spans="5:10" ht="15.75" customHeight="1" x14ac:dyDescent="0.25">
      <c r="E796" s="139"/>
      <c r="J796" s="139"/>
    </row>
    <row r="797" spans="5:10" ht="15.75" customHeight="1" x14ac:dyDescent="0.25">
      <c r="E797" s="139"/>
      <c r="J797" s="139"/>
    </row>
    <row r="798" spans="5:10" ht="15.75" customHeight="1" x14ac:dyDescent="0.25">
      <c r="E798" s="139"/>
      <c r="J798" s="139"/>
    </row>
    <row r="799" spans="5:10" ht="15.75" customHeight="1" x14ac:dyDescent="0.25">
      <c r="E799" s="139"/>
      <c r="J799" s="139"/>
    </row>
    <row r="800" spans="5:10" ht="15.75" customHeight="1" x14ac:dyDescent="0.25">
      <c r="E800" s="139"/>
      <c r="J800" s="139"/>
    </row>
    <row r="801" spans="5:10" ht="15.75" customHeight="1" x14ac:dyDescent="0.25">
      <c r="E801" s="139"/>
      <c r="J801" s="139"/>
    </row>
    <row r="802" spans="5:10" ht="15.75" customHeight="1" x14ac:dyDescent="0.25">
      <c r="E802" s="139"/>
      <c r="J802" s="139"/>
    </row>
    <row r="803" spans="5:10" ht="15.75" customHeight="1" x14ac:dyDescent="0.25">
      <c r="E803" s="139"/>
      <c r="J803" s="139"/>
    </row>
    <row r="804" spans="5:10" ht="15.75" customHeight="1" x14ac:dyDescent="0.25">
      <c r="E804" s="139"/>
      <c r="J804" s="139"/>
    </row>
    <row r="805" spans="5:10" ht="15.75" customHeight="1" x14ac:dyDescent="0.25">
      <c r="E805" s="139"/>
      <c r="J805" s="139"/>
    </row>
    <row r="806" spans="5:10" ht="15.75" customHeight="1" x14ac:dyDescent="0.25">
      <c r="E806" s="139"/>
      <c r="J806" s="139"/>
    </row>
    <row r="807" spans="5:10" ht="15.75" customHeight="1" x14ac:dyDescent="0.25">
      <c r="E807" s="139"/>
      <c r="J807" s="139"/>
    </row>
    <row r="808" spans="5:10" ht="15.75" customHeight="1" x14ac:dyDescent="0.25">
      <c r="E808" s="139"/>
      <c r="J808" s="139"/>
    </row>
    <row r="809" spans="5:10" ht="15.75" customHeight="1" x14ac:dyDescent="0.25">
      <c r="E809" s="139"/>
      <c r="J809" s="139"/>
    </row>
    <row r="810" spans="5:10" ht="15.75" customHeight="1" x14ac:dyDescent="0.25">
      <c r="E810" s="139"/>
      <c r="J810" s="139"/>
    </row>
    <row r="811" spans="5:10" ht="15.75" customHeight="1" x14ac:dyDescent="0.25">
      <c r="E811" s="139"/>
      <c r="J811" s="139"/>
    </row>
    <row r="812" spans="5:10" ht="15.75" customHeight="1" x14ac:dyDescent="0.25">
      <c r="E812" s="139"/>
      <c r="J812" s="139"/>
    </row>
    <row r="813" spans="5:10" ht="15.75" customHeight="1" x14ac:dyDescent="0.25">
      <c r="E813" s="139"/>
      <c r="J813" s="139"/>
    </row>
    <row r="814" spans="5:10" ht="15.75" customHeight="1" x14ac:dyDescent="0.25">
      <c r="E814" s="139"/>
      <c r="J814" s="139"/>
    </row>
    <row r="815" spans="5:10" ht="15.75" customHeight="1" x14ac:dyDescent="0.25">
      <c r="E815" s="139"/>
      <c r="J815" s="139"/>
    </row>
    <row r="816" spans="5:10" ht="15.75" customHeight="1" x14ac:dyDescent="0.25">
      <c r="E816" s="139"/>
      <c r="J816" s="139"/>
    </row>
    <row r="817" spans="5:10" ht="15.75" customHeight="1" x14ac:dyDescent="0.25">
      <c r="E817" s="139"/>
      <c r="J817" s="139"/>
    </row>
    <row r="818" spans="5:10" ht="15.75" customHeight="1" x14ac:dyDescent="0.25">
      <c r="E818" s="139"/>
      <c r="J818" s="139"/>
    </row>
    <row r="819" spans="5:10" ht="15.75" customHeight="1" x14ac:dyDescent="0.25">
      <c r="E819" s="139"/>
      <c r="J819" s="139"/>
    </row>
    <row r="820" spans="5:10" ht="15.75" customHeight="1" x14ac:dyDescent="0.25">
      <c r="E820" s="139"/>
      <c r="J820" s="139"/>
    </row>
    <row r="821" spans="5:10" ht="15.75" customHeight="1" x14ac:dyDescent="0.25">
      <c r="E821" s="139"/>
      <c r="J821" s="139"/>
    </row>
    <row r="822" spans="5:10" ht="15.75" customHeight="1" x14ac:dyDescent="0.25">
      <c r="E822" s="139"/>
      <c r="J822" s="139"/>
    </row>
    <row r="823" spans="5:10" ht="15.75" customHeight="1" x14ac:dyDescent="0.25">
      <c r="E823" s="139"/>
      <c r="J823" s="139"/>
    </row>
    <row r="824" spans="5:10" ht="15.75" customHeight="1" x14ac:dyDescent="0.25">
      <c r="E824" s="139"/>
      <c r="J824" s="139"/>
    </row>
    <row r="825" spans="5:10" ht="15.75" customHeight="1" x14ac:dyDescent="0.25">
      <c r="E825" s="139"/>
      <c r="J825" s="139"/>
    </row>
    <row r="826" spans="5:10" ht="15.75" customHeight="1" x14ac:dyDescent="0.25">
      <c r="E826" s="139"/>
      <c r="J826" s="139"/>
    </row>
    <row r="827" spans="5:10" ht="15.75" customHeight="1" x14ac:dyDescent="0.25">
      <c r="E827" s="139"/>
      <c r="J827" s="139"/>
    </row>
    <row r="828" spans="5:10" ht="15.75" customHeight="1" x14ac:dyDescent="0.25">
      <c r="E828" s="139"/>
      <c r="J828" s="139"/>
    </row>
    <row r="829" spans="5:10" ht="15.75" customHeight="1" x14ac:dyDescent="0.25">
      <c r="E829" s="139"/>
      <c r="J829" s="139"/>
    </row>
    <row r="830" spans="5:10" ht="15.75" customHeight="1" x14ac:dyDescent="0.25">
      <c r="E830" s="139"/>
      <c r="J830" s="139"/>
    </row>
    <row r="831" spans="5:10" ht="15.75" customHeight="1" x14ac:dyDescent="0.25">
      <c r="E831" s="139"/>
      <c r="J831" s="139"/>
    </row>
    <row r="832" spans="5:10" ht="15.75" customHeight="1" x14ac:dyDescent="0.25">
      <c r="E832" s="139"/>
      <c r="J832" s="139"/>
    </row>
    <row r="833" spans="5:10" ht="15.75" customHeight="1" x14ac:dyDescent="0.25">
      <c r="E833" s="139"/>
      <c r="J833" s="139"/>
    </row>
    <row r="834" spans="5:10" ht="15.75" customHeight="1" x14ac:dyDescent="0.25">
      <c r="E834" s="139"/>
      <c r="J834" s="139"/>
    </row>
    <row r="835" spans="5:10" ht="15.75" customHeight="1" x14ac:dyDescent="0.25">
      <c r="E835" s="139"/>
      <c r="J835" s="139"/>
    </row>
    <row r="836" spans="5:10" ht="15.75" customHeight="1" x14ac:dyDescent="0.25">
      <c r="E836" s="139"/>
      <c r="J836" s="139"/>
    </row>
    <row r="837" spans="5:10" ht="15.75" customHeight="1" x14ac:dyDescent="0.25">
      <c r="E837" s="139"/>
      <c r="J837" s="139"/>
    </row>
    <row r="838" spans="5:10" ht="15.75" customHeight="1" x14ac:dyDescent="0.25">
      <c r="E838" s="139"/>
      <c r="J838" s="139"/>
    </row>
    <row r="839" spans="5:10" ht="15.75" customHeight="1" x14ac:dyDescent="0.25">
      <c r="E839" s="139"/>
      <c r="J839" s="139"/>
    </row>
    <row r="840" spans="5:10" ht="15.75" customHeight="1" x14ac:dyDescent="0.25">
      <c r="E840" s="139"/>
      <c r="J840" s="139"/>
    </row>
    <row r="841" spans="5:10" ht="15.75" customHeight="1" x14ac:dyDescent="0.25">
      <c r="E841" s="139"/>
      <c r="J841" s="139"/>
    </row>
    <row r="842" spans="5:10" ht="15.75" customHeight="1" x14ac:dyDescent="0.25">
      <c r="E842" s="139"/>
      <c r="J842" s="139"/>
    </row>
    <row r="843" spans="5:10" ht="15.75" customHeight="1" x14ac:dyDescent="0.25">
      <c r="E843" s="139"/>
      <c r="J843" s="139"/>
    </row>
    <row r="844" spans="5:10" ht="15.75" customHeight="1" x14ac:dyDescent="0.25">
      <c r="E844" s="139"/>
      <c r="J844" s="139"/>
    </row>
    <row r="845" spans="5:10" ht="15.75" customHeight="1" x14ac:dyDescent="0.25">
      <c r="E845" s="139"/>
      <c r="J845" s="139"/>
    </row>
    <row r="846" spans="5:10" ht="15.75" customHeight="1" x14ac:dyDescent="0.25">
      <c r="E846" s="139"/>
      <c r="J846" s="139"/>
    </row>
    <row r="847" spans="5:10" ht="15.75" customHeight="1" x14ac:dyDescent="0.25">
      <c r="E847" s="139"/>
      <c r="J847" s="139"/>
    </row>
    <row r="848" spans="5:10" ht="15.75" customHeight="1" x14ac:dyDescent="0.25">
      <c r="E848" s="139"/>
      <c r="J848" s="139"/>
    </row>
    <row r="849" spans="5:10" ht="15.75" customHeight="1" x14ac:dyDescent="0.25">
      <c r="E849" s="139"/>
      <c r="J849" s="139"/>
    </row>
    <row r="850" spans="5:10" ht="15.75" customHeight="1" x14ac:dyDescent="0.25">
      <c r="E850" s="139"/>
      <c r="J850" s="139"/>
    </row>
    <row r="851" spans="5:10" ht="15.75" customHeight="1" x14ac:dyDescent="0.25">
      <c r="E851" s="139"/>
      <c r="J851" s="139"/>
    </row>
    <row r="852" spans="5:10" ht="15.75" customHeight="1" x14ac:dyDescent="0.25">
      <c r="E852" s="139"/>
      <c r="J852" s="139"/>
    </row>
    <row r="853" spans="5:10" ht="15.75" customHeight="1" x14ac:dyDescent="0.25">
      <c r="E853" s="139"/>
      <c r="J853" s="139"/>
    </row>
    <row r="854" spans="5:10" ht="15.75" customHeight="1" x14ac:dyDescent="0.25">
      <c r="E854" s="139"/>
      <c r="J854" s="139"/>
    </row>
    <row r="855" spans="5:10" ht="15.75" customHeight="1" x14ac:dyDescent="0.25">
      <c r="E855" s="139"/>
      <c r="J855" s="139"/>
    </row>
    <row r="856" spans="5:10" ht="15.75" customHeight="1" x14ac:dyDescent="0.25">
      <c r="E856" s="139"/>
      <c r="J856" s="139"/>
    </row>
    <row r="857" spans="5:10" ht="15.75" customHeight="1" x14ac:dyDescent="0.25">
      <c r="E857" s="139"/>
      <c r="J857" s="139"/>
    </row>
    <row r="858" spans="5:10" ht="15.75" customHeight="1" x14ac:dyDescent="0.25">
      <c r="E858" s="139"/>
      <c r="J858" s="139"/>
    </row>
    <row r="859" spans="5:10" ht="15.75" customHeight="1" x14ac:dyDescent="0.25">
      <c r="E859" s="139"/>
      <c r="J859" s="139"/>
    </row>
    <row r="860" spans="5:10" ht="15.75" customHeight="1" x14ac:dyDescent="0.25">
      <c r="E860" s="139"/>
      <c r="J860" s="139"/>
    </row>
    <row r="861" spans="5:10" ht="15.75" customHeight="1" x14ac:dyDescent="0.25">
      <c r="E861" s="139"/>
      <c r="J861" s="139"/>
    </row>
    <row r="862" spans="5:10" ht="15.75" customHeight="1" x14ac:dyDescent="0.25">
      <c r="E862" s="139"/>
      <c r="J862" s="139"/>
    </row>
    <row r="863" spans="5:10" ht="15.75" customHeight="1" x14ac:dyDescent="0.25">
      <c r="E863" s="139"/>
      <c r="J863" s="139"/>
    </row>
    <row r="864" spans="5:10" ht="15.75" customHeight="1" x14ac:dyDescent="0.25">
      <c r="E864" s="139"/>
      <c r="J864" s="139"/>
    </row>
    <row r="865" spans="5:10" ht="15.75" customHeight="1" x14ac:dyDescent="0.25">
      <c r="E865" s="139"/>
      <c r="J865" s="139"/>
    </row>
    <row r="866" spans="5:10" ht="15.75" customHeight="1" x14ac:dyDescent="0.25">
      <c r="E866" s="139"/>
      <c r="J866" s="139"/>
    </row>
    <row r="867" spans="5:10" ht="15.75" customHeight="1" x14ac:dyDescent="0.25">
      <c r="E867" s="139"/>
      <c r="J867" s="139"/>
    </row>
    <row r="868" spans="5:10" ht="15.75" customHeight="1" x14ac:dyDescent="0.25">
      <c r="E868" s="139"/>
      <c r="J868" s="139"/>
    </row>
    <row r="869" spans="5:10" ht="15.75" customHeight="1" x14ac:dyDescent="0.25">
      <c r="E869" s="139"/>
      <c r="J869" s="139"/>
    </row>
    <row r="870" spans="5:10" ht="15.75" customHeight="1" x14ac:dyDescent="0.25">
      <c r="E870" s="139"/>
      <c r="J870" s="139"/>
    </row>
    <row r="871" spans="5:10" ht="15.75" customHeight="1" x14ac:dyDescent="0.25">
      <c r="E871" s="139"/>
      <c r="J871" s="139"/>
    </row>
    <row r="872" spans="5:10" ht="15.75" customHeight="1" x14ac:dyDescent="0.25">
      <c r="E872" s="139"/>
      <c r="J872" s="139"/>
    </row>
    <row r="873" spans="5:10" ht="15.75" customHeight="1" x14ac:dyDescent="0.25">
      <c r="E873" s="139"/>
      <c r="J873" s="139"/>
    </row>
    <row r="874" spans="5:10" ht="15.75" customHeight="1" x14ac:dyDescent="0.25">
      <c r="E874" s="139"/>
      <c r="J874" s="139"/>
    </row>
    <row r="875" spans="5:10" ht="15.75" customHeight="1" x14ac:dyDescent="0.25">
      <c r="E875" s="139"/>
      <c r="J875" s="139"/>
    </row>
    <row r="876" spans="5:10" ht="15.75" customHeight="1" x14ac:dyDescent="0.25">
      <c r="E876" s="139"/>
      <c r="J876" s="139"/>
    </row>
    <row r="877" spans="5:10" ht="15.75" customHeight="1" x14ac:dyDescent="0.25">
      <c r="E877" s="139"/>
      <c r="J877" s="139"/>
    </row>
    <row r="878" spans="5:10" ht="15.75" customHeight="1" x14ac:dyDescent="0.25">
      <c r="E878" s="139"/>
      <c r="J878" s="139"/>
    </row>
    <row r="879" spans="5:10" ht="15.75" customHeight="1" x14ac:dyDescent="0.25">
      <c r="E879" s="139"/>
      <c r="J879" s="139"/>
    </row>
    <row r="880" spans="5:10" ht="15.75" customHeight="1" x14ac:dyDescent="0.25">
      <c r="E880" s="139"/>
      <c r="J880" s="139"/>
    </row>
    <row r="881" spans="5:10" ht="15.75" customHeight="1" x14ac:dyDescent="0.25">
      <c r="E881" s="139"/>
      <c r="J881" s="139"/>
    </row>
    <row r="882" spans="5:10" ht="15.75" customHeight="1" x14ac:dyDescent="0.25">
      <c r="E882" s="139"/>
      <c r="J882" s="139"/>
    </row>
    <row r="883" spans="5:10" ht="15.75" customHeight="1" x14ac:dyDescent="0.25">
      <c r="E883" s="139"/>
      <c r="J883" s="139"/>
    </row>
    <row r="884" spans="5:10" ht="15.75" customHeight="1" x14ac:dyDescent="0.25">
      <c r="E884" s="139"/>
      <c r="J884" s="139"/>
    </row>
    <row r="885" spans="5:10" ht="15.75" customHeight="1" x14ac:dyDescent="0.25">
      <c r="E885" s="139"/>
      <c r="J885" s="139"/>
    </row>
    <row r="886" spans="5:10" ht="15.75" customHeight="1" x14ac:dyDescent="0.25">
      <c r="E886" s="139"/>
      <c r="J886" s="139"/>
    </row>
    <row r="887" spans="5:10" ht="15.75" customHeight="1" x14ac:dyDescent="0.25">
      <c r="E887" s="139"/>
      <c r="J887" s="139"/>
    </row>
    <row r="888" spans="5:10" ht="15.75" customHeight="1" x14ac:dyDescent="0.25">
      <c r="E888" s="139"/>
      <c r="J888" s="139"/>
    </row>
    <row r="889" spans="5:10" ht="15.75" customHeight="1" x14ac:dyDescent="0.25">
      <c r="E889" s="139"/>
      <c r="J889" s="139"/>
    </row>
    <row r="890" spans="5:10" ht="15.75" customHeight="1" x14ac:dyDescent="0.25">
      <c r="E890" s="139"/>
      <c r="J890" s="139"/>
    </row>
    <row r="891" spans="5:10" ht="15.75" customHeight="1" x14ac:dyDescent="0.25">
      <c r="E891" s="139"/>
      <c r="J891" s="139"/>
    </row>
    <row r="892" spans="5:10" ht="15.75" customHeight="1" x14ac:dyDescent="0.25">
      <c r="E892" s="139"/>
      <c r="J892" s="139"/>
    </row>
    <row r="893" spans="5:10" ht="15.75" customHeight="1" x14ac:dyDescent="0.25">
      <c r="E893" s="139"/>
      <c r="J893" s="139"/>
    </row>
    <row r="894" spans="5:10" ht="15.75" customHeight="1" x14ac:dyDescent="0.25">
      <c r="E894" s="139"/>
      <c r="J894" s="139"/>
    </row>
    <row r="895" spans="5:10" ht="15.75" customHeight="1" x14ac:dyDescent="0.25">
      <c r="E895" s="139"/>
      <c r="J895" s="139"/>
    </row>
    <row r="896" spans="5:10" ht="15.75" customHeight="1" x14ac:dyDescent="0.25">
      <c r="E896" s="139"/>
      <c r="J896" s="139"/>
    </row>
    <row r="897" spans="5:10" ht="15.75" customHeight="1" x14ac:dyDescent="0.25">
      <c r="E897" s="139"/>
      <c r="J897" s="139"/>
    </row>
    <row r="898" spans="5:10" ht="15.75" customHeight="1" x14ac:dyDescent="0.25">
      <c r="E898" s="139"/>
      <c r="J898" s="139"/>
    </row>
    <row r="899" spans="5:10" ht="15.75" customHeight="1" x14ac:dyDescent="0.25">
      <c r="E899" s="139"/>
      <c r="J899" s="139"/>
    </row>
    <row r="900" spans="5:10" ht="15.75" customHeight="1" x14ac:dyDescent="0.25">
      <c r="E900" s="139"/>
      <c r="J900" s="139"/>
    </row>
    <row r="901" spans="5:10" ht="15.75" customHeight="1" x14ac:dyDescent="0.25">
      <c r="E901" s="139"/>
      <c r="J901" s="139"/>
    </row>
    <row r="902" spans="5:10" ht="15.75" customHeight="1" x14ac:dyDescent="0.25">
      <c r="E902" s="139"/>
      <c r="J902" s="139"/>
    </row>
    <row r="903" spans="5:10" ht="15.75" customHeight="1" x14ac:dyDescent="0.25">
      <c r="E903" s="139"/>
      <c r="J903" s="139"/>
    </row>
    <row r="904" spans="5:10" ht="15.75" customHeight="1" x14ac:dyDescent="0.25">
      <c r="E904" s="139"/>
      <c r="J904" s="139"/>
    </row>
    <row r="905" spans="5:10" ht="15.75" customHeight="1" x14ac:dyDescent="0.25">
      <c r="E905" s="139"/>
      <c r="J905" s="139"/>
    </row>
    <row r="906" spans="5:10" ht="15.75" customHeight="1" x14ac:dyDescent="0.25">
      <c r="E906" s="139"/>
      <c r="J906" s="139"/>
    </row>
    <row r="907" spans="5:10" ht="15.75" customHeight="1" x14ac:dyDescent="0.25">
      <c r="E907" s="139"/>
      <c r="J907" s="139"/>
    </row>
    <row r="908" spans="5:10" ht="15.75" customHeight="1" x14ac:dyDescent="0.25">
      <c r="E908" s="139"/>
      <c r="J908" s="139"/>
    </row>
    <row r="909" spans="5:10" ht="15.75" customHeight="1" x14ac:dyDescent="0.25">
      <c r="E909" s="139"/>
      <c r="J909" s="139"/>
    </row>
    <row r="910" spans="5:10" ht="15.75" customHeight="1" x14ac:dyDescent="0.25">
      <c r="E910" s="139"/>
      <c r="J910" s="139"/>
    </row>
    <row r="911" spans="5:10" ht="15.75" customHeight="1" x14ac:dyDescent="0.25">
      <c r="E911" s="139"/>
      <c r="J911" s="139"/>
    </row>
    <row r="912" spans="5:10" ht="15.75" customHeight="1" x14ac:dyDescent="0.25">
      <c r="E912" s="139"/>
      <c r="J912" s="139"/>
    </row>
    <row r="913" spans="5:10" ht="15.75" customHeight="1" x14ac:dyDescent="0.25">
      <c r="E913" s="139"/>
      <c r="J913" s="139"/>
    </row>
    <row r="914" spans="5:10" ht="15.75" customHeight="1" x14ac:dyDescent="0.25">
      <c r="E914" s="139"/>
      <c r="J914" s="139"/>
    </row>
    <row r="915" spans="5:10" ht="15.75" customHeight="1" x14ac:dyDescent="0.25">
      <c r="E915" s="139"/>
      <c r="J915" s="139"/>
    </row>
    <row r="916" spans="5:10" ht="15.75" customHeight="1" x14ac:dyDescent="0.25">
      <c r="E916" s="139"/>
      <c r="J916" s="139"/>
    </row>
    <row r="917" spans="5:10" ht="15.75" customHeight="1" x14ac:dyDescent="0.25">
      <c r="E917" s="139"/>
      <c r="J917" s="139"/>
    </row>
    <row r="918" spans="5:10" ht="15.75" customHeight="1" x14ac:dyDescent="0.25">
      <c r="E918" s="139"/>
      <c r="J918" s="139"/>
    </row>
    <row r="919" spans="5:10" ht="15.75" customHeight="1" x14ac:dyDescent="0.25">
      <c r="E919" s="139"/>
      <c r="J919" s="139"/>
    </row>
    <row r="920" spans="5:10" ht="15.75" customHeight="1" x14ac:dyDescent="0.25">
      <c r="E920" s="139"/>
      <c r="J920" s="139"/>
    </row>
    <row r="921" spans="5:10" ht="15.75" customHeight="1" x14ac:dyDescent="0.25">
      <c r="E921" s="139"/>
      <c r="J921" s="139"/>
    </row>
    <row r="922" spans="5:10" ht="15.75" customHeight="1" x14ac:dyDescent="0.25">
      <c r="E922" s="139"/>
      <c r="J922" s="139"/>
    </row>
    <row r="923" spans="5:10" ht="15.75" customHeight="1" x14ac:dyDescent="0.25">
      <c r="E923" s="139"/>
      <c r="J923" s="139"/>
    </row>
    <row r="924" spans="5:10" ht="15.75" customHeight="1" x14ac:dyDescent="0.25">
      <c r="E924" s="139"/>
      <c r="J924" s="139"/>
    </row>
    <row r="925" spans="5:10" ht="15.75" customHeight="1" x14ac:dyDescent="0.25">
      <c r="E925" s="139"/>
      <c r="J925" s="139"/>
    </row>
    <row r="926" spans="5:10" ht="15.75" customHeight="1" x14ac:dyDescent="0.25">
      <c r="E926" s="139"/>
      <c r="J926" s="139"/>
    </row>
    <row r="927" spans="5:10" ht="15.75" customHeight="1" x14ac:dyDescent="0.25">
      <c r="E927" s="139"/>
      <c r="J927" s="139"/>
    </row>
    <row r="928" spans="5:10" ht="15.75" customHeight="1" x14ac:dyDescent="0.25">
      <c r="E928" s="139"/>
      <c r="J928" s="139"/>
    </row>
    <row r="929" spans="5:10" ht="15.75" customHeight="1" x14ac:dyDescent="0.25">
      <c r="E929" s="139"/>
      <c r="J929" s="139"/>
    </row>
    <row r="930" spans="5:10" ht="15.75" customHeight="1" x14ac:dyDescent="0.25">
      <c r="E930" s="139"/>
      <c r="J930" s="139"/>
    </row>
    <row r="931" spans="5:10" ht="15.75" customHeight="1" x14ac:dyDescent="0.25">
      <c r="E931" s="139"/>
      <c r="J931" s="139"/>
    </row>
    <row r="932" spans="5:10" ht="15.75" customHeight="1" x14ac:dyDescent="0.25">
      <c r="E932" s="139"/>
      <c r="J932" s="139"/>
    </row>
    <row r="933" spans="5:10" ht="15.75" customHeight="1" x14ac:dyDescent="0.25">
      <c r="E933" s="139"/>
      <c r="J933" s="139"/>
    </row>
    <row r="934" spans="5:10" ht="15.75" customHeight="1" x14ac:dyDescent="0.25">
      <c r="E934" s="139"/>
      <c r="J934" s="139"/>
    </row>
    <row r="935" spans="5:10" ht="15.75" customHeight="1" x14ac:dyDescent="0.25">
      <c r="E935" s="139"/>
      <c r="J935" s="139"/>
    </row>
    <row r="936" spans="5:10" ht="15.75" customHeight="1" x14ac:dyDescent="0.25">
      <c r="E936" s="139"/>
      <c r="J936" s="139"/>
    </row>
    <row r="937" spans="5:10" ht="15.75" customHeight="1" x14ac:dyDescent="0.25">
      <c r="E937" s="139"/>
      <c r="J937" s="139"/>
    </row>
    <row r="938" spans="5:10" ht="15.75" customHeight="1" x14ac:dyDescent="0.25">
      <c r="E938" s="139"/>
      <c r="J938" s="139"/>
    </row>
    <row r="939" spans="5:10" ht="15.75" customHeight="1" x14ac:dyDescent="0.25">
      <c r="E939" s="139"/>
      <c r="J939" s="139"/>
    </row>
    <row r="940" spans="5:10" ht="15.75" customHeight="1" x14ac:dyDescent="0.25">
      <c r="E940" s="139"/>
      <c r="J940" s="139"/>
    </row>
    <row r="941" spans="5:10" ht="15.75" customHeight="1" x14ac:dyDescent="0.25">
      <c r="E941" s="139"/>
      <c r="J941" s="139"/>
    </row>
    <row r="942" spans="5:10" ht="15.75" customHeight="1" x14ac:dyDescent="0.25">
      <c r="E942" s="139"/>
      <c r="J942" s="139"/>
    </row>
    <row r="943" spans="5:10" ht="15.75" customHeight="1" x14ac:dyDescent="0.25">
      <c r="E943" s="139"/>
      <c r="J943" s="139"/>
    </row>
    <row r="944" spans="5:10" ht="15.75" customHeight="1" x14ac:dyDescent="0.25">
      <c r="E944" s="139"/>
      <c r="J944" s="139"/>
    </row>
    <row r="945" spans="5:10" ht="15.75" customHeight="1" x14ac:dyDescent="0.25">
      <c r="E945" s="139"/>
      <c r="J945" s="139"/>
    </row>
    <row r="946" spans="5:10" ht="15.75" customHeight="1" x14ac:dyDescent="0.25">
      <c r="E946" s="139"/>
      <c r="J946" s="139"/>
    </row>
    <row r="947" spans="5:10" ht="15.75" customHeight="1" x14ac:dyDescent="0.25">
      <c r="E947" s="139"/>
      <c r="J947" s="139"/>
    </row>
    <row r="948" spans="5:10" ht="15.75" customHeight="1" x14ac:dyDescent="0.25">
      <c r="E948" s="139"/>
      <c r="J948" s="139"/>
    </row>
    <row r="949" spans="5:10" ht="15.75" customHeight="1" x14ac:dyDescent="0.25">
      <c r="E949" s="139"/>
      <c r="J949" s="139"/>
    </row>
    <row r="950" spans="5:10" ht="15.75" customHeight="1" x14ac:dyDescent="0.25">
      <c r="E950" s="139"/>
      <c r="J950" s="139"/>
    </row>
    <row r="951" spans="5:10" ht="15.75" customHeight="1" x14ac:dyDescent="0.25">
      <c r="E951" s="139"/>
      <c r="J951" s="139"/>
    </row>
    <row r="952" spans="5:10" ht="15.75" customHeight="1" x14ac:dyDescent="0.25">
      <c r="E952" s="139"/>
      <c r="J952" s="139"/>
    </row>
    <row r="953" spans="5:10" ht="15.75" customHeight="1" x14ac:dyDescent="0.25">
      <c r="E953" s="139"/>
      <c r="J953" s="139"/>
    </row>
    <row r="954" spans="5:10" ht="15.75" customHeight="1" x14ac:dyDescent="0.25">
      <c r="E954" s="139"/>
      <c r="J954" s="139"/>
    </row>
    <row r="955" spans="5:10" ht="15.75" customHeight="1" x14ac:dyDescent="0.25">
      <c r="E955" s="139"/>
      <c r="J955" s="139"/>
    </row>
    <row r="956" spans="5:10" ht="15.75" customHeight="1" x14ac:dyDescent="0.25">
      <c r="E956" s="139"/>
      <c r="J956" s="139"/>
    </row>
    <row r="957" spans="5:10" ht="15.75" customHeight="1" x14ac:dyDescent="0.25">
      <c r="E957" s="139"/>
      <c r="J957" s="139"/>
    </row>
    <row r="958" spans="5:10" ht="15.75" customHeight="1" x14ac:dyDescent="0.25">
      <c r="E958" s="139"/>
      <c r="J958" s="139"/>
    </row>
    <row r="959" spans="5:10" ht="15.75" customHeight="1" x14ac:dyDescent="0.25">
      <c r="E959" s="139"/>
      <c r="J959" s="139"/>
    </row>
    <row r="960" spans="5:10" ht="15.75" customHeight="1" x14ac:dyDescent="0.25">
      <c r="E960" s="139"/>
      <c r="J960" s="139"/>
    </row>
    <row r="961" spans="5:10" ht="15.75" customHeight="1" x14ac:dyDescent="0.25">
      <c r="E961" s="139"/>
      <c r="J961" s="139"/>
    </row>
    <row r="962" spans="5:10" ht="15.75" customHeight="1" x14ac:dyDescent="0.25">
      <c r="E962" s="139"/>
      <c r="J962" s="139"/>
    </row>
    <row r="963" spans="5:10" ht="15.75" customHeight="1" x14ac:dyDescent="0.25">
      <c r="E963" s="139"/>
      <c r="J963" s="139"/>
    </row>
    <row r="964" spans="5:10" ht="15.75" customHeight="1" x14ac:dyDescent="0.25">
      <c r="E964" s="139"/>
      <c r="J964" s="139"/>
    </row>
    <row r="965" spans="5:10" ht="15.75" customHeight="1" x14ac:dyDescent="0.25">
      <c r="E965" s="139"/>
      <c r="J965" s="139"/>
    </row>
    <row r="966" spans="5:10" ht="15.75" customHeight="1" x14ac:dyDescent="0.25">
      <c r="E966" s="139"/>
      <c r="J966" s="139"/>
    </row>
    <row r="967" spans="5:10" ht="15.75" customHeight="1" x14ac:dyDescent="0.25">
      <c r="E967" s="139"/>
      <c r="J967" s="139"/>
    </row>
    <row r="968" spans="5:10" ht="15.75" customHeight="1" x14ac:dyDescent="0.25">
      <c r="E968" s="139"/>
      <c r="J968" s="139"/>
    </row>
    <row r="969" spans="5:10" ht="15.75" customHeight="1" x14ac:dyDescent="0.25">
      <c r="E969" s="139"/>
      <c r="J969" s="139"/>
    </row>
    <row r="970" spans="5:10" ht="15.75" customHeight="1" x14ac:dyDescent="0.25">
      <c r="E970" s="139"/>
      <c r="J970" s="139"/>
    </row>
    <row r="971" spans="5:10" ht="15.75" customHeight="1" x14ac:dyDescent="0.25">
      <c r="E971" s="139"/>
      <c r="J971" s="139"/>
    </row>
    <row r="972" spans="5:10" ht="15.75" customHeight="1" x14ac:dyDescent="0.25">
      <c r="E972" s="139"/>
      <c r="J972" s="139"/>
    </row>
    <row r="973" spans="5:10" ht="15.75" customHeight="1" x14ac:dyDescent="0.25">
      <c r="E973" s="139"/>
      <c r="J973" s="139"/>
    </row>
    <row r="974" spans="5:10" ht="15.75" customHeight="1" x14ac:dyDescent="0.25">
      <c r="E974" s="139"/>
      <c r="J974" s="139"/>
    </row>
    <row r="975" spans="5:10" ht="15.75" customHeight="1" x14ac:dyDescent="0.25">
      <c r="E975" s="139"/>
      <c r="J975" s="139"/>
    </row>
    <row r="976" spans="5:10" ht="15.75" customHeight="1" x14ac:dyDescent="0.25">
      <c r="E976" s="139"/>
      <c r="J976" s="139"/>
    </row>
    <row r="977" spans="5:10" ht="15.75" customHeight="1" x14ac:dyDescent="0.25">
      <c r="E977" s="139"/>
      <c r="J977" s="139"/>
    </row>
    <row r="978" spans="5:10" ht="15.75" customHeight="1" x14ac:dyDescent="0.25">
      <c r="E978" s="139"/>
      <c r="J978" s="139"/>
    </row>
    <row r="979" spans="5:10" ht="15.75" customHeight="1" x14ac:dyDescent="0.25">
      <c r="E979" s="139"/>
      <c r="J979" s="139"/>
    </row>
    <row r="980" spans="5:10" ht="15.75" customHeight="1" x14ac:dyDescent="0.25">
      <c r="E980" s="139"/>
      <c r="J980" s="139"/>
    </row>
    <row r="981" spans="5:10" ht="15.75" customHeight="1" x14ac:dyDescent="0.25">
      <c r="E981" s="139"/>
      <c r="J981" s="139"/>
    </row>
    <row r="982" spans="5:10" ht="15.75" customHeight="1" x14ac:dyDescent="0.25">
      <c r="E982" s="139"/>
      <c r="J982" s="139"/>
    </row>
    <row r="983" spans="5:10" ht="15.75" customHeight="1" x14ac:dyDescent="0.25">
      <c r="E983" s="139"/>
      <c r="J983" s="139"/>
    </row>
    <row r="984" spans="5:10" ht="15.75" customHeight="1" x14ac:dyDescent="0.25">
      <c r="E984" s="139"/>
      <c r="J984" s="139"/>
    </row>
    <row r="985" spans="5:10" ht="15.75" customHeight="1" x14ac:dyDescent="0.25">
      <c r="E985" s="139"/>
      <c r="J985" s="139"/>
    </row>
    <row r="986" spans="5:10" ht="15.75" customHeight="1" x14ac:dyDescent="0.25">
      <c r="E986" s="139"/>
      <c r="J986" s="139"/>
    </row>
    <row r="987" spans="5:10" ht="15.75" customHeight="1" x14ac:dyDescent="0.25">
      <c r="E987" s="139"/>
      <c r="J987" s="139"/>
    </row>
    <row r="988" spans="5:10" ht="15.75" customHeight="1" x14ac:dyDescent="0.25">
      <c r="E988" s="139"/>
      <c r="J988" s="139"/>
    </row>
    <row r="989" spans="5:10" ht="15.75" customHeight="1" x14ac:dyDescent="0.25">
      <c r="E989" s="139"/>
      <c r="J989" s="139"/>
    </row>
    <row r="990" spans="5:10" ht="15.75" customHeight="1" x14ac:dyDescent="0.25">
      <c r="E990" s="139"/>
      <c r="J990" s="139"/>
    </row>
    <row r="991" spans="5:10" ht="15.75" customHeight="1" x14ac:dyDescent="0.25">
      <c r="E991" s="139"/>
      <c r="J991" s="139"/>
    </row>
    <row r="992" spans="5:10" ht="15.75" customHeight="1" x14ac:dyDescent="0.25">
      <c r="E992" s="139"/>
      <c r="J992" s="139"/>
    </row>
    <row r="993" spans="5:10" ht="15.75" customHeight="1" x14ac:dyDescent="0.25">
      <c r="E993" s="139"/>
      <c r="J993" s="139"/>
    </row>
    <row r="994" spans="5:10" ht="15.75" customHeight="1" x14ac:dyDescent="0.25">
      <c r="E994" s="139"/>
      <c r="J994" s="139"/>
    </row>
    <row r="995" spans="5:10" ht="15.75" customHeight="1" x14ac:dyDescent="0.25">
      <c r="E995" s="139"/>
      <c r="J995" s="139"/>
    </row>
    <row r="996" spans="5:10" ht="15.75" customHeight="1" x14ac:dyDescent="0.25">
      <c r="E996" s="139"/>
      <c r="J996" s="139"/>
    </row>
    <row r="997" spans="5:10" ht="15.75" customHeight="1" x14ac:dyDescent="0.25">
      <c r="E997" s="139"/>
      <c r="J997" s="139"/>
    </row>
    <row r="998" spans="5:10" ht="15.75" customHeight="1" x14ac:dyDescent="0.25">
      <c r="E998" s="139"/>
      <c r="J998" s="139"/>
    </row>
    <row r="999" spans="5:10" ht="15.75" customHeight="1" x14ac:dyDescent="0.25">
      <c r="E999" s="139"/>
      <c r="J999" s="139"/>
    </row>
    <row r="1000" spans="5:10" ht="15.75" customHeight="1" x14ac:dyDescent="0.25">
      <c r="E1000" s="139"/>
      <c r="J1000" s="139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900-000000000000}">
          <x14:formula1>
            <xm:f>January!$B$27:$C$44</xm:f>
          </x14:formula1>
          <xm:sqref>E5:E115 E125:E1000</xm:sqref>
        </x14:dataValidation>
        <x14:dataValidation type="list" allowBlank="1" xr:uid="{00000000-0002-0000-0900-000001000000}">
          <x14:formula1>
            <xm:f>January!$H$27:$I$44</xm:f>
          </x14:formula1>
          <xm:sqref>J5:J1000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1000"/>
  <sheetViews>
    <sheetView showGridLines="0" workbookViewId="0"/>
  </sheetViews>
  <sheetFormatPr defaultColWidth="12.6640625" defaultRowHeight="15" customHeight="1" x14ac:dyDescent="0.25"/>
  <cols>
    <col min="1" max="1" width="6.109375" customWidth="1"/>
    <col min="2" max="3" width="8.88671875" customWidth="1"/>
    <col min="4" max="4" width="16.77734375" customWidth="1"/>
    <col min="5" max="5" width="14.88671875" customWidth="1"/>
    <col min="6" max="6" width="11" customWidth="1"/>
    <col min="7" max="7" width="16.21875" customWidth="1"/>
    <col min="8" max="8" width="8.88671875" customWidth="1"/>
    <col min="9" max="9" width="17" customWidth="1"/>
    <col min="10" max="10" width="12.6640625" customWidth="1"/>
    <col min="11" max="11" width="12.33203125" customWidth="1"/>
    <col min="12" max="12" width="13.77734375" customWidth="1"/>
    <col min="13" max="13" width="6.109375" customWidth="1"/>
  </cols>
  <sheetData>
    <row r="1" spans="1:13" ht="12" customHeight="1" x14ac:dyDescent="0.3">
      <c r="A1" s="142"/>
      <c r="B1" s="142"/>
      <c r="C1" s="142"/>
      <c r="D1" s="142"/>
      <c r="E1" s="142"/>
      <c r="F1" s="142"/>
      <c r="G1" s="143"/>
      <c r="H1" s="142"/>
      <c r="I1" s="142"/>
      <c r="J1" s="142"/>
      <c r="K1" s="142"/>
      <c r="L1" s="142"/>
      <c r="M1" s="142"/>
    </row>
    <row r="2" spans="1:13" ht="21" customHeight="1" x14ac:dyDescent="0.25">
      <c r="A2" s="144"/>
      <c r="B2" s="269" t="s">
        <v>28</v>
      </c>
      <c r="C2" s="266"/>
      <c r="D2" s="266"/>
      <c r="E2" s="266"/>
      <c r="F2" s="266"/>
      <c r="G2" s="266"/>
      <c r="H2" s="266"/>
      <c r="I2" s="270" t="s">
        <v>1</v>
      </c>
      <c r="J2" s="266"/>
      <c r="K2" s="266"/>
      <c r="L2" s="266"/>
      <c r="M2" s="144"/>
    </row>
    <row r="3" spans="1:13" ht="16.5" customHeight="1" x14ac:dyDescent="0.25">
      <c r="A3" s="145"/>
      <c r="B3" s="271" t="s">
        <v>29</v>
      </c>
      <c r="C3" s="266"/>
      <c r="D3" s="266"/>
      <c r="E3" s="266"/>
      <c r="F3" s="266"/>
      <c r="G3" s="266"/>
      <c r="H3" s="146"/>
      <c r="I3" s="272" t="s">
        <v>30</v>
      </c>
      <c r="J3" s="266"/>
      <c r="K3" s="266"/>
      <c r="L3" s="266"/>
      <c r="M3" s="147"/>
    </row>
    <row r="4" spans="1:13" ht="10.5" customHeight="1" x14ac:dyDescent="0.25">
      <c r="A4" s="145"/>
      <c r="B4" s="266"/>
      <c r="C4" s="266"/>
      <c r="D4" s="266"/>
      <c r="E4" s="266"/>
      <c r="F4" s="266"/>
      <c r="G4" s="266"/>
      <c r="H4" s="146"/>
      <c r="I4" s="273" t="s">
        <v>31</v>
      </c>
      <c r="J4" s="266"/>
      <c r="K4" s="266"/>
      <c r="L4" s="266"/>
      <c r="M4" s="266"/>
    </row>
    <row r="5" spans="1:13" ht="15.75" customHeight="1" x14ac:dyDescent="0.25">
      <c r="A5" s="145"/>
      <c r="B5" s="271" t="s">
        <v>32</v>
      </c>
      <c r="C5" s="266"/>
      <c r="D5" s="266"/>
      <c r="E5" s="266"/>
      <c r="F5" s="266"/>
      <c r="G5" s="266"/>
      <c r="H5" s="146"/>
      <c r="I5" s="266"/>
      <c r="J5" s="266"/>
      <c r="K5" s="266"/>
      <c r="L5" s="266"/>
      <c r="M5" s="266"/>
    </row>
    <row r="6" spans="1:13" ht="23.25" customHeight="1" x14ac:dyDescent="0.3">
      <c r="A6" s="148"/>
      <c r="B6" s="266"/>
      <c r="C6" s="266"/>
      <c r="D6" s="266"/>
      <c r="E6" s="266"/>
      <c r="F6" s="266"/>
      <c r="G6" s="266"/>
      <c r="H6" s="149"/>
      <c r="I6" s="142"/>
      <c r="J6" s="142"/>
      <c r="K6" s="142"/>
      <c r="L6" s="142"/>
      <c r="M6" s="142"/>
    </row>
    <row r="7" spans="1:13" ht="30" customHeight="1" x14ac:dyDescent="0.3">
      <c r="A7" s="150"/>
      <c r="B7" s="151"/>
      <c r="C7" s="151"/>
      <c r="D7" s="151"/>
      <c r="E7" s="152"/>
      <c r="F7" s="155"/>
      <c r="G7" s="155"/>
      <c r="H7" s="155"/>
      <c r="I7" s="155"/>
      <c r="J7" s="153"/>
      <c r="K7" s="153"/>
      <c r="L7" s="153"/>
      <c r="M7" s="153"/>
    </row>
    <row r="8" spans="1:13" ht="18" customHeight="1" x14ac:dyDescent="0.3">
      <c r="A8" s="156"/>
      <c r="B8" s="275" t="s">
        <v>65</v>
      </c>
      <c r="C8" s="266"/>
      <c r="D8" s="266"/>
      <c r="E8" s="266"/>
      <c r="F8" s="153"/>
      <c r="G8" s="157"/>
      <c r="H8" s="153"/>
      <c r="I8" s="158"/>
      <c r="J8" s="274" t="s">
        <v>34</v>
      </c>
      <c r="K8" s="266"/>
      <c r="L8" s="159">
        <f>March!E17</f>
        <v>3000000</v>
      </c>
      <c r="M8" s="153"/>
    </row>
    <row r="9" spans="1:13" ht="18" customHeight="1" x14ac:dyDescent="0.25">
      <c r="A9" s="156"/>
      <c r="B9" s="266"/>
      <c r="C9" s="266"/>
      <c r="D9" s="266"/>
      <c r="E9" s="266"/>
      <c r="F9" s="153"/>
      <c r="G9" s="157"/>
      <c r="H9" s="153"/>
      <c r="I9" s="160"/>
      <c r="J9" s="153"/>
      <c r="K9" s="153"/>
      <c r="M9" s="153"/>
    </row>
    <row r="10" spans="1:13" ht="18" customHeight="1" x14ac:dyDescent="0.25">
      <c r="A10" s="153"/>
      <c r="B10" s="161"/>
      <c r="C10" s="161"/>
      <c r="D10" s="161"/>
      <c r="E10" s="161"/>
      <c r="F10" s="153"/>
      <c r="G10" s="157"/>
      <c r="H10" s="153"/>
      <c r="I10" s="160"/>
      <c r="J10" s="153"/>
      <c r="K10" s="153"/>
      <c r="L10" s="157"/>
      <c r="M10" s="153"/>
    </row>
    <row r="11" spans="1:13" ht="12" customHeight="1" x14ac:dyDescent="0.3">
      <c r="A11" s="150"/>
      <c r="B11" s="162"/>
      <c r="C11" s="162"/>
      <c r="D11" s="163"/>
      <c r="E11" s="150"/>
      <c r="F11" s="150"/>
      <c r="G11" s="158"/>
      <c r="H11" s="164"/>
      <c r="I11" s="165"/>
      <c r="J11" s="165"/>
      <c r="K11" s="165"/>
      <c r="L11" s="166"/>
      <c r="M11" s="150"/>
    </row>
    <row r="12" spans="1:13" ht="18" customHeight="1" x14ac:dyDescent="0.3">
      <c r="A12" s="158"/>
      <c r="B12" s="150"/>
      <c r="C12" s="158"/>
      <c r="D12" s="276" t="str">
        <f ca="1">IFERROR(__xludf.DUMMYFUNCTION("SPARKLINE(D17,{""charttype"",""column"";""ymin"", 0; ""ymax"",MAX(D17:E17);""firstcolor"",""#334960""})"),"")</f>
        <v/>
      </c>
      <c r="E12" s="278" t="str">
        <f ca="1">IFERROR(__xludf.DUMMYFUNCTION("SPARKLINE(E17,{""charttype"",""column"";""ymin"", 0; ""ymax"",max(D17:E17);""firstcolor"",""#f46524""})"),"")</f>
        <v/>
      </c>
      <c r="F12" s="150"/>
      <c r="G12" s="150"/>
      <c r="H12" s="167"/>
      <c r="I12" s="168"/>
      <c r="J12" s="168"/>
      <c r="K12" s="168"/>
      <c r="L12" s="169"/>
      <c r="M12" s="158"/>
    </row>
    <row r="13" spans="1:13" ht="18" customHeight="1" x14ac:dyDescent="0.6">
      <c r="A13" s="158"/>
      <c r="B13" s="150"/>
      <c r="C13" s="150"/>
      <c r="D13" s="277"/>
      <c r="E13" s="266"/>
      <c r="F13" s="150"/>
      <c r="G13" s="150"/>
      <c r="H13" s="167"/>
      <c r="I13" s="279">
        <f>IFERROR(E17/D17-1, "")</f>
        <v>0</v>
      </c>
      <c r="J13" s="266"/>
      <c r="K13" s="266"/>
      <c r="L13" s="169"/>
      <c r="M13" s="170"/>
    </row>
    <row r="14" spans="1:13" ht="24" customHeight="1" x14ac:dyDescent="0.6">
      <c r="A14" s="150"/>
      <c r="B14" s="150"/>
      <c r="C14" s="150"/>
      <c r="D14" s="277"/>
      <c r="E14" s="266"/>
      <c r="F14" s="150"/>
      <c r="G14" s="150"/>
      <c r="H14" s="167"/>
      <c r="I14" s="280" t="str">
        <f>IF(I13 &lt; 0, "Decrease in total savings", "Increase in total savings")</f>
        <v>Increase in total savings</v>
      </c>
      <c r="J14" s="281"/>
      <c r="K14" s="281"/>
      <c r="L14" s="169"/>
      <c r="M14" s="170"/>
    </row>
    <row r="15" spans="1:13" ht="39.75" customHeight="1" x14ac:dyDescent="0.6">
      <c r="A15" s="150"/>
      <c r="B15" s="150"/>
      <c r="C15" s="150"/>
      <c r="D15" s="277"/>
      <c r="E15" s="266"/>
      <c r="F15" s="150"/>
      <c r="G15" s="150"/>
      <c r="H15" s="167"/>
      <c r="I15" s="279">
        <f>IFERROR(E17-D17, 0)</f>
        <v>0</v>
      </c>
      <c r="J15" s="266"/>
      <c r="K15" s="266"/>
      <c r="L15" s="169"/>
      <c r="M15" s="170"/>
    </row>
    <row r="16" spans="1:13" ht="18" customHeight="1" x14ac:dyDescent="0.35">
      <c r="A16" s="150"/>
      <c r="B16" s="162"/>
      <c r="C16" s="171"/>
      <c r="D16" s="172" t="s">
        <v>35</v>
      </c>
      <c r="E16" s="173" t="s">
        <v>36</v>
      </c>
      <c r="F16" s="171"/>
      <c r="G16" s="162"/>
      <c r="H16" s="167"/>
      <c r="I16" s="282" t="str">
        <f>IF(J15&lt;0, "Spent this month", "Saved this month")</f>
        <v>Saved this month</v>
      </c>
      <c r="J16" s="266"/>
      <c r="K16" s="266"/>
      <c r="L16" s="169"/>
      <c r="M16" s="174"/>
    </row>
    <row r="17" spans="1:13" ht="18" customHeight="1" x14ac:dyDescent="0.3">
      <c r="A17" s="158"/>
      <c r="B17" s="150"/>
      <c r="C17" s="158"/>
      <c r="D17" s="175">
        <f>IF(ISBLANK(L8),0,L8)</f>
        <v>3000000</v>
      </c>
      <c r="E17" s="176">
        <f>D17+(I22-C22)</f>
        <v>3000000</v>
      </c>
      <c r="F17" s="158"/>
      <c r="G17" s="150"/>
      <c r="H17" s="167"/>
      <c r="I17" s="283"/>
      <c r="J17" s="266"/>
      <c r="K17" s="266"/>
      <c r="L17" s="169"/>
      <c r="M17" s="158"/>
    </row>
    <row r="18" spans="1:13" ht="12" customHeight="1" x14ac:dyDescent="0.3">
      <c r="A18" s="158"/>
      <c r="B18" s="177"/>
      <c r="C18" s="177"/>
      <c r="D18" s="177"/>
      <c r="E18" s="157">
        <f>SUM(I7:I10)+SUM(G7:G10)</f>
        <v>0</v>
      </c>
      <c r="F18" s="177"/>
      <c r="G18" s="158"/>
      <c r="H18" s="178"/>
      <c r="I18" s="179"/>
      <c r="J18" s="180"/>
      <c r="K18" s="179"/>
      <c r="L18" s="181"/>
      <c r="M18" s="158"/>
    </row>
    <row r="19" spans="1:13" ht="24" customHeight="1" x14ac:dyDescent="0.3">
      <c r="A19" s="158"/>
      <c r="B19" s="177"/>
      <c r="C19" s="177"/>
      <c r="D19" s="177"/>
      <c r="E19" s="177"/>
      <c r="F19" s="177"/>
      <c r="G19" s="158"/>
      <c r="H19" s="158"/>
      <c r="I19" s="158"/>
      <c r="J19" s="151"/>
      <c r="K19" s="158"/>
      <c r="L19" s="158"/>
      <c r="M19" s="158"/>
    </row>
    <row r="20" spans="1:13" ht="24" customHeight="1" x14ac:dyDescent="0.25">
      <c r="A20" s="182"/>
      <c r="B20" s="284" t="s">
        <v>10</v>
      </c>
      <c r="C20" s="266"/>
      <c r="D20" s="266"/>
      <c r="E20" s="266"/>
      <c r="F20" s="266"/>
      <c r="G20" s="182"/>
      <c r="H20" s="183" t="s">
        <v>9</v>
      </c>
      <c r="I20" s="183"/>
      <c r="J20" s="184"/>
      <c r="K20" s="182"/>
      <c r="L20" s="182"/>
      <c r="M20" s="182"/>
    </row>
    <row r="21" spans="1:13" ht="19.5" customHeight="1" x14ac:dyDescent="0.25">
      <c r="A21" s="185"/>
      <c r="B21" s="186" t="s">
        <v>37</v>
      </c>
      <c r="C21" s="187">
        <f>D26</f>
        <v>22450000</v>
      </c>
      <c r="D21" s="285" t="str">
        <f ca="1">IFERROR(__xludf.DUMMYFUNCTION("SPARKLINE(C21,{""charttype"",""bar"";""max"",max(C21:C22);""color1"",""#AEB7C0""})"),"")</f>
        <v/>
      </c>
      <c r="E21" s="266"/>
      <c r="F21" s="266"/>
      <c r="G21" s="185"/>
      <c r="H21" s="186" t="s">
        <v>37</v>
      </c>
      <c r="I21" s="187">
        <f>J26</f>
        <v>0</v>
      </c>
      <c r="J21" s="285" t="str">
        <f ca="1">IFERROR(__xludf.DUMMYFUNCTION("SPARKLINE(I21,{""charttype"",""bar"";""max"",max(I21:I22);""color1"",""#AEB7C0""})"),"")</f>
        <v/>
      </c>
      <c r="K21" s="266"/>
      <c r="L21" s="266"/>
      <c r="M21" s="185"/>
    </row>
    <row r="22" spans="1:13" ht="19.5" customHeight="1" x14ac:dyDescent="0.25">
      <c r="A22" s="188"/>
      <c r="B22" s="189" t="s">
        <v>38</v>
      </c>
      <c r="C22" s="190">
        <f>E26</f>
        <v>0</v>
      </c>
      <c r="D22" s="286" t="str">
        <f ca="1">IFERROR(__xludf.DUMMYFUNCTION("SPARKLINE(C22,{""charttype"",""bar"";""max"",max(C21:C22);""color1"",""#334960""})"),"")</f>
        <v/>
      </c>
      <c r="E22" s="266"/>
      <c r="F22" s="266"/>
      <c r="G22" s="177"/>
      <c r="H22" s="189" t="s">
        <v>38</v>
      </c>
      <c r="I22" s="190">
        <f>K26</f>
        <v>0</v>
      </c>
      <c r="J22" s="286" t="str">
        <f ca="1">IFERROR(__xludf.DUMMYFUNCTION("SPARKLINE(I22,{""charttype"",""bar"";""max"",max(I21:I22);""color1"",""#334960""})"),"")</f>
        <v/>
      </c>
      <c r="K22" s="266"/>
      <c r="L22" s="266"/>
      <c r="M22" s="188"/>
    </row>
    <row r="23" spans="1:13" ht="30" customHeight="1" x14ac:dyDescent="0.3">
      <c r="A23" s="150"/>
      <c r="B23" s="191"/>
      <c r="C23" s="192"/>
      <c r="D23" s="287"/>
      <c r="E23" s="266"/>
      <c r="F23" s="266"/>
      <c r="G23" s="150"/>
      <c r="H23" s="191"/>
      <c r="I23" s="192"/>
      <c r="J23" s="287"/>
      <c r="K23" s="266"/>
      <c r="L23" s="266"/>
      <c r="M23" s="188"/>
    </row>
    <row r="24" spans="1:13" ht="29.25" customHeight="1" x14ac:dyDescent="0.25">
      <c r="A24" s="193"/>
      <c r="B24" s="288" t="s">
        <v>10</v>
      </c>
      <c r="C24" s="266"/>
      <c r="D24" s="194"/>
      <c r="E24" s="194"/>
      <c r="F24" s="194"/>
      <c r="G24" s="195"/>
      <c r="H24" s="196" t="s">
        <v>9</v>
      </c>
      <c r="I24" s="197"/>
      <c r="J24" s="194"/>
      <c r="K24" s="194"/>
      <c r="L24" s="194"/>
      <c r="M24" s="193"/>
    </row>
    <row r="25" spans="1:13" ht="19.5" customHeight="1" x14ac:dyDescent="0.45">
      <c r="A25" s="198"/>
      <c r="B25" s="199"/>
      <c r="C25" s="200"/>
      <c r="D25" s="199" t="s">
        <v>37</v>
      </c>
      <c r="E25" s="199" t="s">
        <v>38</v>
      </c>
      <c r="F25" s="199" t="s">
        <v>39</v>
      </c>
      <c r="G25" s="201"/>
      <c r="H25" s="202"/>
      <c r="I25" s="203"/>
      <c r="J25" s="199" t="s">
        <v>37</v>
      </c>
      <c r="K25" s="199" t="s">
        <v>38</v>
      </c>
      <c r="L25" s="199" t="s">
        <v>39</v>
      </c>
      <c r="M25" s="198"/>
    </row>
    <row r="26" spans="1:13" ht="17.25" customHeight="1" x14ac:dyDescent="0.25">
      <c r="A26" s="204"/>
      <c r="B26" s="205" t="s">
        <v>40</v>
      </c>
      <c r="C26" s="205"/>
      <c r="D26" s="206">
        <f t="shared" ref="D26:F26" si="0">SUM(D27:D1044)</f>
        <v>22450000</v>
      </c>
      <c r="E26" s="206">
        <f t="shared" si="0"/>
        <v>0</v>
      </c>
      <c r="F26" s="206">
        <f t="shared" si="0"/>
        <v>22450000</v>
      </c>
      <c r="G26" s="207"/>
      <c r="H26" s="208" t="s">
        <v>40</v>
      </c>
      <c r="I26" s="206"/>
      <c r="J26" s="206">
        <f t="shared" ref="J26:L26" si="1">SUM(J27:J44)</f>
        <v>0</v>
      </c>
      <c r="K26" s="206">
        <f t="shared" si="1"/>
        <v>0</v>
      </c>
      <c r="L26" s="206">
        <f t="shared" si="1"/>
        <v>0</v>
      </c>
      <c r="M26" s="204"/>
    </row>
    <row r="27" spans="1:13" ht="18" hidden="1" customHeight="1" x14ac:dyDescent="0.25">
      <c r="A27" s="209"/>
      <c r="B27" s="289"/>
      <c r="C27" s="290"/>
      <c r="D27" s="210"/>
      <c r="E27" s="211" t="str">
        <f>IF(ISBLANK($B27), "", SUMIF('Trans April'!$E:$E,$B27,'Trans April'!$C:$C))</f>
        <v/>
      </c>
      <c r="F27" s="211" t="str">
        <f t="shared" ref="F27:F43" si="2">IF(ISBLANK($B27), "", D27-E27)</f>
        <v/>
      </c>
      <c r="G27" s="190"/>
      <c r="H27" s="291"/>
      <c r="I27" s="292"/>
      <c r="J27" s="212"/>
      <c r="K27" s="211" t="str">
        <f>IF(ISBLANK($H27), "", SUMIF('Trans April'!$J:$J,$H27,'Trans April'!$H:$H))</f>
        <v/>
      </c>
      <c r="L27" s="211" t="str">
        <f t="shared" ref="L27:L44" si="3">IF(ISBLANK($H27), "", K27-J27)</f>
        <v/>
      </c>
      <c r="M27" s="209"/>
    </row>
    <row r="28" spans="1:13" ht="18" customHeight="1" x14ac:dyDescent="0.25">
      <c r="A28" s="209"/>
      <c r="B28" s="267" t="s">
        <v>15</v>
      </c>
      <c r="C28" s="268"/>
      <c r="D28" s="213">
        <v>7000000</v>
      </c>
      <c r="E28" s="214">
        <f>IF(ISBLANK($B28), "", SUMIF('Trans April'!$E:$E,$B28,'Trans April'!$C:$C))</f>
        <v>0</v>
      </c>
      <c r="F28" s="214">
        <f t="shared" si="2"/>
        <v>7000000</v>
      </c>
      <c r="G28" s="215"/>
      <c r="H28" s="267" t="s">
        <v>41</v>
      </c>
      <c r="I28" s="268"/>
      <c r="J28" s="213"/>
      <c r="K28" s="211">
        <f>IF(ISBLANK($H28), "", SUMIF('Trans April'!$J:$J,$H28,'Trans April'!$H:$H))</f>
        <v>0</v>
      </c>
      <c r="L28" s="214">
        <f t="shared" si="3"/>
        <v>0</v>
      </c>
      <c r="M28" s="209"/>
    </row>
    <row r="29" spans="1:13" ht="18" customHeight="1" x14ac:dyDescent="0.25">
      <c r="A29" s="209"/>
      <c r="B29" s="267" t="s">
        <v>23</v>
      </c>
      <c r="C29" s="268"/>
      <c r="D29" s="213">
        <v>500000</v>
      </c>
      <c r="E29" s="214">
        <f>IF(ISBLANK($B29), "", SUMIF('Trans April'!$E:$E,$B29,'Trans April'!$C:$C))</f>
        <v>0</v>
      </c>
      <c r="F29" s="214">
        <f t="shared" si="2"/>
        <v>500000</v>
      </c>
      <c r="G29" s="217"/>
      <c r="H29" s="267" t="s">
        <v>42</v>
      </c>
      <c r="I29" s="268"/>
      <c r="J29" s="213"/>
      <c r="K29" s="211">
        <f>IF(ISBLANK($H29), "", SUMIF('Trans April'!$J:$J,$H29,'Trans April'!$H:$H))</f>
        <v>0</v>
      </c>
      <c r="L29" s="214">
        <f t="shared" si="3"/>
        <v>0</v>
      </c>
      <c r="M29" s="209"/>
    </row>
    <row r="30" spans="1:13" ht="18" customHeight="1" x14ac:dyDescent="0.25">
      <c r="A30" s="188"/>
      <c r="B30" s="267" t="s">
        <v>24</v>
      </c>
      <c r="C30" s="268"/>
      <c r="D30" s="213">
        <v>600000</v>
      </c>
      <c r="E30" s="214">
        <f>IF(ISBLANK($B30), "", SUMIF('Trans April'!$E:$E,$B30,'Trans April'!$C:$C))</f>
        <v>0</v>
      </c>
      <c r="F30" s="214">
        <f t="shared" si="2"/>
        <v>600000</v>
      </c>
      <c r="G30" s="217"/>
      <c r="H30" s="267" t="s">
        <v>43</v>
      </c>
      <c r="I30" s="268"/>
      <c r="J30" s="213"/>
      <c r="K30" s="211">
        <f>IF(ISBLANK($H30), "", SUMIF('Trans April'!$J:$J,$H30,'Trans April'!$H:$H))</f>
        <v>0</v>
      </c>
      <c r="L30" s="214">
        <f t="shared" si="3"/>
        <v>0</v>
      </c>
      <c r="M30" s="188"/>
    </row>
    <row r="31" spans="1:13" ht="18" customHeight="1" x14ac:dyDescent="0.25">
      <c r="A31" s="188"/>
      <c r="B31" s="267" t="s">
        <v>44</v>
      </c>
      <c r="C31" s="268"/>
      <c r="D31" s="213">
        <v>5000000</v>
      </c>
      <c r="E31" s="214">
        <f>IF(ISBLANK($B31), "", SUMIF('Trans April'!$E:$E,$B31,'Trans April'!$C:$C))</f>
        <v>0</v>
      </c>
      <c r="F31" s="214">
        <f t="shared" si="2"/>
        <v>5000000</v>
      </c>
      <c r="G31" s="217"/>
      <c r="H31" s="267" t="s">
        <v>45</v>
      </c>
      <c r="I31" s="268"/>
      <c r="J31" s="213"/>
      <c r="K31" s="211">
        <f>IF(ISBLANK($H31), "", SUMIF('Trans April'!$J:$J,$H31,'Trans April'!$H:$H))</f>
        <v>0</v>
      </c>
      <c r="L31" s="214">
        <f t="shared" si="3"/>
        <v>0</v>
      </c>
      <c r="M31" s="188"/>
    </row>
    <row r="32" spans="1:13" ht="18" customHeight="1" x14ac:dyDescent="0.25">
      <c r="A32" s="188"/>
      <c r="B32" s="267" t="s">
        <v>46</v>
      </c>
      <c r="C32" s="268"/>
      <c r="D32" s="213">
        <v>4000000</v>
      </c>
      <c r="E32" s="214">
        <f>IF(ISBLANK($B32), "", SUMIF('Trans April'!$E:$E,$B32,'Trans April'!$C:$C))</f>
        <v>0</v>
      </c>
      <c r="F32" s="214">
        <f t="shared" si="2"/>
        <v>4000000</v>
      </c>
      <c r="G32" s="217"/>
      <c r="H32" s="267" t="s">
        <v>47</v>
      </c>
      <c r="I32" s="268"/>
      <c r="J32" s="213"/>
      <c r="K32" s="211">
        <f>IF(ISBLANK($H32), "", SUMIF('Trans April'!$J:$J,$H32,'Trans April'!$H:$H))</f>
        <v>0</v>
      </c>
      <c r="L32" s="214">
        <f t="shared" si="3"/>
        <v>0</v>
      </c>
      <c r="M32" s="188"/>
    </row>
    <row r="33" spans="1:13" ht="18" customHeight="1" x14ac:dyDescent="0.25">
      <c r="A33" s="188"/>
      <c r="B33" s="267" t="s">
        <v>48</v>
      </c>
      <c r="C33" s="268"/>
      <c r="D33" s="213">
        <v>1500000</v>
      </c>
      <c r="E33" s="214">
        <f>IF(ISBLANK($B33), "", SUMIF('Trans April'!$E:$E,$B33,'Trans April'!$C:$C))</f>
        <v>0</v>
      </c>
      <c r="F33" s="214">
        <f t="shared" si="2"/>
        <v>1500000</v>
      </c>
      <c r="G33" s="217"/>
      <c r="H33" s="267" t="s">
        <v>49</v>
      </c>
      <c r="I33" s="268"/>
      <c r="J33" s="218"/>
      <c r="K33" s="211">
        <f>IF(ISBLANK($H33), "", SUMIF('Trans April'!$J:$J,$H33,'Trans April'!$H:$H))</f>
        <v>0</v>
      </c>
      <c r="L33" s="214">
        <f t="shared" si="3"/>
        <v>0</v>
      </c>
      <c r="M33" s="188"/>
    </row>
    <row r="34" spans="1:13" ht="18" customHeight="1" x14ac:dyDescent="0.25">
      <c r="A34" s="188"/>
      <c r="B34" s="267" t="s">
        <v>50</v>
      </c>
      <c r="C34" s="268"/>
      <c r="D34" s="213">
        <v>500000</v>
      </c>
      <c r="E34" s="214">
        <f>IF(ISBLANK($B34), "", SUMIF('Trans April'!$E:$E,$B34,'Trans April'!$C:$C))</f>
        <v>0</v>
      </c>
      <c r="F34" s="214">
        <f t="shared" si="2"/>
        <v>500000</v>
      </c>
      <c r="G34" s="217"/>
      <c r="H34" s="267" t="s">
        <v>51</v>
      </c>
      <c r="I34" s="268"/>
      <c r="J34" s="218"/>
      <c r="K34" s="211">
        <f>IF(ISBLANK($H34), "", SUMIF('Trans April'!$J:$J,$H34,'Trans April'!$H:$H))</f>
        <v>0</v>
      </c>
      <c r="L34" s="214">
        <f t="shared" si="3"/>
        <v>0</v>
      </c>
      <c r="M34" s="188"/>
    </row>
    <row r="35" spans="1:13" ht="18" customHeight="1" x14ac:dyDescent="0.3">
      <c r="A35" s="188"/>
      <c r="B35" s="267" t="s">
        <v>52</v>
      </c>
      <c r="C35" s="268"/>
      <c r="D35" s="213">
        <v>500000</v>
      </c>
      <c r="E35" s="214">
        <f>IF(ISBLANK($B35), "", SUMIF('Trans April'!$E:$E,$B35,'Trans April'!$C:$C))</f>
        <v>0</v>
      </c>
      <c r="F35" s="214">
        <f t="shared" si="2"/>
        <v>500000</v>
      </c>
      <c r="G35" s="217"/>
      <c r="H35" s="293"/>
      <c r="I35" s="268"/>
      <c r="J35" s="219"/>
      <c r="K35" s="211" t="str">
        <f>IF(ISBLANK($H35), "", SUMIF('Trans April'!$J:$J,$H35,'Trans April'!$H:$H))</f>
        <v/>
      </c>
      <c r="L35" s="214" t="str">
        <f t="shared" si="3"/>
        <v/>
      </c>
      <c r="M35" s="188"/>
    </row>
    <row r="36" spans="1:13" ht="18" customHeight="1" x14ac:dyDescent="0.3">
      <c r="A36" s="188"/>
      <c r="B36" s="267" t="s">
        <v>53</v>
      </c>
      <c r="C36" s="268"/>
      <c r="D36" s="213">
        <v>500000</v>
      </c>
      <c r="E36" s="214">
        <f>IF(ISBLANK($B36), "", SUMIF('Trans April'!$E:$E,$B36,'Trans April'!$C:$C))</f>
        <v>0</v>
      </c>
      <c r="F36" s="214">
        <f t="shared" si="2"/>
        <v>500000</v>
      </c>
      <c r="G36" s="216"/>
      <c r="H36" s="293"/>
      <c r="I36" s="268"/>
      <c r="J36" s="219"/>
      <c r="K36" s="211" t="str">
        <f>IF(ISBLANK($H36), "", SUMIF('Trans April'!$J:$J,$H36,'Trans April'!$H:$H))</f>
        <v/>
      </c>
      <c r="L36" s="214" t="str">
        <f t="shared" si="3"/>
        <v/>
      </c>
      <c r="M36" s="188"/>
    </row>
    <row r="37" spans="1:13" ht="18" customHeight="1" x14ac:dyDescent="0.3">
      <c r="A37" s="188"/>
      <c r="B37" s="267" t="s">
        <v>54</v>
      </c>
      <c r="C37" s="268"/>
      <c r="D37" s="213">
        <v>500000</v>
      </c>
      <c r="E37" s="214">
        <f>IF(ISBLANK($B37), "", SUMIF('Trans April'!$E:$E,$B37,'Trans April'!$C:$C))</f>
        <v>0</v>
      </c>
      <c r="F37" s="214">
        <f t="shared" si="2"/>
        <v>500000</v>
      </c>
      <c r="G37" s="216"/>
      <c r="H37" s="293"/>
      <c r="I37" s="268"/>
      <c r="J37" s="219"/>
      <c r="K37" s="211" t="str">
        <f>IF(ISBLANK($H37), "", SUMIF('Trans April'!$J:$J,$H37,'Trans April'!$H:$H))</f>
        <v/>
      </c>
      <c r="L37" s="214" t="str">
        <f t="shared" si="3"/>
        <v/>
      </c>
      <c r="M37" s="188"/>
    </row>
    <row r="38" spans="1:13" ht="18" customHeight="1" x14ac:dyDescent="0.3">
      <c r="A38" s="188"/>
      <c r="B38" s="267" t="s">
        <v>55</v>
      </c>
      <c r="C38" s="268"/>
      <c r="D38" s="213">
        <v>200000</v>
      </c>
      <c r="E38" s="214">
        <f>IF(ISBLANK($B38), "", SUMIF('Trans April'!$E:$E,$B38,'Trans April'!$C:$C))</f>
        <v>0</v>
      </c>
      <c r="F38" s="214">
        <f t="shared" si="2"/>
        <v>200000</v>
      </c>
      <c r="G38" s="217"/>
      <c r="H38" s="293"/>
      <c r="I38" s="268"/>
      <c r="J38" s="219"/>
      <c r="K38" s="211" t="str">
        <f>IF(ISBLANK($H38), "", SUMIF('Trans April'!$J:$J,$H38,'Trans April'!$H:$H))</f>
        <v/>
      </c>
      <c r="L38" s="214" t="str">
        <f t="shared" si="3"/>
        <v/>
      </c>
      <c r="M38" s="188"/>
    </row>
    <row r="39" spans="1:13" ht="18" customHeight="1" x14ac:dyDescent="0.3">
      <c r="A39" s="188"/>
      <c r="B39" s="267" t="s">
        <v>56</v>
      </c>
      <c r="C39" s="268"/>
      <c r="D39" s="213">
        <v>150000</v>
      </c>
      <c r="E39" s="214">
        <f>IF(ISBLANK($B39), "", SUMIF('Trans April'!$E:$E,$B39,'Trans April'!$C:$C))</f>
        <v>0</v>
      </c>
      <c r="F39" s="214">
        <f t="shared" si="2"/>
        <v>150000</v>
      </c>
      <c r="G39" s="216"/>
      <c r="H39" s="293"/>
      <c r="I39" s="268"/>
      <c r="J39" s="219"/>
      <c r="K39" s="211" t="str">
        <f>IF(ISBLANK($H39), "", SUMIF('Trans April'!$J:$J,$H39,'Trans April'!$H:$H))</f>
        <v/>
      </c>
      <c r="L39" s="214" t="str">
        <f t="shared" si="3"/>
        <v/>
      </c>
      <c r="M39" s="188"/>
    </row>
    <row r="40" spans="1:13" ht="18" customHeight="1" x14ac:dyDescent="0.3">
      <c r="A40" s="188"/>
      <c r="B40" s="267" t="s">
        <v>57</v>
      </c>
      <c r="C40" s="268"/>
      <c r="D40" s="213">
        <v>1500000</v>
      </c>
      <c r="E40" s="214">
        <f>IF(ISBLANK($B40), "", SUMIF('Trans April'!$E:$E,$B40,'Trans April'!$C:$C))</f>
        <v>0</v>
      </c>
      <c r="F40" s="214">
        <f t="shared" si="2"/>
        <v>1500000</v>
      </c>
      <c r="G40" s="217"/>
      <c r="H40" s="293"/>
      <c r="I40" s="268"/>
      <c r="J40" s="219"/>
      <c r="K40" s="211" t="str">
        <f>IF(ISBLANK($H40), "", SUMIF('Trans April'!$J:$J,$H40,'Trans April'!$H:$H))</f>
        <v/>
      </c>
      <c r="L40" s="214" t="str">
        <f t="shared" si="3"/>
        <v/>
      </c>
      <c r="M40" s="188"/>
    </row>
    <row r="41" spans="1:13" ht="18" customHeight="1" x14ac:dyDescent="0.3">
      <c r="A41" s="188"/>
      <c r="B41" s="267" t="s">
        <v>58</v>
      </c>
      <c r="C41" s="268"/>
      <c r="D41" s="220">
        <v>0</v>
      </c>
      <c r="E41" s="214">
        <f>IF(ISBLANK($B41), "", SUMIF('Trans April'!$E:$E,$B41,'Trans April'!$C:$C))</f>
        <v>0</v>
      </c>
      <c r="F41" s="214">
        <f t="shared" si="2"/>
        <v>0</v>
      </c>
      <c r="G41" s="216"/>
      <c r="H41" s="293"/>
      <c r="I41" s="268"/>
      <c r="J41" s="219"/>
      <c r="K41" s="211" t="str">
        <f>IF(ISBLANK($H41), "", SUMIF('Trans April'!$J:$J,$H41,'Trans April'!$H:$H))</f>
        <v/>
      </c>
      <c r="L41" s="214" t="str">
        <f t="shared" si="3"/>
        <v/>
      </c>
      <c r="M41" s="188"/>
    </row>
    <row r="42" spans="1:13" ht="19.5" customHeight="1" x14ac:dyDescent="0.3">
      <c r="A42" s="188"/>
      <c r="B42" s="267" t="s">
        <v>59</v>
      </c>
      <c r="C42" s="268"/>
      <c r="D42" s="213">
        <v>0</v>
      </c>
      <c r="E42" s="214">
        <f>IF(ISBLANK($B42), "", SUMIF('Trans April'!$E:$E,$B42,'Trans April'!$C:$C))</f>
        <v>0</v>
      </c>
      <c r="F42" s="214">
        <f t="shared" si="2"/>
        <v>0</v>
      </c>
      <c r="G42" s="216"/>
      <c r="H42" s="293"/>
      <c r="I42" s="268"/>
      <c r="J42" s="219"/>
      <c r="K42" s="211" t="str">
        <f>IF(ISBLANK($H42), "", SUMIF('Trans April'!$J:$J,$H42,'Trans April'!$H:$H))</f>
        <v/>
      </c>
      <c r="L42" s="214" t="str">
        <f t="shared" si="3"/>
        <v/>
      </c>
      <c r="M42" s="188"/>
    </row>
    <row r="43" spans="1:13" ht="18" customHeight="1" x14ac:dyDescent="0.3">
      <c r="A43" s="188"/>
      <c r="B43" s="267"/>
      <c r="C43" s="268"/>
      <c r="D43" s="220"/>
      <c r="E43" s="211"/>
      <c r="F43" s="214" t="str">
        <f t="shared" si="2"/>
        <v/>
      </c>
      <c r="G43" s="216"/>
      <c r="H43" s="267"/>
      <c r="I43" s="268"/>
      <c r="J43" s="218"/>
      <c r="K43" s="211" t="str">
        <f>IF(ISBLANK($H43), "", SUMIF('Trans April'!$J:$J,$H43,'Trans April'!$H:$H))</f>
        <v/>
      </c>
      <c r="L43" s="214" t="str">
        <f t="shared" si="3"/>
        <v/>
      </c>
      <c r="M43" s="188"/>
    </row>
    <row r="44" spans="1:13" ht="18" customHeight="1" x14ac:dyDescent="0.25">
      <c r="A44" s="188"/>
      <c r="B44" s="267"/>
      <c r="C44" s="268"/>
      <c r="D44" s="218"/>
      <c r="E44" s="211" t="str">
        <f>IF(ISBLANK($B44), "", SUMIF('Trans April'!$E:$E,$B44,'Trans April'!$C:$C))</f>
        <v/>
      </c>
      <c r="F44" s="214"/>
      <c r="G44" s="216"/>
      <c r="H44" s="267"/>
      <c r="I44" s="268"/>
      <c r="J44" s="218"/>
      <c r="K44" s="211" t="str">
        <f>IF(ISBLANK($H44), "", SUMIF('Trans April'!$J:$J,$H44,'Trans April'!$H:$H))</f>
        <v/>
      </c>
      <c r="L44" s="214" t="str">
        <f t="shared" si="3"/>
        <v/>
      </c>
      <c r="M44" s="188"/>
    </row>
    <row r="45" spans="1:13" ht="18" customHeight="1" x14ac:dyDescent="0.25">
      <c r="A45" s="188"/>
      <c r="B45" s="221"/>
      <c r="C45" s="221"/>
      <c r="D45" s="222"/>
      <c r="E45" s="211"/>
      <c r="F45" s="214"/>
      <c r="G45" s="216"/>
      <c r="H45" s="221"/>
      <c r="I45" s="221"/>
      <c r="J45" s="222"/>
      <c r="K45" s="211"/>
      <c r="L45" s="214"/>
      <c r="M45" s="188"/>
    </row>
    <row r="46" spans="1:13" ht="18" customHeight="1" x14ac:dyDescent="0.25">
      <c r="A46" s="188"/>
      <c r="B46" s="221"/>
      <c r="C46" s="221"/>
      <c r="D46" s="222"/>
      <c r="E46" s="211"/>
      <c r="F46" s="214"/>
      <c r="G46" s="216"/>
      <c r="H46" s="221"/>
      <c r="I46" s="221"/>
      <c r="J46" s="222"/>
      <c r="K46" s="211"/>
      <c r="L46" s="214"/>
      <c r="M46" s="188"/>
    </row>
    <row r="47" spans="1:13" ht="18" customHeight="1" x14ac:dyDescent="0.25">
      <c r="A47" s="188"/>
      <c r="B47" s="221"/>
      <c r="C47" s="221"/>
      <c r="D47" s="222"/>
      <c r="E47" s="211"/>
      <c r="F47" s="214"/>
      <c r="G47" s="216"/>
      <c r="H47" s="221"/>
      <c r="I47" s="221"/>
      <c r="J47" s="222"/>
      <c r="K47" s="211"/>
      <c r="L47" s="214"/>
      <c r="M47" s="188"/>
    </row>
    <row r="48" spans="1:13" ht="18" customHeight="1" x14ac:dyDescent="0.25">
      <c r="A48" s="188"/>
      <c r="B48" s="221"/>
      <c r="C48" s="221"/>
      <c r="D48" s="222"/>
      <c r="E48" s="211"/>
      <c r="F48" s="214"/>
      <c r="G48" s="216"/>
      <c r="H48" s="221"/>
      <c r="I48" s="221"/>
      <c r="J48" s="222"/>
      <c r="K48" s="211"/>
      <c r="L48" s="214"/>
      <c r="M48" s="188"/>
    </row>
    <row r="49" spans="1:13" ht="18" customHeight="1" x14ac:dyDescent="0.25">
      <c r="A49" s="188"/>
      <c r="B49" s="221"/>
      <c r="C49" s="221"/>
      <c r="D49" s="222"/>
      <c r="E49" s="211"/>
      <c r="F49" s="214"/>
      <c r="G49" s="216"/>
      <c r="H49" s="221"/>
      <c r="I49" s="221"/>
      <c r="J49" s="222"/>
      <c r="K49" s="211"/>
      <c r="L49" s="214"/>
      <c r="M49" s="188"/>
    </row>
    <row r="50" spans="1:13" ht="18" customHeight="1" x14ac:dyDescent="0.25">
      <c r="A50" s="188"/>
      <c r="B50" s="221"/>
      <c r="C50" s="221"/>
      <c r="D50" s="222"/>
      <c r="E50" s="211"/>
      <c r="F50" s="214"/>
      <c r="G50" s="216"/>
      <c r="H50" s="221"/>
      <c r="I50" s="221"/>
      <c r="J50" s="222"/>
      <c r="K50" s="211"/>
      <c r="L50" s="214"/>
      <c r="M50" s="188"/>
    </row>
    <row r="51" spans="1:13" ht="18" customHeight="1" x14ac:dyDescent="0.25">
      <c r="A51" s="188"/>
      <c r="B51" s="221"/>
      <c r="C51" s="221"/>
      <c r="D51" s="222"/>
      <c r="E51" s="211"/>
      <c r="F51" s="214"/>
      <c r="G51" s="216"/>
      <c r="H51" s="221"/>
      <c r="I51" s="221"/>
      <c r="J51" s="222"/>
      <c r="K51" s="211"/>
      <c r="L51" s="214"/>
      <c r="M51" s="188"/>
    </row>
    <row r="52" spans="1:13" ht="18" customHeight="1" x14ac:dyDescent="0.25">
      <c r="A52" s="188"/>
      <c r="B52" s="221"/>
      <c r="C52" s="221"/>
      <c r="D52" s="222"/>
      <c r="E52" s="211"/>
      <c r="F52" s="214"/>
      <c r="G52" s="216"/>
      <c r="H52" s="221"/>
      <c r="I52" s="221"/>
      <c r="J52" s="222"/>
      <c r="K52" s="211"/>
      <c r="L52" s="214"/>
      <c r="M52" s="188"/>
    </row>
    <row r="53" spans="1:13" ht="18" customHeight="1" x14ac:dyDescent="0.25">
      <c r="A53" s="188"/>
      <c r="B53" s="221"/>
      <c r="C53" s="221"/>
      <c r="D53" s="222"/>
      <c r="E53" s="211"/>
      <c r="F53" s="214"/>
      <c r="G53" s="216"/>
      <c r="H53" s="221"/>
      <c r="I53" s="221"/>
      <c r="J53" s="222"/>
      <c r="K53" s="211"/>
      <c r="L53" s="214"/>
      <c r="M53" s="188"/>
    </row>
    <row r="54" spans="1:13" ht="18" customHeight="1" x14ac:dyDescent="0.25">
      <c r="A54" s="188"/>
      <c r="B54" s="221"/>
      <c r="C54" s="221"/>
      <c r="D54" s="222"/>
      <c r="E54" s="211"/>
      <c r="F54" s="214"/>
      <c r="G54" s="216"/>
      <c r="H54" s="221"/>
      <c r="I54" s="221"/>
      <c r="J54" s="222"/>
      <c r="K54" s="211"/>
      <c r="L54" s="214"/>
      <c r="M54" s="188"/>
    </row>
    <row r="55" spans="1:13" ht="18" customHeight="1" x14ac:dyDescent="0.25">
      <c r="A55" s="188"/>
      <c r="B55" s="221"/>
      <c r="C55" s="221"/>
      <c r="D55" s="222"/>
      <c r="E55" s="211"/>
      <c r="F55" s="214"/>
      <c r="G55" s="216"/>
      <c r="H55" s="221"/>
      <c r="I55" s="221"/>
      <c r="J55" s="222"/>
      <c r="K55" s="211"/>
      <c r="L55" s="214"/>
      <c r="M55" s="188"/>
    </row>
    <row r="56" spans="1:13" ht="18" customHeight="1" x14ac:dyDescent="0.25">
      <c r="A56" s="188"/>
      <c r="B56" s="221"/>
      <c r="C56" s="221"/>
      <c r="D56" s="222"/>
      <c r="E56" s="211"/>
      <c r="F56" s="214"/>
      <c r="G56" s="216"/>
      <c r="H56" s="221"/>
      <c r="I56" s="221"/>
      <c r="J56" s="222"/>
      <c r="K56" s="211"/>
      <c r="L56" s="214"/>
      <c r="M56" s="188"/>
    </row>
    <row r="57" spans="1:13" ht="18" customHeight="1" x14ac:dyDescent="0.25">
      <c r="A57" s="188"/>
      <c r="B57" s="221"/>
      <c r="C57" s="221"/>
      <c r="D57" s="222"/>
      <c r="E57" s="211"/>
      <c r="F57" s="214"/>
      <c r="G57" s="216"/>
      <c r="H57" s="221"/>
      <c r="I57" s="221"/>
      <c r="J57" s="222"/>
      <c r="K57" s="211"/>
      <c r="L57" s="214"/>
      <c r="M57" s="188"/>
    </row>
    <row r="58" spans="1:13" ht="18" customHeight="1" x14ac:dyDescent="0.25">
      <c r="A58" s="188"/>
      <c r="B58" s="221"/>
      <c r="C58" s="221"/>
      <c r="D58" s="222"/>
      <c r="E58" s="211"/>
      <c r="F58" s="214"/>
      <c r="G58" s="216"/>
      <c r="H58" s="221"/>
      <c r="I58" s="221"/>
      <c r="J58" s="222"/>
      <c r="K58" s="211"/>
      <c r="L58" s="214"/>
      <c r="M58" s="188"/>
    </row>
    <row r="59" spans="1:13" ht="18" customHeight="1" x14ac:dyDescent="0.25">
      <c r="A59" s="188"/>
      <c r="B59" s="221"/>
      <c r="C59" s="221"/>
      <c r="D59" s="222"/>
      <c r="E59" s="211"/>
      <c r="F59" s="214"/>
      <c r="G59" s="216"/>
      <c r="H59" s="221"/>
      <c r="I59" s="221"/>
      <c r="J59" s="222"/>
      <c r="K59" s="211"/>
      <c r="L59" s="214"/>
      <c r="M59" s="188"/>
    </row>
    <row r="60" spans="1:13" ht="18" customHeight="1" x14ac:dyDescent="0.25">
      <c r="A60" s="188"/>
      <c r="B60" s="221"/>
      <c r="C60" s="221"/>
      <c r="D60" s="222"/>
      <c r="E60" s="211"/>
      <c r="F60" s="214"/>
      <c r="G60" s="216"/>
      <c r="H60" s="221"/>
      <c r="I60" s="221"/>
      <c r="J60" s="222"/>
      <c r="K60" s="211"/>
      <c r="L60" s="214"/>
      <c r="M60" s="188"/>
    </row>
    <row r="61" spans="1:13" ht="18" customHeight="1" x14ac:dyDescent="0.25">
      <c r="A61" s="188"/>
      <c r="B61" s="221"/>
      <c r="C61" s="221"/>
      <c r="D61" s="222"/>
      <c r="E61" s="211"/>
      <c r="F61" s="214"/>
      <c r="G61" s="216"/>
      <c r="H61" s="221"/>
      <c r="I61" s="221"/>
      <c r="J61" s="222"/>
      <c r="K61" s="211"/>
      <c r="L61" s="214"/>
      <c r="M61" s="188"/>
    </row>
    <row r="62" spans="1:13" ht="18" customHeight="1" x14ac:dyDescent="0.25">
      <c r="A62" s="188"/>
      <c r="B62" s="221"/>
      <c r="C62" s="221"/>
      <c r="D62" s="222"/>
      <c r="E62" s="211"/>
      <c r="F62" s="214"/>
      <c r="G62" s="216"/>
      <c r="H62" s="221"/>
      <c r="I62" s="221"/>
      <c r="J62" s="222"/>
      <c r="K62" s="211"/>
      <c r="L62" s="214"/>
      <c r="M62" s="188"/>
    </row>
    <row r="63" spans="1:13" ht="18" customHeight="1" x14ac:dyDescent="0.25">
      <c r="A63" s="188"/>
      <c r="B63" s="221"/>
      <c r="C63" s="221"/>
      <c r="D63" s="222"/>
      <c r="E63" s="211"/>
      <c r="F63" s="214"/>
      <c r="G63" s="216"/>
      <c r="H63" s="221"/>
      <c r="I63" s="221"/>
      <c r="J63" s="222"/>
      <c r="K63" s="211"/>
      <c r="L63" s="214"/>
      <c r="M63" s="188"/>
    </row>
    <row r="64" spans="1:13" ht="18" customHeight="1" x14ac:dyDescent="0.25">
      <c r="A64" s="188"/>
      <c r="B64" s="221"/>
      <c r="C64" s="221"/>
      <c r="D64" s="222"/>
      <c r="E64" s="211"/>
      <c r="F64" s="214"/>
      <c r="G64" s="216"/>
      <c r="H64" s="221"/>
      <c r="I64" s="221"/>
      <c r="J64" s="222"/>
      <c r="K64" s="211"/>
      <c r="L64" s="214"/>
      <c r="M64" s="188"/>
    </row>
    <row r="65" spans="1:13" ht="18" customHeight="1" x14ac:dyDescent="0.25">
      <c r="A65" s="188"/>
      <c r="B65" s="221"/>
      <c r="C65" s="221"/>
      <c r="D65" s="222"/>
      <c r="E65" s="211"/>
      <c r="F65" s="214"/>
      <c r="G65" s="216"/>
      <c r="H65" s="221"/>
      <c r="I65" s="221"/>
      <c r="J65" s="222"/>
      <c r="K65" s="211"/>
      <c r="L65" s="214"/>
      <c r="M65" s="188"/>
    </row>
    <row r="66" spans="1:13" ht="18" customHeight="1" x14ac:dyDescent="0.25">
      <c r="A66" s="188"/>
      <c r="B66" s="221"/>
      <c r="C66" s="221"/>
      <c r="D66" s="222"/>
      <c r="E66" s="211"/>
      <c r="F66" s="214"/>
      <c r="G66" s="216"/>
      <c r="H66" s="221"/>
      <c r="I66" s="221"/>
      <c r="J66" s="222"/>
      <c r="K66" s="211"/>
      <c r="L66" s="214"/>
      <c r="M66" s="188"/>
    </row>
    <row r="67" spans="1:13" ht="18" customHeight="1" x14ac:dyDescent="0.25">
      <c r="A67" s="188"/>
      <c r="B67" s="221"/>
      <c r="C67" s="221"/>
      <c r="D67" s="222"/>
      <c r="E67" s="211"/>
      <c r="F67" s="214"/>
      <c r="G67" s="216"/>
      <c r="H67" s="221"/>
      <c r="I67" s="221"/>
      <c r="J67" s="222"/>
      <c r="K67" s="211"/>
      <c r="L67" s="214"/>
      <c r="M67" s="188"/>
    </row>
    <row r="68" spans="1:13" ht="18" customHeight="1" x14ac:dyDescent="0.25">
      <c r="A68" s="188"/>
      <c r="B68" s="221"/>
      <c r="C68" s="221"/>
      <c r="D68" s="222"/>
      <c r="E68" s="211"/>
      <c r="F68" s="214"/>
      <c r="G68" s="216"/>
      <c r="H68" s="221"/>
      <c r="I68" s="221"/>
      <c r="J68" s="222"/>
      <c r="K68" s="211"/>
      <c r="L68" s="214"/>
      <c r="M68" s="188"/>
    </row>
    <row r="69" spans="1:13" ht="18" customHeight="1" x14ac:dyDescent="0.25">
      <c r="A69" s="188"/>
      <c r="B69" s="221"/>
      <c r="C69" s="221"/>
      <c r="D69" s="222"/>
      <c r="E69" s="211"/>
      <c r="F69" s="214"/>
      <c r="G69" s="216"/>
      <c r="H69" s="221"/>
      <c r="I69" s="221"/>
      <c r="J69" s="222"/>
      <c r="K69" s="211"/>
      <c r="L69" s="214"/>
      <c r="M69" s="188"/>
    </row>
    <row r="70" spans="1:13" ht="18" customHeight="1" x14ac:dyDescent="0.25">
      <c r="A70" s="188"/>
      <c r="B70" s="221"/>
      <c r="C70" s="221"/>
      <c r="D70" s="222"/>
      <c r="E70" s="211"/>
      <c r="F70" s="214"/>
      <c r="G70" s="216"/>
      <c r="H70" s="221"/>
      <c r="I70" s="221"/>
      <c r="J70" s="222"/>
      <c r="K70" s="211"/>
      <c r="L70" s="214"/>
      <c r="M70" s="188"/>
    </row>
    <row r="71" spans="1:13" ht="18" customHeight="1" x14ac:dyDescent="0.25">
      <c r="A71" s="188"/>
      <c r="B71" s="221"/>
      <c r="C71" s="221"/>
      <c r="D71" s="222"/>
      <c r="E71" s="211"/>
      <c r="F71" s="214"/>
      <c r="G71" s="216"/>
      <c r="H71" s="221"/>
      <c r="I71" s="221"/>
      <c r="J71" s="222"/>
      <c r="K71" s="211"/>
      <c r="L71" s="214"/>
      <c r="M71" s="188"/>
    </row>
    <row r="72" spans="1:13" ht="18" customHeight="1" x14ac:dyDescent="0.25">
      <c r="A72" s="188"/>
      <c r="B72" s="221"/>
      <c r="C72" s="221"/>
      <c r="D72" s="222"/>
      <c r="E72" s="211"/>
      <c r="F72" s="214"/>
      <c r="G72" s="216"/>
      <c r="H72" s="221"/>
      <c r="I72" s="221"/>
      <c r="J72" s="222"/>
      <c r="K72" s="211"/>
      <c r="L72" s="214"/>
      <c r="M72" s="188"/>
    </row>
    <row r="73" spans="1:13" ht="18" customHeight="1" x14ac:dyDescent="0.25">
      <c r="A73" s="188"/>
      <c r="B73" s="221"/>
      <c r="C73" s="221"/>
      <c r="D73" s="222"/>
      <c r="E73" s="211"/>
      <c r="F73" s="214"/>
      <c r="G73" s="216"/>
      <c r="H73" s="221"/>
      <c r="I73" s="221"/>
      <c r="J73" s="222"/>
      <c r="K73" s="211"/>
      <c r="L73" s="214"/>
      <c r="M73" s="188"/>
    </row>
    <row r="74" spans="1:13" ht="18" customHeight="1" x14ac:dyDescent="0.25">
      <c r="A74" s="188"/>
      <c r="B74" s="221"/>
      <c r="C74" s="221"/>
      <c r="D74" s="222"/>
      <c r="E74" s="211"/>
      <c r="F74" s="214"/>
      <c r="G74" s="216"/>
      <c r="H74" s="221"/>
      <c r="I74" s="221"/>
      <c r="J74" s="222"/>
      <c r="K74" s="211"/>
      <c r="L74" s="214"/>
      <c r="M74" s="188"/>
    </row>
    <row r="75" spans="1:13" ht="18" customHeight="1" x14ac:dyDescent="0.25">
      <c r="A75" s="188"/>
      <c r="B75" s="221"/>
      <c r="C75" s="221"/>
      <c r="D75" s="222"/>
      <c r="E75" s="211"/>
      <c r="F75" s="214"/>
      <c r="G75" s="216"/>
      <c r="H75" s="221"/>
      <c r="I75" s="221"/>
      <c r="J75" s="222"/>
      <c r="K75" s="211"/>
      <c r="L75" s="214"/>
      <c r="M75" s="188"/>
    </row>
    <row r="76" spans="1:13" ht="18" customHeight="1" x14ac:dyDescent="0.25">
      <c r="A76" s="188"/>
      <c r="B76" s="221"/>
      <c r="C76" s="221"/>
      <c r="D76" s="222"/>
      <c r="E76" s="211"/>
      <c r="F76" s="214"/>
      <c r="G76" s="216"/>
      <c r="H76" s="221"/>
      <c r="I76" s="221"/>
      <c r="J76" s="222"/>
      <c r="K76" s="211"/>
      <c r="L76" s="214"/>
      <c r="M76" s="188"/>
    </row>
    <row r="77" spans="1:13" ht="18" customHeight="1" x14ac:dyDescent="0.25">
      <c r="A77" s="188"/>
      <c r="B77" s="221"/>
      <c r="C77" s="221"/>
      <c r="D77" s="222"/>
      <c r="E77" s="211"/>
      <c r="F77" s="214"/>
      <c r="G77" s="216"/>
      <c r="H77" s="221"/>
      <c r="I77" s="221"/>
      <c r="J77" s="222"/>
      <c r="K77" s="211"/>
      <c r="L77" s="214"/>
      <c r="M77" s="188"/>
    </row>
    <row r="78" spans="1:13" ht="18" customHeight="1" x14ac:dyDescent="0.25">
      <c r="A78" s="188"/>
      <c r="B78" s="221"/>
      <c r="C78" s="221"/>
      <c r="D78" s="222"/>
      <c r="E78" s="211"/>
      <c r="F78" s="214"/>
      <c r="G78" s="216"/>
      <c r="H78" s="221"/>
      <c r="I78" s="221"/>
      <c r="J78" s="222"/>
      <c r="K78" s="211"/>
      <c r="L78" s="214"/>
      <c r="M78" s="188"/>
    </row>
    <row r="79" spans="1:13" ht="18" customHeight="1" x14ac:dyDescent="0.25">
      <c r="A79" s="188"/>
      <c r="B79" s="221"/>
      <c r="C79" s="221"/>
      <c r="D79" s="222"/>
      <c r="E79" s="211"/>
      <c r="F79" s="214"/>
      <c r="G79" s="216"/>
      <c r="H79" s="221"/>
      <c r="I79" s="221"/>
      <c r="J79" s="222"/>
      <c r="K79" s="211"/>
      <c r="L79" s="214"/>
      <c r="M79" s="188"/>
    </row>
    <row r="80" spans="1:13" ht="18" customHeight="1" x14ac:dyDescent="0.25">
      <c r="A80" s="188"/>
      <c r="B80" s="221"/>
      <c r="C80" s="221"/>
      <c r="D80" s="222"/>
      <c r="E80" s="211"/>
      <c r="F80" s="214"/>
      <c r="G80" s="216"/>
      <c r="H80" s="221"/>
      <c r="I80" s="221"/>
      <c r="J80" s="222"/>
      <c r="K80" s="211"/>
      <c r="L80" s="214"/>
      <c r="M80" s="188"/>
    </row>
    <row r="81" spans="1:13" ht="18" customHeight="1" x14ac:dyDescent="0.25">
      <c r="A81" s="188"/>
      <c r="B81" s="221"/>
      <c r="C81" s="221"/>
      <c r="D81" s="222"/>
      <c r="E81" s="211"/>
      <c r="F81" s="214"/>
      <c r="G81" s="216"/>
      <c r="H81" s="221"/>
      <c r="I81" s="221"/>
      <c r="J81" s="222"/>
      <c r="K81" s="211"/>
      <c r="L81" s="214"/>
      <c r="M81" s="188"/>
    </row>
    <row r="82" spans="1:13" ht="18" customHeight="1" x14ac:dyDescent="0.25">
      <c r="A82" s="188"/>
      <c r="B82" s="221"/>
      <c r="C82" s="221"/>
      <c r="D82" s="222"/>
      <c r="E82" s="211"/>
      <c r="F82" s="214"/>
      <c r="G82" s="216"/>
      <c r="H82" s="221"/>
      <c r="I82" s="221"/>
      <c r="J82" s="222"/>
      <c r="K82" s="211"/>
      <c r="L82" s="214"/>
      <c r="M82" s="188"/>
    </row>
    <row r="83" spans="1:13" ht="18" customHeight="1" x14ac:dyDescent="0.25">
      <c r="A83" s="188"/>
      <c r="B83" s="221"/>
      <c r="C83" s="221"/>
      <c r="D83" s="222"/>
      <c r="E83" s="211"/>
      <c r="F83" s="214"/>
      <c r="G83" s="216"/>
      <c r="H83" s="221"/>
      <c r="I83" s="221"/>
      <c r="J83" s="222"/>
      <c r="K83" s="211"/>
      <c r="L83" s="214"/>
      <c r="M83" s="188"/>
    </row>
    <row r="84" spans="1:13" ht="18" customHeight="1" x14ac:dyDescent="0.25">
      <c r="A84" s="188"/>
      <c r="B84" s="221"/>
      <c r="C84" s="221"/>
      <c r="D84" s="222"/>
      <c r="E84" s="211"/>
      <c r="F84" s="214"/>
      <c r="G84" s="216"/>
      <c r="H84" s="221"/>
      <c r="I84" s="221"/>
      <c r="J84" s="222"/>
      <c r="K84" s="211"/>
      <c r="L84" s="214"/>
      <c r="M84" s="188"/>
    </row>
    <row r="85" spans="1:13" ht="18" customHeight="1" x14ac:dyDescent="0.25">
      <c r="A85" s="188"/>
      <c r="B85" s="221"/>
      <c r="C85" s="221"/>
      <c r="D85" s="222"/>
      <c r="E85" s="211"/>
      <c r="F85" s="214"/>
      <c r="G85" s="216"/>
      <c r="H85" s="221"/>
      <c r="I85" s="221"/>
      <c r="J85" s="222"/>
      <c r="K85" s="211"/>
      <c r="L85" s="214"/>
      <c r="M85" s="188"/>
    </row>
    <row r="86" spans="1:13" ht="18" customHeight="1" x14ac:dyDescent="0.25">
      <c r="A86" s="188"/>
      <c r="B86" s="221"/>
      <c r="C86" s="221"/>
      <c r="D86" s="222"/>
      <c r="E86" s="211"/>
      <c r="F86" s="214"/>
      <c r="G86" s="216"/>
      <c r="H86" s="221"/>
      <c r="I86" s="221"/>
      <c r="J86" s="222"/>
      <c r="K86" s="211"/>
      <c r="L86" s="214"/>
      <c r="M86" s="188"/>
    </row>
    <row r="87" spans="1:13" ht="18" customHeight="1" x14ac:dyDescent="0.25">
      <c r="A87" s="188"/>
      <c r="B87" s="221"/>
      <c r="C87" s="221"/>
      <c r="D87" s="222"/>
      <c r="E87" s="211"/>
      <c r="F87" s="214"/>
      <c r="G87" s="216"/>
      <c r="H87" s="221"/>
      <c r="I87" s="221"/>
      <c r="J87" s="222"/>
      <c r="K87" s="211"/>
      <c r="L87" s="214"/>
      <c r="M87" s="188"/>
    </row>
    <row r="88" spans="1:13" ht="18" customHeight="1" x14ac:dyDescent="0.25">
      <c r="A88" s="188"/>
      <c r="B88" s="221"/>
      <c r="C88" s="221"/>
      <c r="D88" s="222"/>
      <c r="E88" s="211"/>
      <c r="F88" s="214"/>
      <c r="G88" s="216"/>
      <c r="H88" s="221"/>
      <c r="I88" s="221"/>
      <c r="J88" s="222"/>
      <c r="K88" s="211"/>
      <c r="L88" s="214"/>
      <c r="M88" s="188"/>
    </row>
    <row r="89" spans="1:13" ht="18" customHeight="1" x14ac:dyDescent="0.25">
      <c r="A89" s="188"/>
      <c r="B89" s="221"/>
      <c r="C89" s="221"/>
      <c r="D89" s="222"/>
      <c r="E89" s="211"/>
      <c r="F89" s="214"/>
      <c r="G89" s="216"/>
      <c r="H89" s="221"/>
      <c r="I89" s="221"/>
      <c r="J89" s="222"/>
      <c r="K89" s="211"/>
      <c r="L89" s="214"/>
      <c r="M89" s="188"/>
    </row>
    <row r="90" spans="1:13" ht="18" customHeight="1" x14ac:dyDescent="0.25">
      <c r="A90" s="188"/>
      <c r="B90" s="221"/>
      <c r="C90" s="221"/>
      <c r="D90" s="222"/>
      <c r="E90" s="211"/>
      <c r="F90" s="214"/>
      <c r="G90" s="216"/>
      <c r="H90" s="221"/>
      <c r="I90" s="221"/>
      <c r="J90" s="222"/>
      <c r="K90" s="211"/>
      <c r="L90" s="214"/>
      <c r="M90" s="188"/>
    </row>
    <row r="91" spans="1:13" ht="18" customHeight="1" x14ac:dyDescent="0.25">
      <c r="A91" s="188"/>
      <c r="B91" s="221"/>
      <c r="C91" s="221"/>
      <c r="D91" s="222"/>
      <c r="E91" s="211"/>
      <c r="F91" s="214"/>
      <c r="G91" s="216"/>
      <c r="H91" s="221"/>
      <c r="I91" s="221"/>
      <c r="J91" s="222"/>
      <c r="K91" s="211"/>
      <c r="L91" s="214"/>
      <c r="M91" s="188"/>
    </row>
    <row r="92" spans="1:13" ht="18" customHeight="1" x14ac:dyDescent="0.25">
      <c r="A92" s="188"/>
      <c r="B92" s="221"/>
      <c r="C92" s="221"/>
      <c r="D92" s="222"/>
      <c r="E92" s="211"/>
      <c r="F92" s="214"/>
      <c r="G92" s="216"/>
      <c r="H92" s="221"/>
      <c r="I92" s="221"/>
      <c r="J92" s="222"/>
      <c r="K92" s="211"/>
      <c r="L92" s="214"/>
      <c r="M92" s="188"/>
    </row>
    <row r="93" spans="1:13" ht="18" customHeight="1" x14ac:dyDescent="0.25">
      <c r="A93" s="188"/>
      <c r="B93" s="221"/>
      <c r="C93" s="221"/>
      <c r="D93" s="222"/>
      <c r="E93" s="211"/>
      <c r="F93" s="214"/>
      <c r="G93" s="216"/>
      <c r="H93" s="221"/>
      <c r="I93" s="221"/>
      <c r="J93" s="222"/>
      <c r="K93" s="211"/>
      <c r="L93" s="214"/>
      <c r="M93" s="188"/>
    </row>
    <row r="94" spans="1:13" ht="18" customHeight="1" x14ac:dyDescent="0.25">
      <c r="A94" s="188"/>
      <c r="B94" s="221"/>
      <c r="C94" s="221"/>
      <c r="D94" s="222"/>
      <c r="E94" s="211"/>
      <c r="F94" s="214"/>
      <c r="G94" s="216"/>
      <c r="H94" s="221"/>
      <c r="I94" s="221"/>
      <c r="J94" s="222"/>
      <c r="K94" s="211"/>
      <c r="L94" s="214"/>
      <c r="M94" s="188"/>
    </row>
    <row r="95" spans="1:13" ht="18" customHeight="1" x14ac:dyDescent="0.25">
      <c r="A95" s="188"/>
      <c r="B95" s="221"/>
      <c r="C95" s="221"/>
      <c r="D95" s="222"/>
      <c r="E95" s="211"/>
      <c r="F95" s="214"/>
      <c r="G95" s="216"/>
      <c r="H95" s="221"/>
      <c r="I95" s="221"/>
      <c r="J95" s="222"/>
      <c r="K95" s="211"/>
      <c r="L95" s="214"/>
      <c r="M95" s="188"/>
    </row>
    <row r="96" spans="1:13" ht="18" customHeight="1" x14ac:dyDescent="0.25">
      <c r="A96" s="188"/>
      <c r="B96" s="221"/>
      <c r="C96" s="221"/>
      <c r="D96" s="222"/>
      <c r="E96" s="211"/>
      <c r="F96" s="214"/>
      <c r="G96" s="216"/>
      <c r="H96" s="221"/>
      <c r="I96" s="221"/>
      <c r="J96" s="222"/>
      <c r="K96" s="211"/>
      <c r="L96" s="214"/>
      <c r="M96" s="188"/>
    </row>
    <row r="97" spans="1:13" ht="18" customHeight="1" x14ac:dyDescent="0.25">
      <c r="A97" s="188"/>
      <c r="B97" s="221"/>
      <c r="C97" s="221"/>
      <c r="D97" s="222"/>
      <c r="E97" s="211"/>
      <c r="F97" s="214"/>
      <c r="G97" s="216"/>
      <c r="H97" s="221"/>
      <c r="I97" s="221"/>
      <c r="J97" s="222"/>
      <c r="K97" s="211"/>
      <c r="L97" s="214"/>
      <c r="M97" s="188"/>
    </row>
    <row r="98" spans="1:13" ht="18" customHeight="1" x14ac:dyDescent="0.25">
      <c r="A98" s="188"/>
      <c r="B98" s="221"/>
      <c r="C98" s="221"/>
      <c r="D98" s="222"/>
      <c r="E98" s="211"/>
      <c r="F98" s="214"/>
      <c r="G98" s="216"/>
      <c r="H98" s="221"/>
      <c r="I98" s="221"/>
      <c r="J98" s="222"/>
      <c r="K98" s="211"/>
      <c r="L98" s="214"/>
      <c r="M98" s="188"/>
    </row>
    <row r="99" spans="1:13" ht="18" customHeight="1" x14ac:dyDescent="0.25">
      <c r="A99" s="188"/>
      <c r="B99" s="221"/>
      <c r="C99" s="221"/>
      <c r="D99" s="222"/>
      <c r="E99" s="211"/>
      <c r="F99" s="214"/>
      <c r="G99" s="216"/>
      <c r="H99" s="221"/>
      <c r="I99" s="221"/>
      <c r="J99" s="222"/>
      <c r="K99" s="211"/>
      <c r="L99" s="214"/>
      <c r="M99" s="188"/>
    </row>
    <row r="100" spans="1:13" ht="18" customHeight="1" x14ac:dyDescent="0.25">
      <c r="A100" s="188"/>
      <c r="B100" s="221"/>
      <c r="C100" s="221"/>
      <c r="D100" s="222"/>
      <c r="E100" s="211"/>
      <c r="F100" s="214"/>
      <c r="G100" s="216"/>
      <c r="H100" s="221"/>
      <c r="I100" s="221"/>
      <c r="J100" s="222"/>
      <c r="K100" s="211"/>
      <c r="L100" s="214"/>
      <c r="M100" s="188"/>
    </row>
    <row r="101" spans="1:13" ht="18" customHeight="1" x14ac:dyDescent="0.25">
      <c r="A101" s="188"/>
      <c r="B101" s="221"/>
      <c r="C101" s="221"/>
      <c r="D101" s="222"/>
      <c r="E101" s="211"/>
      <c r="F101" s="214"/>
      <c r="G101" s="216"/>
      <c r="H101" s="221"/>
      <c r="I101" s="221"/>
      <c r="J101" s="222"/>
      <c r="K101" s="211"/>
      <c r="L101" s="214"/>
      <c r="M101" s="188"/>
    </row>
    <row r="102" spans="1:13" ht="18" customHeight="1" x14ac:dyDescent="0.25">
      <c r="A102" s="188"/>
      <c r="B102" s="221"/>
      <c r="C102" s="221"/>
      <c r="D102" s="222"/>
      <c r="E102" s="211"/>
      <c r="F102" s="214"/>
      <c r="G102" s="216"/>
      <c r="H102" s="221"/>
      <c r="I102" s="221"/>
      <c r="J102" s="222"/>
      <c r="K102" s="211"/>
      <c r="L102" s="214"/>
      <c r="M102" s="188"/>
    </row>
    <row r="103" spans="1:13" ht="18" customHeight="1" x14ac:dyDescent="0.25">
      <c r="A103" s="188"/>
      <c r="B103" s="221"/>
      <c r="C103" s="221"/>
      <c r="D103" s="222"/>
      <c r="E103" s="211"/>
      <c r="F103" s="214"/>
      <c r="G103" s="216"/>
      <c r="H103" s="221"/>
      <c r="I103" s="221"/>
      <c r="J103" s="222"/>
      <c r="K103" s="211"/>
      <c r="L103" s="214"/>
      <c r="M103" s="188"/>
    </row>
    <row r="104" spans="1:13" ht="18" customHeight="1" x14ac:dyDescent="0.25">
      <c r="A104" s="188"/>
      <c r="B104" s="221"/>
      <c r="C104" s="221"/>
      <c r="D104" s="222"/>
      <c r="E104" s="211"/>
      <c r="F104" s="214"/>
      <c r="G104" s="216"/>
      <c r="H104" s="221"/>
      <c r="I104" s="221"/>
      <c r="J104" s="222"/>
      <c r="K104" s="211"/>
      <c r="L104" s="214"/>
      <c r="M104" s="188"/>
    </row>
    <row r="105" spans="1:13" ht="18" customHeight="1" x14ac:dyDescent="0.25">
      <c r="A105" s="188"/>
      <c r="B105" s="221"/>
      <c r="C105" s="221"/>
      <c r="D105" s="222"/>
      <c r="E105" s="211"/>
      <c r="F105" s="214"/>
      <c r="G105" s="216"/>
      <c r="H105" s="221"/>
      <c r="I105" s="221"/>
      <c r="J105" s="222"/>
      <c r="K105" s="211"/>
      <c r="L105" s="214"/>
      <c r="M105" s="188"/>
    </row>
    <row r="106" spans="1:13" ht="18" customHeight="1" x14ac:dyDescent="0.25">
      <c r="A106" s="188"/>
      <c r="B106" s="221"/>
      <c r="C106" s="221"/>
      <c r="D106" s="222"/>
      <c r="E106" s="211"/>
      <c r="F106" s="214"/>
      <c r="G106" s="216"/>
      <c r="H106" s="221"/>
      <c r="I106" s="221"/>
      <c r="J106" s="222"/>
      <c r="K106" s="211"/>
      <c r="L106" s="214"/>
      <c r="M106" s="188"/>
    </row>
    <row r="107" spans="1:13" ht="18" customHeight="1" x14ac:dyDescent="0.25">
      <c r="A107" s="188"/>
      <c r="B107" s="221"/>
      <c r="C107" s="221"/>
      <c r="D107" s="222"/>
      <c r="E107" s="211"/>
      <c r="F107" s="214"/>
      <c r="G107" s="216"/>
      <c r="H107" s="221"/>
      <c r="I107" s="221"/>
      <c r="J107" s="222"/>
      <c r="K107" s="211"/>
      <c r="L107" s="214"/>
      <c r="M107" s="188"/>
    </row>
    <row r="108" spans="1:13" ht="18" customHeight="1" x14ac:dyDescent="0.25">
      <c r="A108" s="188"/>
      <c r="B108" s="221"/>
      <c r="C108" s="221"/>
      <c r="D108" s="222"/>
      <c r="E108" s="211"/>
      <c r="F108" s="214"/>
      <c r="G108" s="216"/>
      <c r="H108" s="221"/>
      <c r="I108" s="221"/>
      <c r="J108" s="222"/>
      <c r="K108" s="211"/>
      <c r="L108" s="214"/>
      <c r="M108" s="188"/>
    </row>
    <row r="109" spans="1:13" ht="18" customHeight="1" x14ac:dyDescent="0.25">
      <c r="A109" s="188"/>
      <c r="B109" s="221"/>
      <c r="C109" s="221"/>
      <c r="D109" s="222"/>
      <c r="E109" s="211"/>
      <c r="F109" s="214"/>
      <c r="G109" s="216"/>
      <c r="H109" s="221"/>
      <c r="I109" s="221"/>
      <c r="J109" s="222"/>
      <c r="K109" s="211"/>
      <c r="L109" s="214"/>
      <c r="M109" s="188"/>
    </row>
    <row r="110" spans="1:13" ht="18" customHeight="1" x14ac:dyDescent="0.25">
      <c r="A110" s="188"/>
      <c r="B110" s="221"/>
      <c r="C110" s="221"/>
      <c r="D110" s="222"/>
      <c r="E110" s="211"/>
      <c r="F110" s="214"/>
      <c r="G110" s="216"/>
      <c r="H110" s="221"/>
      <c r="I110" s="221"/>
      <c r="J110" s="222"/>
      <c r="K110" s="211"/>
      <c r="L110" s="214"/>
      <c r="M110" s="188"/>
    </row>
    <row r="111" spans="1:13" ht="18" customHeight="1" x14ac:dyDescent="0.25">
      <c r="A111" s="188"/>
      <c r="B111" s="221"/>
      <c r="C111" s="221"/>
      <c r="D111" s="222"/>
      <c r="E111" s="211"/>
      <c r="F111" s="214"/>
      <c r="G111" s="216"/>
      <c r="H111" s="221"/>
      <c r="I111" s="221"/>
      <c r="J111" s="222"/>
      <c r="K111" s="211"/>
      <c r="L111" s="214"/>
      <c r="M111" s="188"/>
    </row>
    <row r="112" spans="1:13" ht="18" customHeight="1" x14ac:dyDescent="0.25">
      <c r="A112" s="188"/>
      <c r="B112" s="221"/>
      <c r="C112" s="221"/>
      <c r="D112" s="222"/>
      <c r="E112" s="211"/>
      <c r="F112" s="214"/>
      <c r="G112" s="216"/>
      <c r="H112" s="221"/>
      <c r="I112" s="221"/>
      <c r="J112" s="222"/>
      <c r="K112" s="211"/>
      <c r="L112" s="214"/>
      <c r="M112" s="188"/>
    </row>
    <row r="113" spans="1:13" ht="18" customHeight="1" x14ac:dyDescent="0.25">
      <c r="A113" s="188"/>
      <c r="B113" s="221"/>
      <c r="C113" s="221"/>
      <c r="D113" s="222"/>
      <c r="E113" s="211"/>
      <c r="F113" s="214"/>
      <c r="G113" s="216"/>
      <c r="H113" s="221"/>
      <c r="I113" s="221"/>
      <c r="J113" s="222"/>
      <c r="K113" s="211"/>
      <c r="L113" s="214"/>
      <c r="M113" s="188"/>
    </row>
    <row r="114" spans="1:13" ht="18" customHeight="1" x14ac:dyDescent="0.25">
      <c r="A114" s="188"/>
      <c r="B114" s="221"/>
      <c r="C114" s="221"/>
      <c r="D114" s="222"/>
      <c r="E114" s="211"/>
      <c r="F114" s="214"/>
      <c r="G114" s="216"/>
      <c r="H114" s="221"/>
      <c r="I114" s="221"/>
      <c r="J114" s="222"/>
      <c r="K114" s="211"/>
      <c r="L114" s="214"/>
      <c r="M114" s="188"/>
    </row>
    <row r="115" spans="1:13" ht="18" customHeight="1" x14ac:dyDescent="0.25">
      <c r="A115" s="188"/>
      <c r="B115" s="221"/>
      <c r="C115" s="221"/>
      <c r="D115" s="222"/>
      <c r="E115" s="211"/>
      <c r="F115" s="214"/>
      <c r="G115" s="216"/>
      <c r="H115" s="221"/>
      <c r="I115" s="221"/>
      <c r="J115" s="222"/>
      <c r="K115" s="211"/>
      <c r="L115" s="214"/>
      <c r="M115" s="188"/>
    </row>
    <row r="116" spans="1:13" ht="18" customHeight="1" x14ac:dyDescent="0.25">
      <c r="A116" s="188"/>
      <c r="B116" s="221"/>
      <c r="C116" s="221"/>
      <c r="D116" s="222"/>
      <c r="E116" s="211"/>
      <c r="F116" s="214"/>
      <c r="G116" s="216"/>
      <c r="H116" s="221"/>
      <c r="I116" s="221"/>
      <c r="J116" s="222"/>
      <c r="K116" s="211"/>
      <c r="L116" s="214"/>
      <c r="M116" s="188"/>
    </row>
    <row r="117" spans="1:13" ht="18" customHeight="1" x14ac:dyDescent="0.25">
      <c r="A117" s="188"/>
      <c r="B117" s="221"/>
      <c r="C117" s="221"/>
      <c r="D117" s="222"/>
      <c r="E117" s="211"/>
      <c r="F117" s="214"/>
      <c r="G117" s="216"/>
      <c r="H117" s="221"/>
      <c r="I117" s="221"/>
      <c r="J117" s="222"/>
      <c r="K117" s="211"/>
      <c r="L117" s="214"/>
      <c r="M117" s="188"/>
    </row>
    <row r="118" spans="1:13" ht="18" customHeight="1" x14ac:dyDescent="0.25">
      <c r="A118" s="188"/>
      <c r="B118" s="221"/>
      <c r="C118" s="221"/>
      <c r="D118" s="222"/>
      <c r="E118" s="211"/>
      <c r="F118" s="214"/>
      <c r="G118" s="216"/>
      <c r="H118" s="221"/>
      <c r="I118" s="221"/>
      <c r="J118" s="222"/>
      <c r="K118" s="211"/>
      <c r="L118" s="214"/>
      <c r="M118" s="188"/>
    </row>
    <row r="119" spans="1:13" ht="18" customHeight="1" x14ac:dyDescent="0.25">
      <c r="A119" s="188"/>
      <c r="B119" s="221"/>
      <c r="C119" s="221"/>
      <c r="D119" s="222"/>
      <c r="E119" s="211"/>
      <c r="F119" s="214"/>
      <c r="G119" s="216"/>
      <c r="H119" s="221"/>
      <c r="I119" s="221"/>
      <c r="J119" s="222"/>
      <c r="K119" s="211"/>
      <c r="L119" s="214"/>
      <c r="M119" s="188"/>
    </row>
    <row r="120" spans="1:13" ht="18" customHeight="1" x14ac:dyDescent="0.25">
      <c r="A120" s="188"/>
      <c r="B120" s="221"/>
      <c r="C120" s="221"/>
      <c r="D120" s="222"/>
      <c r="E120" s="211"/>
      <c r="F120" s="214"/>
      <c r="G120" s="216"/>
      <c r="H120" s="221"/>
      <c r="I120" s="221"/>
      <c r="J120" s="222"/>
      <c r="K120" s="211"/>
      <c r="L120" s="214"/>
      <c r="M120" s="188"/>
    </row>
    <row r="121" spans="1:13" ht="18" customHeight="1" x14ac:dyDescent="0.25">
      <c r="A121" s="188"/>
      <c r="B121" s="221"/>
      <c r="C121" s="221"/>
      <c r="D121" s="222"/>
      <c r="E121" s="211"/>
      <c r="F121" s="214"/>
      <c r="G121" s="216"/>
      <c r="H121" s="221"/>
      <c r="I121" s="221"/>
      <c r="J121" s="222"/>
      <c r="K121" s="211"/>
      <c r="L121" s="214"/>
      <c r="M121" s="188"/>
    </row>
    <row r="122" spans="1:13" ht="18" customHeight="1" x14ac:dyDescent="0.25">
      <c r="A122" s="188"/>
      <c r="B122" s="221"/>
      <c r="C122" s="221"/>
      <c r="D122" s="222"/>
      <c r="E122" s="211"/>
      <c r="F122" s="214"/>
      <c r="G122" s="216"/>
      <c r="H122" s="221"/>
      <c r="I122" s="221"/>
      <c r="J122" s="222"/>
      <c r="K122" s="211"/>
      <c r="L122" s="214"/>
      <c r="M122" s="188"/>
    </row>
    <row r="123" spans="1:13" ht="18" customHeight="1" x14ac:dyDescent="0.25">
      <c r="A123" s="188"/>
      <c r="B123" s="221"/>
      <c r="C123" s="221"/>
      <c r="D123" s="222"/>
      <c r="E123" s="211"/>
      <c r="F123" s="214"/>
      <c r="G123" s="216"/>
      <c r="H123" s="221"/>
      <c r="I123" s="221"/>
      <c r="J123" s="222"/>
      <c r="K123" s="211"/>
      <c r="L123" s="214"/>
      <c r="M123" s="188"/>
    </row>
    <row r="124" spans="1:13" ht="18" customHeight="1" x14ac:dyDescent="0.25">
      <c r="A124" s="188"/>
      <c r="B124" s="221"/>
      <c r="C124" s="221"/>
      <c r="D124" s="222"/>
      <c r="E124" s="211"/>
      <c r="F124" s="214"/>
      <c r="G124" s="216"/>
      <c r="H124" s="221"/>
      <c r="I124" s="221"/>
      <c r="J124" s="222"/>
      <c r="K124" s="211"/>
      <c r="L124" s="214"/>
      <c r="M124" s="188"/>
    </row>
    <row r="125" spans="1:13" ht="18" customHeight="1" x14ac:dyDescent="0.25">
      <c r="A125" s="188"/>
      <c r="B125" s="221"/>
      <c r="C125" s="221"/>
      <c r="D125" s="222"/>
      <c r="E125" s="211"/>
      <c r="F125" s="214"/>
      <c r="G125" s="216"/>
      <c r="H125" s="221"/>
      <c r="I125" s="221"/>
      <c r="J125" s="222"/>
      <c r="K125" s="211"/>
      <c r="L125" s="214"/>
      <c r="M125" s="188"/>
    </row>
    <row r="126" spans="1:13" ht="18" customHeight="1" x14ac:dyDescent="0.25">
      <c r="A126" s="188"/>
      <c r="B126" s="221"/>
      <c r="C126" s="221"/>
      <c r="D126" s="222"/>
      <c r="E126" s="211"/>
      <c r="F126" s="214"/>
      <c r="G126" s="216"/>
      <c r="H126" s="221"/>
      <c r="I126" s="221"/>
      <c r="J126" s="222"/>
      <c r="K126" s="211"/>
      <c r="L126" s="214"/>
      <c r="M126" s="188"/>
    </row>
    <row r="127" spans="1:13" ht="18" customHeight="1" x14ac:dyDescent="0.25">
      <c r="A127" s="188"/>
      <c r="B127" s="221"/>
      <c r="C127" s="221"/>
      <c r="D127" s="222"/>
      <c r="E127" s="211"/>
      <c r="F127" s="214"/>
      <c r="G127" s="216"/>
      <c r="H127" s="221"/>
      <c r="I127" s="221"/>
      <c r="J127" s="222"/>
      <c r="K127" s="211"/>
      <c r="L127" s="214"/>
      <c r="M127" s="188"/>
    </row>
    <row r="128" spans="1:13" ht="18" customHeight="1" x14ac:dyDescent="0.25">
      <c r="A128" s="188"/>
      <c r="B128" s="221"/>
      <c r="C128" s="221"/>
      <c r="D128" s="222"/>
      <c r="E128" s="211"/>
      <c r="F128" s="214"/>
      <c r="G128" s="216"/>
      <c r="H128" s="221"/>
      <c r="I128" s="221"/>
      <c r="J128" s="222"/>
      <c r="K128" s="211"/>
      <c r="L128" s="214"/>
      <c r="M128" s="188"/>
    </row>
    <row r="129" spans="1:13" ht="18" customHeight="1" x14ac:dyDescent="0.25">
      <c r="A129" s="188"/>
      <c r="B129" s="221"/>
      <c r="C129" s="221"/>
      <c r="D129" s="222"/>
      <c r="E129" s="211"/>
      <c r="F129" s="214"/>
      <c r="G129" s="216"/>
      <c r="H129" s="221"/>
      <c r="I129" s="221"/>
      <c r="J129" s="222"/>
      <c r="K129" s="211"/>
      <c r="L129" s="214"/>
      <c r="M129" s="188"/>
    </row>
    <row r="130" spans="1:13" ht="18" customHeight="1" x14ac:dyDescent="0.25">
      <c r="A130" s="188"/>
      <c r="B130" s="221"/>
      <c r="C130" s="221"/>
      <c r="D130" s="222"/>
      <c r="E130" s="211"/>
      <c r="F130" s="214"/>
      <c r="G130" s="216"/>
      <c r="H130" s="221"/>
      <c r="I130" s="221"/>
      <c r="J130" s="222"/>
      <c r="K130" s="211"/>
      <c r="L130" s="214"/>
      <c r="M130" s="188"/>
    </row>
    <row r="131" spans="1:13" ht="18" customHeight="1" x14ac:dyDescent="0.25">
      <c r="A131" s="188"/>
      <c r="B131" s="221"/>
      <c r="C131" s="221"/>
      <c r="D131" s="222"/>
      <c r="E131" s="211"/>
      <c r="F131" s="214"/>
      <c r="G131" s="216"/>
      <c r="H131" s="221"/>
      <c r="I131" s="221"/>
      <c r="J131" s="222"/>
      <c r="K131" s="211"/>
      <c r="L131" s="214"/>
      <c r="M131" s="188"/>
    </row>
    <row r="132" spans="1:13" ht="18" customHeight="1" x14ac:dyDescent="0.25">
      <c r="A132" s="188"/>
      <c r="B132" s="221"/>
      <c r="C132" s="221"/>
      <c r="D132" s="222"/>
      <c r="E132" s="211"/>
      <c r="F132" s="214"/>
      <c r="G132" s="216"/>
      <c r="H132" s="221"/>
      <c r="I132" s="221"/>
      <c r="J132" s="222"/>
      <c r="K132" s="211"/>
      <c r="L132" s="214"/>
      <c r="M132" s="188"/>
    </row>
    <row r="133" spans="1:13" ht="18" customHeight="1" x14ac:dyDescent="0.25">
      <c r="A133" s="188"/>
      <c r="B133" s="221"/>
      <c r="C133" s="221"/>
      <c r="D133" s="222"/>
      <c r="E133" s="211"/>
      <c r="F133" s="214"/>
      <c r="G133" s="216"/>
      <c r="H133" s="221"/>
      <c r="I133" s="221"/>
      <c r="J133" s="222"/>
      <c r="K133" s="211"/>
      <c r="L133" s="214"/>
      <c r="M133" s="188"/>
    </row>
    <row r="134" spans="1:13" ht="18" customHeight="1" x14ac:dyDescent="0.25">
      <c r="A134" s="188"/>
      <c r="B134" s="221"/>
      <c r="C134" s="221"/>
      <c r="D134" s="222"/>
      <c r="E134" s="211"/>
      <c r="F134" s="214"/>
      <c r="G134" s="216"/>
      <c r="H134" s="221"/>
      <c r="I134" s="221"/>
      <c r="J134" s="222"/>
      <c r="K134" s="211"/>
      <c r="L134" s="214"/>
      <c r="M134" s="188"/>
    </row>
    <row r="135" spans="1:13" ht="18" customHeight="1" x14ac:dyDescent="0.25">
      <c r="A135" s="188"/>
      <c r="B135" s="221"/>
      <c r="C135" s="221"/>
      <c r="D135" s="222"/>
      <c r="E135" s="211"/>
      <c r="F135" s="214"/>
      <c r="G135" s="216"/>
      <c r="H135" s="221"/>
      <c r="I135" s="221"/>
      <c r="J135" s="222"/>
      <c r="K135" s="211"/>
      <c r="L135" s="214"/>
      <c r="M135" s="188"/>
    </row>
    <row r="136" spans="1:13" ht="18" customHeight="1" x14ac:dyDescent="0.25">
      <c r="A136" s="188"/>
      <c r="B136" s="221"/>
      <c r="C136" s="221"/>
      <c r="D136" s="222"/>
      <c r="E136" s="211"/>
      <c r="F136" s="214"/>
      <c r="G136" s="216"/>
      <c r="H136" s="221"/>
      <c r="I136" s="221"/>
      <c r="J136" s="222"/>
      <c r="K136" s="211"/>
      <c r="L136" s="214"/>
      <c r="M136" s="188"/>
    </row>
    <row r="137" spans="1:13" ht="18" customHeight="1" x14ac:dyDescent="0.25">
      <c r="A137" s="188"/>
      <c r="B137" s="221"/>
      <c r="C137" s="221"/>
      <c r="D137" s="222"/>
      <c r="E137" s="211"/>
      <c r="F137" s="214"/>
      <c r="G137" s="216"/>
      <c r="H137" s="221"/>
      <c r="I137" s="221"/>
      <c r="J137" s="222"/>
      <c r="K137" s="211"/>
      <c r="L137" s="214"/>
      <c r="M137" s="188"/>
    </row>
    <row r="138" spans="1:13" ht="18" customHeight="1" x14ac:dyDescent="0.25">
      <c r="A138" s="188"/>
      <c r="B138" s="221"/>
      <c r="C138" s="221"/>
      <c r="D138" s="222"/>
      <c r="E138" s="211"/>
      <c r="F138" s="214"/>
      <c r="G138" s="216"/>
      <c r="H138" s="221"/>
      <c r="I138" s="221"/>
      <c r="J138" s="222"/>
      <c r="K138" s="211"/>
      <c r="L138" s="214"/>
      <c r="M138" s="188"/>
    </row>
    <row r="139" spans="1:13" ht="18" customHeight="1" x14ac:dyDescent="0.25">
      <c r="A139" s="188"/>
      <c r="B139" s="221"/>
      <c r="C139" s="221"/>
      <c r="D139" s="222"/>
      <c r="E139" s="211"/>
      <c r="F139" s="214"/>
      <c r="G139" s="216"/>
      <c r="H139" s="221"/>
      <c r="I139" s="221"/>
      <c r="J139" s="222"/>
      <c r="K139" s="211"/>
      <c r="L139" s="214"/>
      <c r="M139" s="188"/>
    </row>
    <row r="140" spans="1:13" ht="18" customHeight="1" x14ac:dyDescent="0.25">
      <c r="A140" s="188"/>
      <c r="B140" s="221"/>
      <c r="C140" s="221"/>
      <c r="D140" s="222"/>
      <c r="E140" s="211"/>
      <c r="F140" s="214"/>
      <c r="G140" s="216"/>
      <c r="H140" s="221"/>
      <c r="I140" s="221"/>
      <c r="J140" s="222"/>
      <c r="K140" s="211"/>
      <c r="L140" s="214"/>
      <c r="M140" s="188"/>
    </row>
    <row r="141" spans="1:13" ht="18" customHeight="1" x14ac:dyDescent="0.25">
      <c r="A141" s="188"/>
      <c r="B141" s="221"/>
      <c r="C141" s="221"/>
      <c r="D141" s="222"/>
      <c r="E141" s="211"/>
      <c r="F141" s="214"/>
      <c r="G141" s="216"/>
      <c r="H141" s="221"/>
      <c r="I141" s="221"/>
      <c r="J141" s="222"/>
      <c r="K141" s="211"/>
      <c r="L141" s="214"/>
      <c r="M141" s="188"/>
    </row>
    <row r="142" spans="1:13" ht="18" customHeight="1" x14ac:dyDescent="0.25">
      <c r="A142" s="188"/>
      <c r="B142" s="221"/>
      <c r="C142" s="221"/>
      <c r="D142" s="222"/>
      <c r="E142" s="211"/>
      <c r="F142" s="214"/>
      <c r="G142" s="216"/>
      <c r="H142" s="221"/>
      <c r="I142" s="221"/>
      <c r="J142" s="222"/>
      <c r="K142" s="211"/>
      <c r="L142" s="214"/>
      <c r="M142" s="188"/>
    </row>
    <row r="143" spans="1:13" ht="18" customHeight="1" x14ac:dyDescent="0.25">
      <c r="A143" s="188"/>
      <c r="B143" s="221"/>
      <c r="C143" s="221"/>
      <c r="D143" s="222"/>
      <c r="E143" s="211"/>
      <c r="F143" s="214"/>
      <c r="G143" s="216"/>
      <c r="H143" s="221"/>
      <c r="I143" s="221"/>
      <c r="J143" s="222"/>
      <c r="K143" s="211"/>
      <c r="L143" s="214"/>
      <c r="M143" s="188"/>
    </row>
    <row r="144" spans="1:13" ht="18" customHeight="1" x14ac:dyDescent="0.25">
      <c r="A144" s="188"/>
      <c r="B144" s="221"/>
      <c r="C144" s="221"/>
      <c r="D144" s="222"/>
      <c r="E144" s="211"/>
      <c r="F144" s="214"/>
      <c r="G144" s="216"/>
      <c r="H144" s="221"/>
      <c r="I144" s="221"/>
      <c r="J144" s="222"/>
      <c r="K144" s="211"/>
      <c r="L144" s="214"/>
      <c r="M144" s="188"/>
    </row>
    <row r="145" spans="1:13" ht="18" customHeight="1" x14ac:dyDescent="0.25">
      <c r="A145" s="188"/>
      <c r="B145" s="221"/>
      <c r="C145" s="221"/>
      <c r="D145" s="222"/>
      <c r="E145" s="211"/>
      <c r="F145" s="214"/>
      <c r="G145" s="216"/>
      <c r="H145" s="221"/>
      <c r="I145" s="221"/>
      <c r="J145" s="222"/>
      <c r="K145" s="211"/>
      <c r="L145" s="214"/>
      <c r="M145" s="188"/>
    </row>
    <row r="146" spans="1:13" ht="18" customHeight="1" x14ac:dyDescent="0.25">
      <c r="A146" s="188"/>
      <c r="B146" s="221"/>
      <c r="C146" s="221"/>
      <c r="D146" s="222"/>
      <c r="E146" s="211"/>
      <c r="F146" s="214"/>
      <c r="G146" s="216"/>
      <c r="H146" s="221"/>
      <c r="I146" s="221"/>
      <c r="J146" s="222"/>
      <c r="K146" s="211"/>
      <c r="L146" s="214"/>
      <c r="M146" s="188"/>
    </row>
    <row r="147" spans="1:13" ht="18" customHeight="1" x14ac:dyDescent="0.25">
      <c r="A147" s="188"/>
      <c r="B147" s="221"/>
      <c r="C147" s="221"/>
      <c r="D147" s="222"/>
      <c r="E147" s="211"/>
      <c r="F147" s="214"/>
      <c r="G147" s="216"/>
      <c r="H147" s="221"/>
      <c r="I147" s="221"/>
      <c r="J147" s="222"/>
      <c r="K147" s="211"/>
      <c r="L147" s="214"/>
      <c r="M147" s="188"/>
    </row>
    <row r="148" spans="1:13" ht="18" customHeight="1" x14ac:dyDescent="0.25">
      <c r="A148" s="188"/>
      <c r="B148" s="221"/>
      <c r="C148" s="221"/>
      <c r="D148" s="222"/>
      <c r="E148" s="211"/>
      <c r="F148" s="214"/>
      <c r="G148" s="216"/>
      <c r="H148" s="221"/>
      <c r="I148" s="221"/>
      <c r="J148" s="222"/>
      <c r="K148" s="211"/>
      <c r="L148" s="214"/>
      <c r="M148" s="188"/>
    </row>
    <row r="149" spans="1:13" ht="18" customHeight="1" x14ac:dyDescent="0.25">
      <c r="A149" s="188"/>
      <c r="B149" s="221"/>
      <c r="C149" s="221"/>
      <c r="D149" s="222"/>
      <c r="E149" s="211"/>
      <c r="F149" s="214"/>
      <c r="G149" s="216"/>
      <c r="H149" s="221"/>
      <c r="I149" s="221"/>
      <c r="J149" s="222"/>
      <c r="K149" s="211"/>
      <c r="L149" s="214"/>
      <c r="M149" s="188"/>
    </row>
    <row r="150" spans="1:13" ht="18" customHeight="1" x14ac:dyDescent="0.25">
      <c r="A150" s="188"/>
      <c r="B150" s="221"/>
      <c r="C150" s="221"/>
      <c r="D150" s="222"/>
      <c r="E150" s="211"/>
      <c r="F150" s="214"/>
      <c r="G150" s="216"/>
      <c r="H150" s="221"/>
      <c r="I150" s="221"/>
      <c r="J150" s="222"/>
      <c r="K150" s="211"/>
      <c r="L150" s="214"/>
      <c r="M150" s="188"/>
    </row>
    <row r="151" spans="1:13" ht="18" customHeight="1" x14ac:dyDescent="0.25">
      <c r="A151" s="188"/>
      <c r="B151" s="221"/>
      <c r="C151" s="221"/>
      <c r="D151" s="222"/>
      <c r="E151" s="211"/>
      <c r="F151" s="214"/>
      <c r="G151" s="216"/>
      <c r="H151" s="221"/>
      <c r="I151" s="221"/>
      <c r="J151" s="222"/>
      <c r="K151" s="211"/>
      <c r="L151" s="214"/>
      <c r="M151" s="188"/>
    </row>
    <row r="152" spans="1:13" ht="18" customHeight="1" x14ac:dyDescent="0.25">
      <c r="A152" s="188"/>
      <c r="B152" s="221"/>
      <c r="C152" s="221"/>
      <c r="D152" s="222"/>
      <c r="E152" s="211"/>
      <c r="F152" s="214"/>
      <c r="G152" s="216"/>
      <c r="H152" s="221"/>
      <c r="I152" s="221"/>
      <c r="J152" s="222"/>
      <c r="K152" s="211"/>
      <c r="L152" s="214"/>
      <c r="M152" s="188"/>
    </row>
    <row r="153" spans="1:13" ht="18" customHeight="1" x14ac:dyDescent="0.25">
      <c r="A153" s="188"/>
      <c r="B153" s="221"/>
      <c r="C153" s="221"/>
      <c r="D153" s="222"/>
      <c r="E153" s="211"/>
      <c r="F153" s="214"/>
      <c r="G153" s="216"/>
      <c r="H153" s="221"/>
      <c r="I153" s="221"/>
      <c r="J153" s="222"/>
      <c r="K153" s="211"/>
      <c r="L153" s="214"/>
      <c r="M153" s="188"/>
    </row>
    <row r="154" spans="1:13" ht="18" customHeight="1" x14ac:dyDescent="0.25">
      <c r="A154" s="188"/>
      <c r="B154" s="221"/>
      <c r="C154" s="221"/>
      <c r="D154" s="222"/>
      <c r="E154" s="211"/>
      <c r="F154" s="214"/>
      <c r="G154" s="216"/>
      <c r="H154" s="221"/>
      <c r="I154" s="221"/>
      <c r="J154" s="222"/>
      <c r="K154" s="211"/>
      <c r="L154" s="214"/>
      <c r="M154" s="188"/>
    </row>
    <row r="155" spans="1:13" ht="18" customHeight="1" x14ac:dyDescent="0.25">
      <c r="A155" s="188"/>
      <c r="B155" s="221"/>
      <c r="C155" s="221"/>
      <c r="D155" s="222"/>
      <c r="E155" s="211"/>
      <c r="F155" s="214"/>
      <c r="G155" s="216"/>
      <c r="H155" s="221"/>
      <c r="I155" s="221"/>
      <c r="J155" s="222"/>
      <c r="K155" s="211"/>
      <c r="L155" s="214"/>
      <c r="M155" s="188"/>
    </row>
    <row r="156" spans="1:13" ht="18" customHeight="1" x14ac:dyDescent="0.25">
      <c r="A156" s="188"/>
      <c r="B156" s="221"/>
      <c r="C156" s="221"/>
      <c r="D156" s="222"/>
      <c r="E156" s="211"/>
      <c r="F156" s="214"/>
      <c r="G156" s="216"/>
      <c r="H156" s="221"/>
      <c r="I156" s="221"/>
      <c r="J156" s="222"/>
      <c r="K156" s="211"/>
      <c r="L156" s="214"/>
      <c r="M156" s="188"/>
    </row>
    <row r="157" spans="1:13" ht="18" customHeight="1" x14ac:dyDescent="0.25">
      <c r="A157" s="188"/>
      <c r="B157" s="221"/>
      <c r="C157" s="221"/>
      <c r="D157" s="222"/>
      <c r="E157" s="211"/>
      <c r="F157" s="214"/>
      <c r="G157" s="216"/>
      <c r="H157" s="221"/>
      <c r="I157" s="221"/>
      <c r="J157" s="222"/>
      <c r="K157" s="211"/>
      <c r="L157" s="214"/>
      <c r="M157" s="188"/>
    </row>
    <row r="158" spans="1:13" ht="18" customHeight="1" x14ac:dyDescent="0.25">
      <c r="A158" s="188"/>
      <c r="B158" s="221"/>
      <c r="C158" s="221"/>
      <c r="D158" s="222"/>
      <c r="E158" s="211"/>
      <c r="F158" s="214"/>
      <c r="G158" s="216"/>
      <c r="H158" s="221"/>
      <c r="I158" s="221"/>
      <c r="J158" s="222"/>
      <c r="K158" s="211"/>
      <c r="L158" s="214"/>
      <c r="M158" s="188"/>
    </row>
    <row r="159" spans="1:13" ht="18" customHeight="1" x14ac:dyDescent="0.25">
      <c r="A159" s="188"/>
      <c r="B159" s="221"/>
      <c r="C159" s="221"/>
      <c r="D159" s="222"/>
      <c r="E159" s="211"/>
      <c r="F159" s="214"/>
      <c r="G159" s="216"/>
      <c r="H159" s="221"/>
      <c r="I159" s="221"/>
      <c r="J159" s="222"/>
      <c r="K159" s="211"/>
      <c r="L159" s="214"/>
      <c r="M159" s="188"/>
    </row>
    <row r="160" spans="1:13" ht="18" customHeight="1" x14ac:dyDescent="0.25">
      <c r="A160" s="188"/>
      <c r="B160" s="221"/>
      <c r="C160" s="221"/>
      <c r="D160" s="222"/>
      <c r="E160" s="211"/>
      <c r="F160" s="214"/>
      <c r="G160" s="216"/>
      <c r="H160" s="221"/>
      <c r="I160" s="221"/>
      <c r="J160" s="222"/>
      <c r="K160" s="211"/>
      <c r="L160" s="214"/>
      <c r="M160" s="188"/>
    </row>
    <row r="161" spans="1:13" ht="18" customHeight="1" x14ac:dyDescent="0.25">
      <c r="A161" s="188"/>
      <c r="B161" s="221"/>
      <c r="C161" s="221"/>
      <c r="D161" s="222"/>
      <c r="E161" s="211"/>
      <c r="F161" s="214"/>
      <c r="G161" s="216"/>
      <c r="H161" s="221"/>
      <c r="I161" s="221"/>
      <c r="J161" s="222"/>
      <c r="K161" s="211"/>
      <c r="L161" s="214"/>
      <c r="M161" s="188"/>
    </row>
    <row r="162" spans="1:13" ht="18" customHeight="1" x14ac:dyDescent="0.25">
      <c r="A162" s="188"/>
      <c r="B162" s="221"/>
      <c r="C162" s="221"/>
      <c r="D162" s="222"/>
      <c r="E162" s="211"/>
      <c r="F162" s="214"/>
      <c r="G162" s="216"/>
      <c r="H162" s="221"/>
      <c r="I162" s="221"/>
      <c r="J162" s="222"/>
      <c r="K162" s="211"/>
      <c r="L162" s="214"/>
      <c r="M162" s="188"/>
    </row>
    <row r="163" spans="1:13" ht="18" customHeight="1" x14ac:dyDescent="0.25">
      <c r="A163" s="188"/>
      <c r="B163" s="221"/>
      <c r="C163" s="221"/>
      <c r="D163" s="222"/>
      <c r="E163" s="211"/>
      <c r="F163" s="214"/>
      <c r="G163" s="216"/>
      <c r="H163" s="221"/>
      <c r="I163" s="221"/>
      <c r="J163" s="222"/>
      <c r="K163" s="211"/>
      <c r="L163" s="214"/>
      <c r="M163" s="188"/>
    </row>
    <row r="164" spans="1:13" ht="18" customHeight="1" x14ac:dyDescent="0.25">
      <c r="A164" s="188"/>
      <c r="B164" s="221"/>
      <c r="C164" s="221"/>
      <c r="D164" s="222"/>
      <c r="E164" s="211"/>
      <c r="F164" s="214"/>
      <c r="G164" s="216"/>
      <c r="H164" s="221"/>
      <c r="I164" s="221"/>
      <c r="J164" s="222"/>
      <c r="K164" s="211"/>
      <c r="L164" s="214"/>
      <c r="M164" s="188"/>
    </row>
    <row r="165" spans="1:13" ht="18" customHeight="1" x14ac:dyDescent="0.25">
      <c r="A165" s="188"/>
      <c r="B165" s="221"/>
      <c r="C165" s="221"/>
      <c r="D165" s="222"/>
      <c r="E165" s="211"/>
      <c r="F165" s="214"/>
      <c r="G165" s="216"/>
      <c r="H165" s="221"/>
      <c r="I165" s="221"/>
      <c r="J165" s="222"/>
      <c r="K165" s="211"/>
      <c r="L165" s="214"/>
      <c r="M165" s="188"/>
    </row>
    <row r="166" spans="1:13" ht="18" customHeight="1" x14ac:dyDescent="0.25">
      <c r="A166" s="188"/>
      <c r="B166" s="221"/>
      <c r="C166" s="221"/>
      <c r="D166" s="222"/>
      <c r="E166" s="211"/>
      <c r="F166" s="214"/>
      <c r="G166" s="216"/>
      <c r="H166" s="221"/>
      <c r="I166" s="221"/>
      <c r="J166" s="222"/>
      <c r="K166" s="211"/>
      <c r="L166" s="214"/>
      <c r="M166" s="188"/>
    </row>
    <row r="167" spans="1:13" ht="18" customHeight="1" x14ac:dyDescent="0.25">
      <c r="A167" s="188"/>
      <c r="B167" s="221"/>
      <c r="C167" s="221"/>
      <c r="D167" s="222"/>
      <c r="E167" s="211"/>
      <c r="F167" s="214"/>
      <c r="G167" s="216"/>
      <c r="H167" s="221"/>
      <c r="I167" s="221"/>
      <c r="J167" s="222"/>
      <c r="K167" s="211"/>
      <c r="L167" s="214"/>
      <c r="M167" s="188"/>
    </row>
    <row r="168" spans="1:13" ht="18" customHeight="1" x14ac:dyDescent="0.25">
      <c r="A168" s="188"/>
      <c r="B168" s="221"/>
      <c r="C168" s="221"/>
      <c r="D168" s="222"/>
      <c r="E168" s="211"/>
      <c r="F168" s="214"/>
      <c r="G168" s="216"/>
      <c r="H168" s="221"/>
      <c r="I168" s="221"/>
      <c r="J168" s="222"/>
      <c r="K168" s="211"/>
      <c r="L168" s="214"/>
      <c r="M168" s="188"/>
    </row>
    <row r="169" spans="1:13" ht="18" customHeight="1" x14ac:dyDescent="0.25">
      <c r="A169" s="188"/>
      <c r="B169" s="221"/>
      <c r="C169" s="221"/>
      <c r="D169" s="222"/>
      <c r="E169" s="211"/>
      <c r="F169" s="214"/>
      <c r="G169" s="216"/>
      <c r="H169" s="221"/>
      <c r="I169" s="221"/>
      <c r="J169" s="222"/>
      <c r="K169" s="211"/>
      <c r="L169" s="214"/>
      <c r="M169" s="188"/>
    </row>
    <row r="170" spans="1:13" ht="18" customHeight="1" x14ac:dyDescent="0.25">
      <c r="A170" s="188"/>
      <c r="B170" s="221"/>
      <c r="C170" s="221"/>
      <c r="D170" s="222"/>
      <c r="E170" s="211"/>
      <c r="F170" s="214"/>
      <c r="G170" s="216"/>
      <c r="H170" s="221"/>
      <c r="I170" s="221"/>
      <c r="J170" s="222"/>
      <c r="K170" s="211"/>
      <c r="L170" s="214"/>
      <c r="M170" s="188"/>
    </row>
    <row r="171" spans="1:13" ht="18" customHeight="1" x14ac:dyDescent="0.25">
      <c r="A171" s="188"/>
      <c r="B171" s="221"/>
      <c r="C171" s="221"/>
      <c r="D171" s="222"/>
      <c r="E171" s="211"/>
      <c r="F171" s="214"/>
      <c r="G171" s="216"/>
      <c r="H171" s="221"/>
      <c r="I171" s="221"/>
      <c r="J171" s="222"/>
      <c r="K171" s="211"/>
      <c r="L171" s="214"/>
      <c r="M171" s="188"/>
    </row>
    <row r="172" spans="1:13" ht="18" customHeight="1" x14ac:dyDescent="0.25">
      <c r="A172" s="188"/>
      <c r="B172" s="221"/>
      <c r="C172" s="221"/>
      <c r="D172" s="222"/>
      <c r="E172" s="211"/>
      <c r="F172" s="214"/>
      <c r="G172" s="216"/>
      <c r="H172" s="221"/>
      <c r="I172" s="221"/>
      <c r="J172" s="222"/>
      <c r="K172" s="211"/>
      <c r="L172" s="214"/>
      <c r="M172" s="188"/>
    </row>
    <row r="173" spans="1:13" ht="18" customHeight="1" x14ac:dyDescent="0.25">
      <c r="A173" s="188"/>
      <c r="B173" s="221"/>
      <c r="C173" s="221"/>
      <c r="D173" s="222"/>
      <c r="E173" s="211"/>
      <c r="F173" s="214"/>
      <c r="G173" s="216"/>
      <c r="H173" s="221"/>
      <c r="I173" s="221"/>
      <c r="J173" s="222"/>
      <c r="K173" s="211"/>
      <c r="L173" s="214"/>
      <c r="M173" s="188"/>
    </row>
    <row r="174" spans="1:13" ht="18" customHeight="1" x14ac:dyDescent="0.25">
      <c r="A174" s="188"/>
      <c r="B174" s="221"/>
      <c r="C174" s="221"/>
      <c r="D174" s="222"/>
      <c r="E174" s="211"/>
      <c r="F174" s="214"/>
      <c r="G174" s="216"/>
      <c r="H174" s="221"/>
      <c r="I174" s="221"/>
      <c r="J174" s="222"/>
      <c r="K174" s="211"/>
      <c r="L174" s="214"/>
      <c r="M174" s="188"/>
    </row>
    <row r="175" spans="1:13" ht="18" customHeight="1" x14ac:dyDescent="0.25">
      <c r="A175" s="188"/>
      <c r="B175" s="221"/>
      <c r="C175" s="221"/>
      <c r="D175" s="222"/>
      <c r="E175" s="211"/>
      <c r="F175" s="214"/>
      <c r="G175" s="216"/>
      <c r="H175" s="221"/>
      <c r="I175" s="221"/>
      <c r="J175" s="222"/>
      <c r="K175" s="211"/>
      <c r="L175" s="214"/>
      <c r="M175" s="188"/>
    </row>
    <row r="176" spans="1:13" ht="18" customHeight="1" x14ac:dyDescent="0.25">
      <c r="A176" s="188"/>
      <c r="B176" s="221"/>
      <c r="C176" s="221"/>
      <c r="D176" s="222"/>
      <c r="E176" s="211"/>
      <c r="F176" s="214"/>
      <c r="G176" s="216"/>
      <c r="H176" s="221"/>
      <c r="I176" s="221"/>
      <c r="J176" s="222"/>
      <c r="K176" s="211"/>
      <c r="L176" s="214"/>
      <c r="M176" s="188"/>
    </row>
    <row r="177" spans="1:13" ht="18" customHeight="1" x14ac:dyDescent="0.25">
      <c r="A177" s="188"/>
      <c r="B177" s="221"/>
      <c r="C177" s="221"/>
      <c r="D177" s="222"/>
      <c r="E177" s="211"/>
      <c r="F177" s="214"/>
      <c r="G177" s="216"/>
      <c r="H177" s="221"/>
      <c r="I177" s="221"/>
      <c r="J177" s="222"/>
      <c r="K177" s="211"/>
      <c r="L177" s="214"/>
      <c r="M177" s="188"/>
    </row>
    <row r="178" spans="1:13" ht="18" customHeight="1" x14ac:dyDescent="0.25">
      <c r="A178" s="188"/>
      <c r="B178" s="221"/>
      <c r="C178" s="221"/>
      <c r="D178" s="222"/>
      <c r="E178" s="211"/>
      <c r="F178" s="214"/>
      <c r="G178" s="216"/>
      <c r="H178" s="221"/>
      <c r="I178" s="221"/>
      <c r="J178" s="222"/>
      <c r="K178" s="211"/>
      <c r="L178" s="214"/>
      <c r="M178" s="188"/>
    </row>
    <row r="179" spans="1:13" ht="18" customHeight="1" x14ac:dyDescent="0.25">
      <c r="A179" s="188"/>
      <c r="B179" s="221"/>
      <c r="C179" s="221"/>
      <c r="D179" s="222"/>
      <c r="E179" s="211"/>
      <c r="F179" s="214"/>
      <c r="G179" s="216"/>
      <c r="H179" s="221"/>
      <c r="I179" s="221"/>
      <c r="J179" s="222"/>
      <c r="K179" s="211"/>
      <c r="L179" s="214"/>
      <c r="M179" s="188"/>
    </row>
    <row r="180" spans="1:13" ht="18" customHeight="1" x14ac:dyDescent="0.25">
      <c r="A180" s="188"/>
      <c r="B180" s="221"/>
      <c r="C180" s="221"/>
      <c r="D180" s="222"/>
      <c r="E180" s="211"/>
      <c r="F180" s="214"/>
      <c r="G180" s="216"/>
      <c r="H180" s="221"/>
      <c r="I180" s="221"/>
      <c r="J180" s="222"/>
      <c r="K180" s="211"/>
      <c r="L180" s="214"/>
      <c r="M180" s="188"/>
    </row>
    <row r="181" spans="1:13" ht="18" customHeight="1" x14ac:dyDescent="0.25">
      <c r="A181" s="188"/>
      <c r="B181" s="221"/>
      <c r="C181" s="221"/>
      <c r="D181" s="222"/>
      <c r="E181" s="211"/>
      <c r="F181" s="214"/>
      <c r="G181" s="216"/>
      <c r="H181" s="221"/>
      <c r="I181" s="221"/>
      <c r="J181" s="222"/>
      <c r="K181" s="211"/>
      <c r="L181" s="214"/>
      <c r="M181" s="188"/>
    </row>
    <row r="182" spans="1:13" ht="18" customHeight="1" x14ac:dyDescent="0.25">
      <c r="A182" s="188"/>
      <c r="B182" s="221"/>
      <c r="C182" s="221"/>
      <c r="D182" s="222"/>
      <c r="E182" s="211"/>
      <c r="F182" s="214"/>
      <c r="G182" s="216"/>
      <c r="H182" s="221"/>
      <c r="I182" s="221"/>
      <c r="J182" s="222"/>
      <c r="K182" s="211"/>
      <c r="L182" s="214"/>
      <c r="M182" s="188"/>
    </row>
    <row r="183" spans="1:13" ht="18" customHeight="1" x14ac:dyDescent="0.25">
      <c r="A183" s="188"/>
      <c r="B183" s="221"/>
      <c r="C183" s="221"/>
      <c r="D183" s="222"/>
      <c r="E183" s="211"/>
      <c r="F183" s="214"/>
      <c r="G183" s="216"/>
      <c r="H183" s="221"/>
      <c r="I183" s="221"/>
      <c r="J183" s="222"/>
      <c r="K183" s="211"/>
      <c r="L183" s="214"/>
      <c r="M183" s="188"/>
    </row>
    <row r="184" spans="1:13" ht="18" customHeight="1" x14ac:dyDescent="0.25">
      <c r="A184" s="188"/>
      <c r="B184" s="221"/>
      <c r="C184" s="221"/>
      <c r="D184" s="222"/>
      <c r="E184" s="211"/>
      <c r="F184" s="214"/>
      <c r="G184" s="216"/>
      <c r="H184" s="221"/>
      <c r="I184" s="221"/>
      <c r="J184" s="222"/>
      <c r="K184" s="211"/>
      <c r="L184" s="214"/>
      <c r="M184" s="188"/>
    </row>
    <row r="185" spans="1:13" ht="18" customHeight="1" x14ac:dyDescent="0.25">
      <c r="A185" s="188"/>
      <c r="B185" s="221"/>
      <c r="C185" s="221"/>
      <c r="D185" s="222"/>
      <c r="E185" s="211"/>
      <c r="F185" s="214"/>
      <c r="G185" s="216"/>
      <c r="H185" s="221"/>
      <c r="I185" s="221"/>
      <c r="J185" s="222"/>
      <c r="K185" s="211"/>
      <c r="L185" s="214"/>
      <c r="M185" s="188"/>
    </row>
    <row r="186" spans="1:13" ht="18" customHeight="1" x14ac:dyDescent="0.25">
      <c r="A186" s="188"/>
      <c r="B186" s="221"/>
      <c r="C186" s="221"/>
      <c r="D186" s="222"/>
      <c r="E186" s="211"/>
      <c r="F186" s="214"/>
      <c r="G186" s="216"/>
      <c r="H186" s="221"/>
      <c r="I186" s="221"/>
      <c r="J186" s="222"/>
      <c r="K186" s="211"/>
      <c r="L186" s="214"/>
      <c r="M186" s="188"/>
    </row>
    <row r="187" spans="1:13" ht="18" customHeight="1" x14ac:dyDescent="0.25">
      <c r="A187" s="188"/>
      <c r="B187" s="221"/>
      <c r="C187" s="221"/>
      <c r="D187" s="222"/>
      <c r="E187" s="211"/>
      <c r="F187" s="214"/>
      <c r="G187" s="216"/>
      <c r="H187" s="221"/>
      <c r="I187" s="221"/>
      <c r="J187" s="222"/>
      <c r="K187" s="211"/>
      <c r="L187" s="214"/>
      <c r="M187" s="188"/>
    </row>
    <row r="188" spans="1:13" ht="18" customHeight="1" x14ac:dyDescent="0.25">
      <c r="A188" s="188"/>
      <c r="B188" s="221"/>
      <c r="C188" s="221"/>
      <c r="D188" s="222"/>
      <c r="E188" s="211"/>
      <c r="F188" s="214"/>
      <c r="G188" s="216"/>
      <c r="H188" s="221"/>
      <c r="I188" s="221"/>
      <c r="J188" s="222"/>
      <c r="K188" s="211"/>
      <c r="L188" s="214"/>
      <c r="M188" s="188"/>
    </row>
    <row r="189" spans="1:13" ht="18" customHeight="1" x14ac:dyDescent="0.25">
      <c r="A189" s="188"/>
      <c r="B189" s="221"/>
      <c r="C189" s="221"/>
      <c r="D189" s="222"/>
      <c r="E189" s="211"/>
      <c r="F189" s="214"/>
      <c r="G189" s="216"/>
      <c r="H189" s="221"/>
      <c r="I189" s="221"/>
      <c r="J189" s="222"/>
      <c r="K189" s="211"/>
      <c r="L189" s="214"/>
      <c r="M189" s="188"/>
    </row>
    <row r="190" spans="1:13" ht="18" customHeight="1" x14ac:dyDescent="0.25">
      <c r="A190" s="188"/>
      <c r="B190" s="221"/>
      <c r="C190" s="221"/>
      <c r="D190" s="222"/>
      <c r="E190" s="211"/>
      <c r="F190" s="214"/>
      <c r="G190" s="216"/>
      <c r="H190" s="221"/>
      <c r="I190" s="221"/>
      <c r="J190" s="222"/>
      <c r="K190" s="211"/>
      <c r="L190" s="214"/>
      <c r="M190" s="188"/>
    </row>
    <row r="191" spans="1:13" ht="18" customHeight="1" x14ac:dyDescent="0.25">
      <c r="A191" s="188"/>
      <c r="B191" s="221"/>
      <c r="C191" s="221"/>
      <c r="D191" s="222"/>
      <c r="E191" s="211"/>
      <c r="F191" s="214"/>
      <c r="G191" s="216"/>
      <c r="H191" s="221"/>
      <c r="I191" s="221"/>
      <c r="J191" s="222"/>
      <c r="K191" s="211"/>
      <c r="L191" s="214"/>
      <c r="M191" s="188"/>
    </row>
    <row r="192" spans="1:13" ht="18" customHeight="1" x14ac:dyDescent="0.25">
      <c r="A192" s="188"/>
      <c r="B192" s="221"/>
      <c r="C192" s="221"/>
      <c r="D192" s="222"/>
      <c r="E192" s="211"/>
      <c r="F192" s="214"/>
      <c r="G192" s="216"/>
      <c r="H192" s="221"/>
      <c r="I192" s="221"/>
      <c r="J192" s="222"/>
      <c r="K192" s="211"/>
      <c r="L192" s="214"/>
      <c r="M192" s="188"/>
    </row>
    <row r="193" spans="1:13" ht="18" customHeight="1" x14ac:dyDescent="0.25">
      <c r="A193" s="188"/>
      <c r="B193" s="221"/>
      <c r="C193" s="221"/>
      <c r="D193" s="222"/>
      <c r="E193" s="211"/>
      <c r="F193" s="214"/>
      <c r="G193" s="216"/>
      <c r="H193" s="221"/>
      <c r="I193" s="221"/>
      <c r="J193" s="222"/>
      <c r="K193" s="211"/>
      <c r="L193" s="214"/>
      <c r="M193" s="188"/>
    </row>
    <row r="194" spans="1:13" ht="18" customHeight="1" x14ac:dyDescent="0.25">
      <c r="A194" s="188"/>
      <c r="B194" s="221"/>
      <c r="C194" s="221"/>
      <c r="D194" s="222"/>
      <c r="E194" s="211"/>
      <c r="F194" s="214"/>
      <c r="G194" s="216"/>
      <c r="H194" s="221"/>
      <c r="I194" s="221"/>
      <c r="J194" s="222"/>
      <c r="K194" s="211"/>
      <c r="L194" s="214"/>
      <c r="M194" s="188"/>
    </row>
    <row r="195" spans="1:13" ht="18" customHeight="1" x14ac:dyDescent="0.25">
      <c r="A195" s="188"/>
      <c r="B195" s="221"/>
      <c r="C195" s="221"/>
      <c r="D195" s="222"/>
      <c r="E195" s="211"/>
      <c r="F195" s="214"/>
      <c r="G195" s="216"/>
      <c r="H195" s="221"/>
      <c r="I195" s="221"/>
      <c r="J195" s="222"/>
      <c r="K195" s="211"/>
      <c r="L195" s="214"/>
      <c r="M195" s="188"/>
    </row>
    <row r="196" spans="1:13" ht="18" customHeight="1" x14ac:dyDescent="0.25">
      <c r="A196" s="188"/>
      <c r="B196" s="221"/>
      <c r="C196" s="221"/>
      <c r="D196" s="222"/>
      <c r="E196" s="211"/>
      <c r="F196" s="214"/>
      <c r="G196" s="216"/>
      <c r="H196" s="221"/>
      <c r="I196" s="221"/>
      <c r="J196" s="222"/>
      <c r="K196" s="211"/>
      <c r="L196" s="214"/>
      <c r="M196" s="188"/>
    </row>
    <row r="197" spans="1:13" ht="18" customHeight="1" x14ac:dyDescent="0.25">
      <c r="A197" s="188"/>
      <c r="B197" s="221"/>
      <c r="C197" s="221"/>
      <c r="D197" s="222"/>
      <c r="E197" s="211"/>
      <c r="F197" s="214"/>
      <c r="G197" s="216"/>
      <c r="H197" s="221"/>
      <c r="I197" s="221"/>
      <c r="J197" s="222"/>
      <c r="K197" s="211"/>
      <c r="L197" s="214"/>
      <c r="M197" s="188"/>
    </row>
    <row r="198" spans="1:13" ht="18" customHeight="1" x14ac:dyDescent="0.25">
      <c r="A198" s="188"/>
      <c r="B198" s="221"/>
      <c r="C198" s="221"/>
      <c r="D198" s="222"/>
      <c r="E198" s="211"/>
      <c r="F198" s="214"/>
      <c r="G198" s="216"/>
      <c r="H198" s="221"/>
      <c r="I198" s="221"/>
      <c r="J198" s="222"/>
      <c r="K198" s="211"/>
      <c r="L198" s="214"/>
      <c r="M198" s="188"/>
    </row>
    <row r="199" spans="1:13" ht="18" customHeight="1" x14ac:dyDescent="0.25">
      <c r="A199" s="188"/>
      <c r="B199" s="221"/>
      <c r="C199" s="221"/>
      <c r="D199" s="222"/>
      <c r="E199" s="211"/>
      <c r="F199" s="214"/>
      <c r="G199" s="216"/>
      <c r="H199" s="221"/>
      <c r="I199" s="221"/>
      <c r="J199" s="222"/>
      <c r="K199" s="211"/>
      <c r="L199" s="214"/>
      <c r="M199" s="188"/>
    </row>
    <row r="200" spans="1:13" ht="18" customHeight="1" x14ac:dyDescent="0.25">
      <c r="A200" s="188"/>
      <c r="B200" s="221"/>
      <c r="C200" s="221"/>
      <c r="D200" s="222"/>
      <c r="E200" s="211"/>
      <c r="F200" s="214"/>
      <c r="G200" s="216"/>
      <c r="H200" s="221"/>
      <c r="I200" s="221"/>
      <c r="J200" s="222"/>
      <c r="K200" s="211"/>
      <c r="L200" s="214"/>
      <c r="M200" s="188"/>
    </row>
    <row r="201" spans="1:13" ht="18" customHeight="1" x14ac:dyDescent="0.25">
      <c r="A201" s="188"/>
      <c r="B201" s="221"/>
      <c r="C201" s="221"/>
      <c r="D201" s="222"/>
      <c r="E201" s="211"/>
      <c r="F201" s="214"/>
      <c r="G201" s="216"/>
      <c r="H201" s="221"/>
      <c r="I201" s="221"/>
      <c r="J201" s="222"/>
      <c r="K201" s="211"/>
      <c r="L201" s="214"/>
      <c r="M201" s="188"/>
    </row>
    <row r="202" spans="1:13" ht="18" customHeight="1" x14ac:dyDescent="0.25">
      <c r="A202" s="188"/>
      <c r="B202" s="221"/>
      <c r="C202" s="221"/>
      <c r="D202" s="222"/>
      <c r="E202" s="211"/>
      <c r="F202" s="214"/>
      <c r="G202" s="216"/>
      <c r="H202" s="221"/>
      <c r="I202" s="221"/>
      <c r="J202" s="222"/>
      <c r="K202" s="211"/>
      <c r="L202" s="214"/>
      <c r="M202" s="188"/>
    </row>
    <row r="203" spans="1:13" ht="18" customHeight="1" x14ac:dyDescent="0.25">
      <c r="A203" s="188"/>
      <c r="B203" s="221"/>
      <c r="C203" s="221"/>
      <c r="D203" s="222"/>
      <c r="E203" s="211"/>
      <c r="F203" s="214"/>
      <c r="G203" s="216"/>
      <c r="H203" s="221"/>
      <c r="I203" s="221"/>
      <c r="J203" s="222"/>
      <c r="K203" s="211"/>
      <c r="L203" s="214"/>
      <c r="M203" s="188"/>
    </row>
    <row r="204" spans="1:13" ht="18" customHeight="1" x14ac:dyDescent="0.25">
      <c r="A204" s="188"/>
      <c r="B204" s="221"/>
      <c r="C204" s="221"/>
      <c r="D204" s="222"/>
      <c r="E204" s="211"/>
      <c r="F204" s="214"/>
      <c r="G204" s="216"/>
      <c r="H204" s="221"/>
      <c r="I204" s="221"/>
      <c r="J204" s="222"/>
      <c r="K204" s="211"/>
      <c r="L204" s="214"/>
      <c r="M204" s="188"/>
    </row>
    <row r="205" spans="1:13" ht="18" customHeight="1" x14ac:dyDescent="0.25">
      <c r="A205" s="188"/>
      <c r="B205" s="221"/>
      <c r="C205" s="221"/>
      <c r="D205" s="222"/>
      <c r="E205" s="211"/>
      <c r="F205" s="214"/>
      <c r="G205" s="216"/>
      <c r="H205" s="221"/>
      <c r="I205" s="221"/>
      <c r="J205" s="222"/>
      <c r="K205" s="211"/>
      <c r="L205" s="214"/>
      <c r="M205" s="188"/>
    </row>
    <row r="206" spans="1:13" ht="18" customHeight="1" x14ac:dyDescent="0.25">
      <c r="A206" s="188"/>
      <c r="B206" s="221"/>
      <c r="C206" s="221"/>
      <c r="D206" s="222"/>
      <c r="E206" s="211"/>
      <c r="F206" s="214"/>
      <c r="G206" s="216"/>
      <c r="H206" s="221"/>
      <c r="I206" s="221"/>
      <c r="J206" s="222"/>
      <c r="K206" s="211"/>
      <c r="L206" s="214"/>
      <c r="M206" s="188"/>
    </row>
    <row r="207" spans="1:13" ht="18" customHeight="1" x14ac:dyDescent="0.25">
      <c r="A207" s="188"/>
      <c r="B207" s="221"/>
      <c r="C207" s="221"/>
      <c r="D207" s="222"/>
      <c r="E207" s="211"/>
      <c r="F207" s="214"/>
      <c r="G207" s="216"/>
      <c r="H207" s="221"/>
      <c r="I207" s="221"/>
      <c r="J207" s="222"/>
      <c r="K207" s="211"/>
      <c r="L207" s="214"/>
      <c r="M207" s="188"/>
    </row>
    <row r="208" spans="1:13" ht="18" customHeight="1" x14ac:dyDescent="0.25">
      <c r="A208" s="188"/>
      <c r="B208" s="221"/>
      <c r="C208" s="221"/>
      <c r="D208" s="222"/>
      <c r="E208" s="211"/>
      <c r="F208" s="214"/>
      <c r="G208" s="216"/>
      <c r="H208" s="221"/>
      <c r="I208" s="221"/>
      <c r="J208" s="222"/>
      <c r="K208" s="211"/>
      <c r="L208" s="214"/>
      <c r="M208" s="188"/>
    </row>
    <row r="209" spans="1:13" ht="18" customHeight="1" x14ac:dyDescent="0.25">
      <c r="A209" s="188"/>
      <c r="B209" s="221"/>
      <c r="C209" s="221"/>
      <c r="D209" s="222"/>
      <c r="E209" s="211"/>
      <c r="F209" s="214"/>
      <c r="G209" s="216"/>
      <c r="H209" s="221"/>
      <c r="I209" s="221"/>
      <c r="J209" s="222"/>
      <c r="K209" s="211"/>
      <c r="L209" s="214"/>
      <c r="M209" s="188"/>
    </row>
    <row r="210" spans="1:13" ht="18" customHeight="1" x14ac:dyDescent="0.25">
      <c r="A210" s="188"/>
      <c r="B210" s="221"/>
      <c r="C210" s="221"/>
      <c r="D210" s="222"/>
      <c r="E210" s="211"/>
      <c r="F210" s="214"/>
      <c r="G210" s="216"/>
      <c r="H210" s="221"/>
      <c r="I210" s="221"/>
      <c r="J210" s="222"/>
      <c r="K210" s="211"/>
      <c r="L210" s="214"/>
      <c r="M210" s="188"/>
    </row>
    <row r="211" spans="1:13" ht="18" customHeight="1" x14ac:dyDescent="0.25">
      <c r="A211" s="188"/>
      <c r="B211" s="221"/>
      <c r="C211" s="221"/>
      <c r="D211" s="222"/>
      <c r="E211" s="211"/>
      <c r="F211" s="214"/>
      <c r="G211" s="216"/>
      <c r="H211" s="221"/>
      <c r="I211" s="221"/>
      <c r="J211" s="222"/>
      <c r="K211" s="211"/>
      <c r="L211" s="214"/>
      <c r="M211" s="188"/>
    </row>
    <row r="212" spans="1:13" ht="18" customHeight="1" x14ac:dyDescent="0.25">
      <c r="A212" s="188"/>
      <c r="B212" s="221"/>
      <c r="C212" s="221"/>
      <c r="D212" s="222"/>
      <c r="E212" s="211"/>
      <c r="F212" s="214"/>
      <c r="G212" s="216"/>
      <c r="H212" s="221"/>
      <c r="I212" s="221"/>
      <c r="J212" s="222"/>
      <c r="K212" s="211"/>
      <c r="L212" s="214"/>
      <c r="M212" s="188"/>
    </row>
    <row r="213" spans="1:13" ht="18" customHeight="1" x14ac:dyDescent="0.25">
      <c r="A213" s="188"/>
      <c r="B213" s="221"/>
      <c r="C213" s="221"/>
      <c r="D213" s="222"/>
      <c r="E213" s="211"/>
      <c r="F213" s="214"/>
      <c r="G213" s="216"/>
      <c r="H213" s="221"/>
      <c r="I213" s="221"/>
      <c r="J213" s="222"/>
      <c r="K213" s="211"/>
      <c r="L213" s="214"/>
      <c r="M213" s="188"/>
    </row>
    <row r="214" spans="1:13" ht="18" customHeight="1" x14ac:dyDescent="0.25">
      <c r="A214" s="188"/>
      <c r="B214" s="221"/>
      <c r="C214" s="221"/>
      <c r="D214" s="222"/>
      <c r="E214" s="211"/>
      <c r="F214" s="214"/>
      <c r="G214" s="216"/>
      <c r="H214" s="221"/>
      <c r="I214" s="221"/>
      <c r="J214" s="222"/>
      <c r="K214" s="211"/>
      <c r="L214" s="214"/>
      <c r="M214" s="188"/>
    </row>
    <row r="215" spans="1:13" ht="18" customHeight="1" x14ac:dyDescent="0.25">
      <c r="A215" s="188"/>
      <c r="B215" s="221"/>
      <c r="C215" s="221"/>
      <c r="D215" s="222"/>
      <c r="E215" s="211"/>
      <c r="F215" s="214"/>
      <c r="G215" s="216"/>
      <c r="H215" s="221"/>
      <c r="I215" s="221"/>
      <c r="J215" s="222"/>
      <c r="K215" s="211"/>
      <c r="L215" s="214"/>
      <c r="M215" s="188"/>
    </row>
    <row r="216" spans="1:13" ht="18" customHeight="1" x14ac:dyDescent="0.25">
      <c r="A216" s="188"/>
      <c r="B216" s="221"/>
      <c r="C216" s="221"/>
      <c r="D216" s="222"/>
      <c r="E216" s="211"/>
      <c r="F216" s="214"/>
      <c r="G216" s="216"/>
      <c r="H216" s="221"/>
      <c r="I216" s="221"/>
      <c r="J216" s="222"/>
      <c r="K216" s="211"/>
      <c r="L216" s="214"/>
      <c r="M216" s="188"/>
    </row>
    <row r="217" spans="1:13" ht="18" customHeight="1" x14ac:dyDescent="0.25">
      <c r="A217" s="188"/>
      <c r="B217" s="221"/>
      <c r="C217" s="221"/>
      <c r="D217" s="222"/>
      <c r="E217" s="211"/>
      <c r="F217" s="214"/>
      <c r="G217" s="216"/>
      <c r="H217" s="221"/>
      <c r="I217" s="221"/>
      <c r="J217" s="222"/>
      <c r="K217" s="211"/>
      <c r="L217" s="214"/>
      <c r="M217" s="188"/>
    </row>
    <row r="218" spans="1:13" ht="18" customHeight="1" x14ac:dyDescent="0.25">
      <c r="A218" s="188"/>
      <c r="B218" s="221"/>
      <c r="C218" s="221"/>
      <c r="D218" s="222"/>
      <c r="E218" s="211"/>
      <c r="F218" s="214"/>
      <c r="G218" s="216"/>
      <c r="H218" s="221"/>
      <c r="I218" s="221"/>
      <c r="J218" s="222"/>
      <c r="K218" s="211"/>
      <c r="L218" s="214"/>
      <c r="M218" s="188"/>
    </row>
    <row r="219" spans="1:13" ht="18" customHeight="1" x14ac:dyDescent="0.25">
      <c r="A219" s="188"/>
      <c r="B219" s="221"/>
      <c r="C219" s="221"/>
      <c r="D219" s="222"/>
      <c r="E219" s="211"/>
      <c r="F219" s="214"/>
      <c r="G219" s="216"/>
      <c r="H219" s="221"/>
      <c r="I219" s="221"/>
      <c r="J219" s="222"/>
      <c r="K219" s="211"/>
      <c r="L219" s="214"/>
      <c r="M219" s="188"/>
    </row>
    <row r="220" spans="1:13" ht="18" customHeight="1" x14ac:dyDescent="0.25">
      <c r="A220" s="188"/>
      <c r="B220" s="221"/>
      <c r="C220" s="221"/>
      <c r="D220" s="222"/>
      <c r="E220" s="211"/>
      <c r="F220" s="214"/>
      <c r="G220" s="216"/>
      <c r="H220" s="221"/>
      <c r="I220" s="221"/>
      <c r="J220" s="222"/>
      <c r="K220" s="211"/>
      <c r="L220" s="214"/>
      <c r="M220" s="188"/>
    </row>
    <row r="221" spans="1:13" ht="18" customHeight="1" x14ac:dyDescent="0.25">
      <c r="A221" s="188"/>
      <c r="B221" s="221"/>
      <c r="C221" s="221"/>
      <c r="D221" s="222"/>
      <c r="E221" s="211"/>
      <c r="F221" s="214"/>
      <c r="G221" s="216"/>
      <c r="H221" s="221"/>
      <c r="I221" s="221"/>
      <c r="J221" s="222"/>
      <c r="K221" s="211"/>
      <c r="L221" s="214"/>
      <c r="M221" s="188"/>
    </row>
    <row r="222" spans="1:13" ht="18" customHeight="1" x14ac:dyDescent="0.25">
      <c r="A222" s="188"/>
      <c r="B222" s="221"/>
      <c r="C222" s="221"/>
      <c r="D222" s="222"/>
      <c r="E222" s="211"/>
      <c r="F222" s="214"/>
      <c r="G222" s="216"/>
      <c r="H222" s="221"/>
      <c r="I222" s="221"/>
      <c r="J222" s="222"/>
      <c r="K222" s="211"/>
      <c r="L222" s="214"/>
      <c r="M222" s="188"/>
    </row>
    <row r="223" spans="1:13" ht="18" customHeight="1" x14ac:dyDescent="0.25">
      <c r="A223" s="188"/>
      <c r="B223" s="221"/>
      <c r="C223" s="221"/>
      <c r="D223" s="222"/>
      <c r="E223" s="211"/>
      <c r="F223" s="214"/>
      <c r="G223" s="216"/>
      <c r="H223" s="221"/>
      <c r="I223" s="221"/>
      <c r="J223" s="222"/>
      <c r="K223" s="211"/>
      <c r="L223" s="214"/>
      <c r="M223" s="188"/>
    </row>
    <row r="224" spans="1:13" ht="18" customHeight="1" x14ac:dyDescent="0.25">
      <c r="A224" s="188"/>
      <c r="B224" s="221"/>
      <c r="C224" s="221"/>
      <c r="D224" s="222"/>
      <c r="E224" s="211"/>
      <c r="F224" s="214"/>
      <c r="G224" s="216"/>
      <c r="H224" s="221"/>
      <c r="I224" s="221"/>
      <c r="J224" s="222"/>
      <c r="K224" s="211"/>
      <c r="L224" s="214"/>
      <c r="M224" s="188"/>
    </row>
    <row r="225" spans="1:13" ht="18" customHeight="1" x14ac:dyDescent="0.25">
      <c r="A225" s="188"/>
      <c r="B225" s="221"/>
      <c r="C225" s="221"/>
      <c r="D225" s="222"/>
      <c r="E225" s="211"/>
      <c r="F225" s="214"/>
      <c r="G225" s="216"/>
      <c r="H225" s="221"/>
      <c r="I225" s="221"/>
      <c r="J225" s="222"/>
      <c r="K225" s="211"/>
      <c r="L225" s="214"/>
      <c r="M225" s="188"/>
    </row>
    <row r="226" spans="1:13" ht="18" customHeight="1" x14ac:dyDescent="0.25">
      <c r="A226" s="188"/>
      <c r="B226" s="221"/>
      <c r="C226" s="221"/>
      <c r="D226" s="222"/>
      <c r="E226" s="211"/>
      <c r="F226" s="214"/>
      <c r="G226" s="216"/>
      <c r="H226" s="221"/>
      <c r="I226" s="221"/>
      <c r="J226" s="222"/>
      <c r="K226" s="211"/>
      <c r="L226" s="214"/>
      <c r="M226" s="188"/>
    </row>
    <row r="227" spans="1:13" ht="18" customHeight="1" x14ac:dyDescent="0.25">
      <c r="A227" s="188"/>
      <c r="B227" s="221"/>
      <c r="C227" s="221"/>
      <c r="D227" s="222"/>
      <c r="E227" s="211"/>
      <c r="F227" s="214"/>
      <c r="G227" s="216"/>
      <c r="H227" s="221"/>
      <c r="I227" s="221"/>
      <c r="J227" s="222"/>
      <c r="K227" s="211"/>
      <c r="L227" s="214"/>
      <c r="M227" s="188"/>
    </row>
    <row r="228" spans="1:13" ht="18" customHeight="1" x14ac:dyDescent="0.25">
      <c r="A228" s="188"/>
      <c r="B228" s="221"/>
      <c r="C228" s="221"/>
      <c r="D228" s="222"/>
      <c r="E228" s="211"/>
      <c r="F228" s="214"/>
      <c r="G228" s="216"/>
      <c r="H228" s="221"/>
      <c r="I228" s="221"/>
      <c r="J228" s="222"/>
      <c r="K228" s="211"/>
      <c r="L228" s="214"/>
      <c r="M228" s="188"/>
    </row>
    <row r="229" spans="1:13" ht="18" customHeight="1" x14ac:dyDescent="0.25">
      <c r="A229" s="188"/>
      <c r="B229" s="221"/>
      <c r="C229" s="221"/>
      <c r="D229" s="222"/>
      <c r="E229" s="211"/>
      <c r="F229" s="214"/>
      <c r="G229" s="216"/>
      <c r="H229" s="221"/>
      <c r="I229" s="221"/>
      <c r="J229" s="222"/>
      <c r="K229" s="211"/>
      <c r="L229" s="214"/>
      <c r="M229" s="188"/>
    </row>
    <row r="230" spans="1:13" ht="18" customHeight="1" x14ac:dyDescent="0.25">
      <c r="A230" s="188"/>
      <c r="B230" s="221"/>
      <c r="C230" s="221"/>
      <c r="D230" s="222"/>
      <c r="E230" s="211"/>
      <c r="F230" s="214"/>
      <c r="G230" s="216"/>
      <c r="H230" s="221"/>
      <c r="I230" s="221"/>
      <c r="J230" s="222"/>
      <c r="K230" s="211"/>
      <c r="L230" s="214"/>
      <c r="M230" s="188"/>
    </row>
    <row r="231" spans="1:13" ht="18" customHeight="1" x14ac:dyDescent="0.25">
      <c r="A231" s="188"/>
      <c r="B231" s="221"/>
      <c r="C231" s="221"/>
      <c r="D231" s="222"/>
      <c r="E231" s="211"/>
      <c r="F231" s="214"/>
      <c r="G231" s="216"/>
      <c r="H231" s="221"/>
      <c r="I231" s="221"/>
      <c r="J231" s="222"/>
      <c r="K231" s="211"/>
      <c r="L231" s="214"/>
      <c r="M231" s="188"/>
    </row>
    <row r="232" spans="1:13" ht="18" customHeight="1" x14ac:dyDescent="0.25">
      <c r="A232" s="188"/>
      <c r="B232" s="221"/>
      <c r="C232" s="221"/>
      <c r="D232" s="222"/>
      <c r="E232" s="211"/>
      <c r="F232" s="214"/>
      <c r="G232" s="216"/>
      <c r="H232" s="221"/>
      <c r="I232" s="221"/>
      <c r="J232" s="222"/>
      <c r="K232" s="211"/>
      <c r="L232" s="214"/>
      <c r="M232" s="188"/>
    </row>
    <row r="233" spans="1:13" ht="18" customHeight="1" x14ac:dyDescent="0.25">
      <c r="A233" s="188"/>
      <c r="B233" s="221"/>
      <c r="C233" s="221"/>
      <c r="D233" s="222"/>
      <c r="E233" s="211"/>
      <c r="F233" s="214"/>
      <c r="G233" s="216"/>
      <c r="H233" s="221"/>
      <c r="I233" s="221"/>
      <c r="J233" s="222"/>
      <c r="K233" s="211"/>
      <c r="L233" s="214"/>
      <c r="M233" s="188"/>
    </row>
    <row r="234" spans="1:13" ht="18" customHeight="1" x14ac:dyDescent="0.25">
      <c r="A234" s="188"/>
      <c r="B234" s="221"/>
      <c r="C234" s="221"/>
      <c r="D234" s="222"/>
      <c r="E234" s="211"/>
      <c r="F234" s="214"/>
      <c r="G234" s="216"/>
      <c r="H234" s="221"/>
      <c r="I234" s="221"/>
      <c r="J234" s="222"/>
      <c r="K234" s="211"/>
      <c r="L234" s="214"/>
      <c r="M234" s="188"/>
    </row>
    <row r="235" spans="1:13" ht="18" customHeight="1" x14ac:dyDescent="0.25">
      <c r="A235" s="188"/>
      <c r="B235" s="221"/>
      <c r="C235" s="221"/>
      <c r="D235" s="222"/>
      <c r="E235" s="211"/>
      <c r="F235" s="214"/>
      <c r="G235" s="216"/>
      <c r="H235" s="221"/>
      <c r="I235" s="221"/>
      <c r="J235" s="222"/>
      <c r="K235" s="211"/>
      <c r="L235" s="214"/>
      <c r="M235" s="188"/>
    </row>
    <row r="236" spans="1:13" ht="18" customHeight="1" x14ac:dyDescent="0.25">
      <c r="A236" s="188"/>
      <c r="B236" s="221"/>
      <c r="C236" s="221"/>
      <c r="D236" s="222"/>
      <c r="E236" s="211"/>
      <c r="F236" s="214"/>
      <c r="G236" s="216"/>
      <c r="H236" s="221"/>
      <c r="I236" s="221"/>
      <c r="J236" s="222"/>
      <c r="K236" s="211"/>
      <c r="L236" s="214"/>
      <c r="M236" s="188"/>
    </row>
    <row r="237" spans="1:13" ht="18" customHeight="1" x14ac:dyDescent="0.25">
      <c r="A237" s="188"/>
      <c r="B237" s="221"/>
      <c r="C237" s="221"/>
      <c r="D237" s="222"/>
      <c r="E237" s="211"/>
      <c r="F237" s="214"/>
      <c r="G237" s="216"/>
      <c r="H237" s="221"/>
      <c r="I237" s="221"/>
      <c r="J237" s="222"/>
      <c r="K237" s="211"/>
      <c r="L237" s="214"/>
      <c r="M237" s="188"/>
    </row>
    <row r="238" spans="1:13" ht="18" customHeight="1" x14ac:dyDescent="0.25">
      <c r="A238" s="188"/>
      <c r="B238" s="221"/>
      <c r="C238" s="221"/>
      <c r="D238" s="222"/>
      <c r="E238" s="211"/>
      <c r="F238" s="214"/>
      <c r="G238" s="216"/>
      <c r="H238" s="221"/>
      <c r="I238" s="221"/>
      <c r="J238" s="222"/>
      <c r="K238" s="211"/>
      <c r="L238" s="214"/>
      <c r="M238" s="188"/>
    </row>
    <row r="239" spans="1:13" ht="18" customHeight="1" x14ac:dyDescent="0.25">
      <c r="A239" s="188"/>
      <c r="B239" s="221"/>
      <c r="C239" s="221"/>
      <c r="D239" s="222"/>
      <c r="E239" s="211"/>
      <c r="F239" s="214"/>
      <c r="G239" s="216"/>
      <c r="H239" s="221"/>
      <c r="I239" s="221"/>
      <c r="J239" s="222"/>
      <c r="K239" s="211"/>
      <c r="L239" s="214"/>
      <c r="M239" s="188"/>
    </row>
    <row r="240" spans="1:13" ht="18" customHeight="1" x14ac:dyDescent="0.25">
      <c r="A240" s="188"/>
      <c r="B240" s="221"/>
      <c r="C240" s="221"/>
      <c r="D240" s="222"/>
      <c r="E240" s="211"/>
      <c r="F240" s="214"/>
      <c r="G240" s="216"/>
      <c r="H240" s="221"/>
      <c r="I240" s="221"/>
      <c r="J240" s="222"/>
      <c r="K240" s="211"/>
      <c r="L240" s="214"/>
      <c r="M240" s="188"/>
    </row>
    <row r="241" spans="1:13" ht="18" customHeight="1" x14ac:dyDescent="0.25">
      <c r="A241" s="188"/>
      <c r="B241" s="221"/>
      <c r="C241" s="221"/>
      <c r="D241" s="222"/>
      <c r="E241" s="211"/>
      <c r="F241" s="214"/>
      <c r="G241" s="216"/>
      <c r="H241" s="221"/>
      <c r="I241" s="221"/>
      <c r="J241" s="222"/>
      <c r="K241" s="211"/>
      <c r="L241" s="214"/>
      <c r="M241" s="188"/>
    </row>
    <row r="242" spans="1:13" ht="18" customHeight="1" x14ac:dyDescent="0.25">
      <c r="A242" s="188"/>
      <c r="B242" s="221"/>
      <c r="C242" s="221"/>
      <c r="D242" s="222"/>
      <c r="E242" s="211"/>
      <c r="F242" s="214"/>
      <c r="G242" s="216"/>
      <c r="H242" s="221"/>
      <c r="I242" s="221"/>
      <c r="J242" s="222"/>
      <c r="K242" s="211"/>
      <c r="L242" s="214"/>
      <c r="M242" s="188"/>
    </row>
    <row r="243" spans="1:13" ht="18" customHeight="1" x14ac:dyDescent="0.25">
      <c r="A243" s="188"/>
      <c r="B243" s="221"/>
      <c r="C243" s="221"/>
      <c r="D243" s="222"/>
      <c r="E243" s="211"/>
      <c r="F243" s="214"/>
      <c r="G243" s="216"/>
      <c r="H243" s="221"/>
      <c r="I243" s="221"/>
      <c r="J243" s="222"/>
      <c r="K243" s="211"/>
      <c r="L243" s="214"/>
      <c r="M243" s="188"/>
    </row>
    <row r="244" spans="1:13" ht="18" customHeight="1" x14ac:dyDescent="0.25">
      <c r="A244" s="188"/>
      <c r="B244" s="221"/>
      <c r="C244" s="221"/>
      <c r="D244" s="222"/>
      <c r="E244" s="211"/>
      <c r="F244" s="214"/>
      <c r="G244" s="216"/>
      <c r="H244" s="221"/>
      <c r="I244" s="221"/>
      <c r="J244" s="222"/>
      <c r="K244" s="211"/>
      <c r="L244" s="214"/>
      <c r="M244" s="188"/>
    </row>
    <row r="245" spans="1:13" ht="15.75" customHeight="1" x14ac:dyDescent="0.25"/>
    <row r="246" spans="1:13" ht="15.75" customHeight="1" x14ac:dyDescent="0.25"/>
    <row r="247" spans="1:13" ht="15.75" customHeight="1" x14ac:dyDescent="0.25"/>
    <row r="248" spans="1:13" ht="15.75" customHeight="1" x14ac:dyDescent="0.25"/>
    <row r="249" spans="1:13" ht="15.75" customHeight="1" x14ac:dyDescent="0.25"/>
    <row r="250" spans="1:13" ht="15.75" customHeight="1" x14ac:dyDescent="0.25"/>
    <row r="251" spans="1:13" ht="15.75" customHeight="1" x14ac:dyDescent="0.25"/>
    <row r="252" spans="1:13" ht="15.75" customHeight="1" x14ac:dyDescent="0.25"/>
    <row r="253" spans="1:13" ht="15.75" customHeight="1" x14ac:dyDescent="0.25"/>
    <row r="254" spans="1:13" ht="15.75" customHeight="1" x14ac:dyDescent="0.25"/>
    <row r="255" spans="1:13" ht="15.75" customHeight="1" x14ac:dyDescent="0.25"/>
    <row r="256" spans="1:1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9">
    <mergeCell ref="H41:I41"/>
    <mergeCell ref="H42:I42"/>
    <mergeCell ref="H43:I43"/>
    <mergeCell ref="H44:I44"/>
    <mergeCell ref="H30:I30"/>
    <mergeCell ref="H31:I31"/>
    <mergeCell ref="H32:I32"/>
    <mergeCell ref="H33:I33"/>
    <mergeCell ref="H34:I34"/>
    <mergeCell ref="H35:I35"/>
    <mergeCell ref="H36:I36"/>
    <mergeCell ref="B35:C35"/>
    <mergeCell ref="H37:I37"/>
    <mergeCell ref="H38:I38"/>
    <mergeCell ref="H39:I39"/>
    <mergeCell ref="H40:I40"/>
    <mergeCell ref="B30:C30"/>
    <mergeCell ref="B31:C31"/>
    <mergeCell ref="B32:C32"/>
    <mergeCell ref="B33:C33"/>
    <mergeCell ref="B34:C34"/>
    <mergeCell ref="B27:C27"/>
    <mergeCell ref="H27:I27"/>
    <mergeCell ref="B28:C28"/>
    <mergeCell ref="H28:I28"/>
    <mergeCell ref="H29:I29"/>
    <mergeCell ref="B29:C29"/>
    <mergeCell ref="D22:F22"/>
    <mergeCell ref="J22:L22"/>
    <mergeCell ref="J23:L23"/>
    <mergeCell ref="D23:F23"/>
    <mergeCell ref="B24:C24"/>
    <mergeCell ref="I16:K16"/>
    <mergeCell ref="I17:K17"/>
    <mergeCell ref="B20:F20"/>
    <mergeCell ref="D21:F21"/>
    <mergeCell ref="J21:L21"/>
    <mergeCell ref="J8:K8"/>
    <mergeCell ref="B8:E9"/>
    <mergeCell ref="D12:D15"/>
    <mergeCell ref="E12:E15"/>
    <mergeCell ref="I13:K13"/>
    <mergeCell ref="I14:K14"/>
    <mergeCell ref="I15:K15"/>
    <mergeCell ref="B2:H2"/>
    <mergeCell ref="I2:L2"/>
    <mergeCell ref="B3:G4"/>
    <mergeCell ref="I3:L3"/>
    <mergeCell ref="I4:M5"/>
    <mergeCell ref="B5:G6"/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</mergeCells>
  <conditionalFormatting sqref="B27:C1000 H27:H1000">
    <cfRule type="notContainsBlanks" dxfId="34" priority="1">
      <formula>LEN(TRIM(B27))&gt;0</formula>
    </cfRule>
  </conditionalFormatting>
  <conditionalFormatting sqref="D27:D1000">
    <cfRule type="expression" dxfId="33" priority="2">
      <formula>NOT(ISBLANK(B27))</formula>
    </cfRule>
  </conditionalFormatting>
  <conditionalFormatting sqref="F26:F1000 L26:L1000 E28:E42">
    <cfRule type="cellIs" dxfId="32" priority="4" operator="lessThan">
      <formula>0</formula>
    </cfRule>
  </conditionalFormatting>
  <conditionalFormatting sqref="F27:F1000 L27:L1000 E28:E42">
    <cfRule type="cellIs" dxfId="31" priority="5" operator="equal">
      <formula>0</formula>
    </cfRule>
  </conditionalFormatting>
  <conditionalFormatting sqref="J27:J1000">
    <cfRule type="expression" dxfId="30" priority="3">
      <formula>NOT(ISBLANK(H27))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5.109375" customWidth="1"/>
    <col min="2" max="2" width="10.44140625" customWidth="1"/>
    <col min="3" max="3" width="10" customWidth="1"/>
    <col min="4" max="4" width="15.88671875" customWidth="1"/>
    <col min="5" max="5" width="19.44140625" customWidth="1"/>
    <col min="6" max="6" width="5.109375" customWidth="1"/>
    <col min="9" max="9" width="13.21875" customWidth="1"/>
    <col min="11" max="11" width="5.109375" customWidth="1"/>
  </cols>
  <sheetData>
    <row r="1" spans="1:11" ht="33" customHeight="1" x14ac:dyDescent="0.25">
      <c r="A1" s="223"/>
      <c r="B1" s="294" t="s">
        <v>60</v>
      </c>
      <c r="C1" s="266"/>
      <c r="D1" s="266"/>
      <c r="E1" s="266"/>
      <c r="F1" s="266"/>
      <c r="G1" s="266"/>
      <c r="H1" s="266"/>
      <c r="I1" s="266"/>
      <c r="J1" s="266"/>
      <c r="K1" s="223"/>
    </row>
    <row r="2" spans="1:11" ht="48" customHeight="1" x14ac:dyDescent="0.45">
      <c r="A2" s="224"/>
      <c r="B2" s="225" t="s">
        <v>10</v>
      </c>
      <c r="C2" s="226"/>
      <c r="D2" s="227"/>
      <c r="E2" s="227"/>
      <c r="F2" s="227"/>
      <c r="G2" s="225" t="s">
        <v>9</v>
      </c>
      <c r="H2" s="228"/>
      <c r="I2" s="224"/>
      <c r="J2" s="224"/>
      <c r="K2" s="224"/>
    </row>
    <row r="3" spans="1:11" ht="12" customHeight="1" x14ac:dyDescent="0.3">
      <c r="A3" s="13"/>
      <c r="B3" s="229"/>
      <c r="C3" s="230"/>
      <c r="D3" s="229"/>
      <c r="E3" s="229"/>
      <c r="F3" s="13"/>
      <c r="G3" s="229"/>
      <c r="H3" s="231"/>
      <c r="I3" s="229"/>
      <c r="J3" s="229"/>
      <c r="K3" s="13"/>
    </row>
    <row r="4" spans="1:11" ht="24" customHeight="1" x14ac:dyDescent="0.25">
      <c r="A4" s="19"/>
      <c r="B4" s="232" t="s">
        <v>61</v>
      </c>
      <c r="C4" s="232" t="s">
        <v>62</v>
      </c>
      <c r="D4" s="232" t="s">
        <v>63</v>
      </c>
      <c r="E4" s="232" t="s">
        <v>64</v>
      </c>
      <c r="F4" s="19"/>
      <c r="G4" s="232" t="s">
        <v>61</v>
      </c>
      <c r="H4" s="232" t="s">
        <v>62</v>
      </c>
      <c r="I4" s="232" t="s">
        <v>63</v>
      </c>
      <c r="J4" s="232" t="s">
        <v>64</v>
      </c>
      <c r="K4" s="19"/>
    </row>
    <row r="5" spans="1:11" ht="19.5" customHeight="1" x14ac:dyDescent="0.25">
      <c r="A5" s="19"/>
      <c r="B5" s="233"/>
      <c r="C5" s="234"/>
      <c r="D5" s="235"/>
      <c r="E5" s="240"/>
      <c r="F5" s="19"/>
      <c r="G5" s="233"/>
      <c r="H5" s="234"/>
      <c r="I5" s="237"/>
      <c r="J5" s="236"/>
      <c r="K5" s="19"/>
    </row>
    <row r="6" spans="1:11" ht="19.5" customHeight="1" x14ac:dyDescent="0.25">
      <c r="A6" s="19"/>
      <c r="B6" s="233"/>
      <c r="C6" s="238"/>
      <c r="D6" s="239"/>
      <c r="E6" s="240"/>
      <c r="F6" s="19"/>
      <c r="G6" s="233"/>
      <c r="H6" s="238"/>
      <c r="I6" s="237"/>
      <c r="J6" s="236"/>
      <c r="K6" s="19"/>
    </row>
    <row r="7" spans="1:11" ht="19.5" customHeight="1" x14ac:dyDescent="0.25">
      <c r="A7" s="19"/>
      <c r="B7" s="233"/>
      <c r="C7" s="238"/>
      <c r="D7" s="239"/>
      <c r="E7" s="240"/>
      <c r="F7" s="19"/>
      <c r="G7" s="233"/>
      <c r="H7" s="238"/>
      <c r="I7" s="237"/>
      <c r="J7" s="236"/>
      <c r="K7" s="19"/>
    </row>
    <row r="8" spans="1:11" ht="19.5" customHeight="1" x14ac:dyDescent="0.25">
      <c r="A8" s="19"/>
      <c r="B8" s="233"/>
      <c r="C8" s="238"/>
      <c r="D8" s="239"/>
      <c r="E8" s="240"/>
      <c r="F8" s="19"/>
      <c r="G8" s="233"/>
      <c r="H8" s="238"/>
      <c r="I8" s="237"/>
      <c r="J8" s="236"/>
      <c r="K8" s="19"/>
    </row>
    <row r="9" spans="1:11" ht="19.5" customHeight="1" x14ac:dyDescent="0.25">
      <c r="A9" s="19"/>
      <c r="B9" s="233"/>
      <c r="C9" s="238"/>
      <c r="D9" s="239"/>
      <c r="E9" s="240"/>
      <c r="F9" s="19"/>
      <c r="G9" s="233"/>
      <c r="H9" s="238"/>
      <c r="I9" s="237"/>
      <c r="J9" s="236"/>
      <c r="K9" s="19"/>
    </row>
    <row r="10" spans="1:11" ht="19.5" customHeight="1" x14ac:dyDescent="0.25">
      <c r="A10" s="19"/>
      <c r="B10" s="233"/>
      <c r="C10" s="238"/>
      <c r="D10" s="239"/>
      <c r="E10" s="240"/>
      <c r="F10" s="19"/>
      <c r="G10" s="233"/>
      <c r="H10" s="238"/>
      <c r="I10" s="237"/>
      <c r="J10" s="236"/>
      <c r="K10" s="19"/>
    </row>
    <row r="11" spans="1:11" ht="19.5" customHeight="1" x14ac:dyDescent="0.25">
      <c r="A11" s="19"/>
      <c r="B11" s="233"/>
      <c r="C11" s="238"/>
      <c r="D11" s="239"/>
      <c r="E11" s="240"/>
      <c r="F11" s="19"/>
      <c r="G11" s="233"/>
      <c r="H11" s="238"/>
      <c r="I11" s="237"/>
      <c r="J11" s="236"/>
      <c r="K11" s="19"/>
    </row>
    <row r="12" spans="1:11" ht="19.5" customHeight="1" x14ac:dyDescent="0.25">
      <c r="A12" s="19"/>
      <c r="B12" s="233"/>
      <c r="C12" s="238"/>
      <c r="D12" s="239"/>
      <c r="E12" s="240"/>
      <c r="F12" s="19"/>
      <c r="G12" s="242"/>
      <c r="H12" s="238"/>
      <c r="I12" s="237"/>
      <c r="J12" s="236"/>
      <c r="K12" s="19"/>
    </row>
    <row r="13" spans="1:11" ht="19.5" customHeight="1" x14ac:dyDescent="0.25">
      <c r="A13" s="19"/>
      <c r="B13" s="233"/>
      <c r="C13" s="238"/>
      <c r="D13" s="239"/>
      <c r="E13" s="240"/>
      <c r="F13" s="19"/>
      <c r="G13" s="242"/>
      <c r="H13" s="238"/>
      <c r="I13" s="237"/>
      <c r="J13" s="236"/>
      <c r="K13" s="19"/>
    </row>
    <row r="14" spans="1:11" ht="19.5" customHeight="1" x14ac:dyDescent="0.25">
      <c r="A14" s="19"/>
      <c r="B14" s="233"/>
      <c r="C14" s="238"/>
      <c r="D14" s="239"/>
      <c r="E14" s="240"/>
      <c r="F14" s="19"/>
      <c r="G14" s="242"/>
      <c r="H14" s="238"/>
      <c r="I14" s="237"/>
      <c r="J14" s="236"/>
      <c r="K14" s="19"/>
    </row>
    <row r="15" spans="1:11" ht="19.5" customHeight="1" x14ac:dyDescent="0.25">
      <c r="A15" s="19"/>
      <c r="B15" s="233"/>
      <c r="C15" s="238"/>
      <c r="D15" s="239"/>
      <c r="E15" s="240"/>
      <c r="F15" s="19"/>
      <c r="G15" s="242"/>
      <c r="H15" s="238"/>
      <c r="I15" s="237"/>
      <c r="J15" s="236"/>
      <c r="K15" s="19"/>
    </row>
    <row r="16" spans="1:11" ht="19.5" customHeight="1" x14ac:dyDescent="0.25">
      <c r="A16" s="19"/>
      <c r="B16" s="233"/>
      <c r="C16" s="238"/>
      <c r="D16" s="239"/>
      <c r="E16" s="240"/>
      <c r="F16" s="19"/>
      <c r="G16" s="242"/>
      <c r="H16" s="238"/>
      <c r="I16" s="237"/>
      <c r="J16" s="236"/>
      <c r="K16" s="19"/>
    </row>
    <row r="17" spans="1:11" ht="19.5" customHeight="1" x14ac:dyDescent="0.25">
      <c r="A17" s="19"/>
      <c r="B17" s="233"/>
      <c r="C17" s="238"/>
      <c r="D17" s="239"/>
      <c r="E17" s="240"/>
      <c r="F17" s="19"/>
      <c r="G17" s="242"/>
      <c r="H17" s="238"/>
      <c r="I17" s="237"/>
      <c r="J17" s="236"/>
      <c r="K17" s="19"/>
    </row>
    <row r="18" spans="1:11" ht="19.5" customHeight="1" x14ac:dyDescent="0.25">
      <c r="A18" s="19"/>
      <c r="B18" s="233"/>
      <c r="C18" s="238"/>
      <c r="D18" s="239"/>
      <c r="E18" s="240"/>
      <c r="F18" s="19"/>
      <c r="G18" s="242"/>
      <c r="H18" s="238"/>
      <c r="I18" s="237"/>
      <c r="J18" s="236"/>
      <c r="K18" s="19"/>
    </row>
    <row r="19" spans="1:11" ht="19.5" customHeight="1" x14ac:dyDescent="0.25">
      <c r="A19" s="19"/>
      <c r="B19" s="233"/>
      <c r="C19" s="238"/>
      <c r="D19" s="239"/>
      <c r="E19" s="240"/>
      <c r="F19" s="19"/>
      <c r="G19" s="242"/>
      <c r="H19" s="238"/>
      <c r="I19" s="237"/>
      <c r="J19" s="236"/>
      <c r="K19" s="19"/>
    </row>
    <row r="20" spans="1:11" ht="19.5" customHeight="1" x14ac:dyDescent="0.25">
      <c r="A20" s="19"/>
      <c r="B20" s="242"/>
      <c r="C20" s="238"/>
      <c r="D20" s="239"/>
      <c r="E20" s="240"/>
      <c r="F20" s="19"/>
      <c r="G20" s="242"/>
      <c r="H20" s="238"/>
      <c r="I20" s="237"/>
      <c r="J20" s="236"/>
      <c r="K20" s="19"/>
    </row>
    <row r="21" spans="1:11" ht="19.5" customHeight="1" x14ac:dyDescent="0.25">
      <c r="A21" s="19"/>
      <c r="B21" s="242"/>
      <c r="C21" s="238"/>
      <c r="D21" s="239"/>
      <c r="E21" s="240"/>
      <c r="F21" s="19"/>
      <c r="G21" s="242"/>
      <c r="H21" s="238"/>
      <c r="I21" s="237"/>
      <c r="J21" s="236"/>
      <c r="K21" s="19"/>
    </row>
    <row r="22" spans="1:11" ht="19.5" customHeight="1" x14ac:dyDescent="0.25">
      <c r="A22" s="19"/>
      <c r="B22" s="242"/>
      <c r="C22" s="238"/>
      <c r="D22" s="239"/>
      <c r="E22" s="240"/>
      <c r="F22" s="19"/>
      <c r="G22" s="242"/>
      <c r="H22" s="238"/>
      <c r="I22" s="237"/>
      <c r="J22" s="236"/>
      <c r="K22" s="19"/>
    </row>
    <row r="23" spans="1:11" ht="19.5" customHeight="1" x14ac:dyDescent="0.25">
      <c r="A23" s="19"/>
      <c r="B23" s="242"/>
      <c r="C23" s="238"/>
      <c r="D23" s="239"/>
      <c r="E23" s="240"/>
      <c r="F23" s="19"/>
      <c r="G23" s="242"/>
      <c r="H23" s="238"/>
      <c r="I23" s="237"/>
      <c r="J23" s="236"/>
      <c r="K23" s="19"/>
    </row>
    <row r="24" spans="1:11" ht="19.5" customHeight="1" x14ac:dyDescent="0.25">
      <c r="A24" s="19"/>
      <c r="B24" s="242"/>
      <c r="C24" s="238"/>
      <c r="D24" s="239"/>
      <c r="E24" s="240"/>
      <c r="F24" s="19"/>
      <c r="G24" s="242"/>
      <c r="H24" s="238"/>
      <c r="I24" s="237"/>
      <c r="J24" s="236"/>
      <c r="K24" s="19"/>
    </row>
    <row r="25" spans="1:11" ht="19.5" customHeight="1" x14ac:dyDescent="0.25">
      <c r="A25" s="19"/>
      <c r="B25" s="242"/>
      <c r="C25" s="238"/>
      <c r="D25" s="239"/>
      <c r="E25" s="240"/>
      <c r="F25" s="19"/>
      <c r="G25" s="242"/>
      <c r="H25" s="238"/>
      <c r="I25" s="237"/>
      <c r="J25" s="236"/>
      <c r="K25" s="19"/>
    </row>
    <row r="26" spans="1:11" ht="19.5" customHeight="1" x14ac:dyDescent="0.25">
      <c r="A26" s="19"/>
      <c r="B26" s="242"/>
      <c r="C26" s="238"/>
      <c r="D26" s="239"/>
      <c r="E26" s="240"/>
      <c r="F26" s="19"/>
      <c r="G26" s="242"/>
      <c r="H26" s="238"/>
      <c r="I26" s="237"/>
      <c r="J26" s="236"/>
      <c r="K26" s="19"/>
    </row>
    <row r="27" spans="1:11" ht="19.5" customHeight="1" x14ac:dyDescent="0.25">
      <c r="A27" s="19"/>
      <c r="B27" s="242"/>
      <c r="C27" s="238"/>
      <c r="D27" s="239"/>
      <c r="E27" s="240"/>
      <c r="F27" s="19"/>
      <c r="G27" s="242"/>
      <c r="H27" s="238"/>
      <c r="I27" s="237"/>
      <c r="J27" s="236"/>
      <c r="K27" s="19"/>
    </row>
    <row r="28" spans="1:11" ht="19.5" customHeight="1" x14ac:dyDescent="0.25">
      <c r="A28" s="19"/>
      <c r="B28" s="242"/>
      <c r="C28" s="238"/>
      <c r="D28" s="239"/>
      <c r="E28" s="240"/>
      <c r="F28" s="19"/>
      <c r="G28" s="242"/>
      <c r="H28" s="238"/>
      <c r="I28" s="237"/>
      <c r="J28" s="236"/>
      <c r="K28" s="19"/>
    </row>
    <row r="29" spans="1:11" ht="19.5" customHeight="1" x14ac:dyDescent="0.25">
      <c r="A29" s="19"/>
      <c r="B29" s="242"/>
      <c r="C29" s="238"/>
      <c r="D29" s="239"/>
      <c r="E29" s="240"/>
      <c r="F29" s="19"/>
      <c r="G29" s="242"/>
      <c r="H29" s="238"/>
      <c r="I29" s="237"/>
      <c r="J29" s="236"/>
      <c r="K29" s="19"/>
    </row>
    <row r="30" spans="1:11" ht="19.5" customHeight="1" x14ac:dyDescent="0.25">
      <c r="A30" s="19"/>
      <c r="B30" s="242"/>
      <c r="C30" s="238"/>
      <c r="D30" s="239"/>
      <c r="E30" s="240"/>
      <c r="F30" s="19"/>
      <c r="G30" s="242"/>
      <c r="H30" s="238"/>
      <c r="I30" s="237"/>
      <c r="J30" s="236"/>
      <c r="K30" s="19"/>
    </row>
    <row r="31" spans="1:11" ht="19.5" customHeight="1" x14ac:dyDescent="0.25">
      <c r="A31" s="19"/>
      <c r="B31" s="233"/>
      <c r="C31" s="238"/>
      <c r="D31" s="239"/>
      <c r="E31" s="240"/>
      <c r="F31" s="19"/>
      <c r="G31" s="242"/>
      <c r="H31" s="238"/>
      <c r="I31" s="237"/>
      <c r="J31" s="236"/>
      <c r="K31" s="19"/>
    </row>
    <row r="32" spans="1:11" ht="19.5" customHeight="1" x14ac:dyDescent="0.25">
      <c r="A32" s="19"/>
      <c r="B32" s="233"/>
      <c r="C32" s="238"/>
      <c r="D32" s="239"/>
      <c r="E32" s="240"/>
      <c r="F32" s="19"/>
      <c r="G32" s="242"/>
      <c r="H32" s="238"/>
      <c r="I32" s="237"/>
      <c r="J32" s="236"/>
      <c r="K32" s="19"/>
    </row>
    <row r="33" spans="1:11" ht="19.5" customHeight="1" x14ac:dyDescent="0.25">
      <c r="A33" s="19"/>
      <c r="B33" s="233"/>
      <c r="C33" s="238"/>
      <c r="D33" s="239"/>
      <c r="E33" s="240"/>
      <c r="F33" s="19"/>
      <c r="G33" s="242"/>
      <c r="H33" s="238"/>
      <c r="I33" s="237"/>
      <c r="J33" s="236"/>
      <c r="K33" s="19"/>
    </row>
    <row r="34" spans="1:11" ht="19.5" customHeight="1" x14ac:dyDescent="0.25">
      <c r="A34" s="19"/>
      <c r="B34" s="233"/>
      <c r="C34" s="238"/>
      <c r="D34" s="239"/>
      <c r="E34" s="240"/>
      <c r="F34" s="19"/>
      <c r="G34" s="242"/>
      <c r="H34" s="238"/>
      <c r="I34" s="237"/>
      <c r="J34" s="236"/>
      <c r="K34" s="19"/>
    </row>
    <row r="35" spans="1:11" ht="19.5" customHeight="1" x14ac:dyDescent="0.25">
      <c r="A35" s="19"/>
      <c r="B35" s="233"/>
      <c r="C35" s="238"/>
      <c r="D35" s="239"/>
      <c r="E35" s="240"/>
      <c r="F35" s="19"/>
      <c r="G35" s="242"/>
      <c r="H35" s="238"/>
      <c r="I35" s="237"/>
      <c r="J35" s="236"/>
      <c r="K35" s="19"/>
    </row>
    <row r="36" spans="1:11" ht="19.5" customHeight="1" x14ac:dyDescent="0.25">
      <c r="A36" s="19"/>
      <c r="B36" s="233"/>
      <c r="C36" s="238"/>
      <c r="D36" s="239"/>
      <c r="E36" s="240"/>
      <c r="F36" s="19"/>
      <c r="G36" s="242"/>
      <c r="H36" s="238"/>
      <c r="I36" s="237"/>
      <c r="J36" s="236"/>
      <c r="K36" s="19"/>
    </row>
    <row r="37" spans="1:11" ht="19.5" customHeight="1" x14ac:dyDescent="0.25">
      <c r="A37" s="19"/>
      <c r="B37" s="244"/>
      <c r="C37" s="238"/>
      <c r="D37" s="239"/>
      <c r="E37" s="240"/>
      <c r="F37" s="19"/>
      <c r="G37" s="242"/>
      <c r="H37" s="238"/>
      <c r="I37" s="237"/>
      <c r="J37" s="236"/>
      <c r="K37" s="19"/>
    </row>
    <row r="38" spans="1:11" ht="19.5" customHeight="1" x14ac:dyDescent="0.25">
      <c r="A38" s="19"/>
      <c r="B38" s="244"/>
      <c r="C38" s="238"/>
      <c r="D38" s="239"/>
      <c r="E38" s="240"/>
      <c r="F38" s="19"/>
      <c r="G38" s="242"/>
      <c r="H38" s="238"/>
      <c r="I38" s="237"/>
      <c r="J38" s="236"/>
      <c r="K38" s="19"/>
    </row>
    <row r="39" spans="1:11" ht="19.5" customHeight="1" x14ac:dyDescent="0.25">
      <c r="A39" s="19"/>
      <c r="B39" s="244"/>
      <c r="C39" s="238"/>
      <c r="D39" s="239"/>
      <c r="E39" s="240"/>
      <c r="F39" s="19"/>
      <c r="G39" s="242"/>
      <c r="H39" s="238"/>
      <c r="I39" s="237"/>
      <c r="J39" s="236"/>
      <c r="K39" s="19"/>
    </row>
    <row r="40" spans="1:11" ht="19.5" customHeight="1" x14ac:dyDescent="0.25">
      <c r="A40" s="19"/>
      <c r="B40" s="244"/>
      <c r="C40" s="238"/>
      <c r="D40" s="239"/>
      <c r="E40" s="240"/>
      <c r="F40" s="19"/>
      <c r="G40" s="242"/>
      <c r="H40" s="238"/>
      <c r="I40" s="241"/>
      <c r="J40" s="240"/>
      <c r="K40" s="19"/>
    </row>
    <row r="41" spans="1:11" ht="19.5" customHeight="1" x14ac:dyDescent="0.25">
      <c r="A41" s="19"/>
      <c r="B41" s="244"/>
      <c r="C41" s="238"/>
      <c r="D41" s="239"/>
      <c r="E41" s="240"/>
      <c r="F41" s="19"/>
      <c r="G41" s="242"/>
      <c r="H41" s="238"/>
      <c r="I41" s="241"/>
      <c r="J41" s="240"/>
      <c r="K41" s="19"/>
    </row>
    <row r="42" spans="1:11" ht="19.5" customHeight="1" x14ac:dyDescent="0.25">
      <c r="A42" s="19"/>
      <c r="B42" s="233"/>
      <c r="C42" s="238"/>
      <c r="D42" s="239"/>
      <c r="E42" s="240"/>
      <c r="F42" s="19"/>
      <c r="G42" s="242"/>
      <c r="H42" s="238"/>
      <c r="I42" s="241"/>
      <c r="J42" s="240"/>
      <c r="K42" s="19"/>
    </row>
    <row r="43" spans="1:11" ht="19.5" customHeight="1" x14ac:dyDescent="0.25">
      <c r="A43" s="19"/>
      <c r="B43" s="233"/>
      <c r="C43" s="238"/>
      <c r="D43" s="239"/>
      <c r="E43" s="240"/>
      <c r="F43" s="19"/>
      <c r="G43" s="242"/>
      <c r="H43" s="238"/>
      <c r="I43" s="241"/>
      <c r="J43" s="240"/>
      <c r="K43" s="19"/>
    </row>
    <row r="44" spans="1:11" ht="19.5" customHeight="1" x14ac:dyDescent="0.25">
      <c r="A44" s="19"/>
      <c r="B44" s="233"/>
      <c r="C44" s="238"/>
      <c r="D44" s="239"/>
      <c r="E44" s="240"/>
      <c r="F44" s="19"/>
      <c r="G44" s="242"/>
      <c r="H44" s="238"/>
      <c r="I44" s="241"/>
      <c r="J44" s="240"/>
      <c r="K44" s="19"/>
    </row>
    <row r="45" spans="1:11" ht="19.5" customHeight="1" x14ac:dyDescent="0.25">
      <c r="A45" s="19"/>
      <c r="B45" s="233"/>
      <c r="C45" s="238"/>
      <c r="D45" s="239"/>
      <c r="E45" s="240"/>
      <c r="F45" s="19"/>
      <c r="G45" s="242"/>
      <c r="H45" s="238"/>
      <c r="I45" s="241"/>
      <c r="J45" s="240"/>
      <c r="K45" s="19"/>
    </row>
    <row r="46" spans="1:11" ht="19.5" customHeight="1" x14ac:dyDescent="0.25">
      <c r="A46" s="19"/>
      <c r="B46" s="233"/>
      <c r="C46" s="238"/>
      <c r="D46" s="239"/>
      <c r="E46" s="240"/>
      <c r="F46" s="19"/>
      <c r="G46" s="242"/>
      <c r="H46" s="238"/>
      <c r="I46" s="241"/>
      <c r="J46" s="240"/>
      <c r="K46" s="19"/>
    </row>
    <row r="47" spans="1:11" ht="19.5" customHeight="1" x14ac:dyDescent="0.25">
      <c r="A47" s="19"/>
      <c r="B47" s="233"/>
      <c r="C47" s="238"/>
      <c r="D47" s="239"/>
      <c r="E47" s="240"/>
      <c r="F47" s="19"/>
      <c r="G47" s="242"/>
      <c r="H47" s="238"/>
      <c r="I47" s="241"/>
      <c r="J47" s="240"/>
      <c r="K47" s="19"/>
    </row>
    <row r="48" spans="1:11" ht="19.5" customHeight="1" x14ac:dyDescent="0.25">
      <c r="A48" s="19"/>
      <c r="B48" s="233"/>
      <c r="C48" s="238"/>
      <c r="D48" s="239"/>
      <c r="E48" s="240"/>
      <c r="F48" s="19"/>
      <c r="G48" s="242"/>
      <c r="H48" s="238"/>
      <c r="I48" s="241"/>
      <c r="J48" s="240"/>
      <c r="K48" s="19"/>
    </row>
    <row r="49" spans="1:11" ht="19.5" customHeight="1" x14ac:dyDescent="0.25">
      <c r="A49" s="19"/>
      <c r="B49" s="233"/>
      <c r="C49" s="238"/>
      <c r="D49" s="239"/>
      <c r="E49" s="240"/>
      <c r="F49" s="19"/>
      <c r="G49" s="242"/>
      <c r="H49" s="238"/>
      <c r="I49" s="241"/>
      <c r="J49" s="240"/>
      <c r="K49" s="19"/>
    </row>
    <row r="50" spans="1:11" ht="19.5" customHeight="1" x14ac:dyDescent="0.25">
      <c r="A50" s="19"/>
      <c r="B50" s="233"/>
      <c r="C50" s="238"/>
      <c r="D50" s="239"/>
      <c r="E50" s="240"/>
      <c r="F50" s="19"/>
      <c r="G50" s="242"/>
      <c r="H50" s="238"/>
      <c r="I50" s="241"/>
      <c r="J50" s="240"/>
      <c r="K50" s="19"/>
    </row>
    <row r="51" spans="1:11" ht="19.5" customHeight="1" x14ac:dyDescent="0.25">
      <c r="A51" s="19"/>
      <c r="B51" s="233"/>
      <c r="C51" s="238"/>
      <c r="D51" s="239"/>
      <c r="E51" s="240"/>
      <c r="F51" s="19"/>
      <c r="G51" s="242"/>
      <c r="H51" s="238"/>
      <c r="I51" s="241"/>
      <c r="J51" s="240"/>
      <c r="K51" s="19"/>
    </row>
    <row r="52" spans="1:11" ht="19.5" customHeight="1" x14ac:dyDescent="0.25">
      <c r="A52" s="19"/>
      <c r="B52" s="233"/>
      <c r="C52" s="238"/>
      <c r="D52" s="239"/>
      <c r="E52" s="240"/>
      <c r="F52" s="19"/>
      <c r="G52" s="242"/>
      <c r="H52" s="238"/>
      <c r="I52" s="241"/>
      <c r="J52" s="240"/>
      <c r="K52" s="19"/>
    </row>
    <row r="53" spans="1:11" ht="19.5" customHeight="1" x14ac:dyDescent="0.25">
      <c r="A53" s="19"/>
      <c r="B53" s="233"/>
      <c r="C53" s="238"/>
      <c r="D53" s="239"/>
      <c r="E53" s="240"/>
      <c r="F53" s="19"/>
      <c r="G53" s="242"/>
      <c r="H53" s="238"/>
      <c r="I53" s="241"/>
      <c r="J53" s="240"/>
      <c r="K53" s="19"/>
    </row>
    <row r="54" spans="1:11" ht="19.5" customHeight="1" x14ac:dyDescent="0.25">
      <c r="A54" s="19"/>
      <c r="B54" s="233"/>
      <c r="C54" s="238"/>
      <c r="D54" s="239"/>
      <c r="E54" s="240"/>
      <c r="F54" s="19"/>
      <c r="G54" s="242"/>
      <c r="H54" s="238"/>
      <c r="I54" s="241"/>
      <c r="J54" s="240"/>
      <c r="K54" s="19"/>
    </row>
    <row r="55" spans="1:11" ht="19.5" customHeight="1" x14ac:dyDescent="0.25">
      <c r="A55" s="19"/>
      <c r="B55" s="233"/>
      <c r="C55" s="238"/>
      <c r="D55" s="239"/>
      <c r="E55" s="240"/>
      <c r="F55" s="19"/>
      <c r="G55" s="242"/>
      <c r="H55" s="238"/>
      <c r="I55" s="241"/>
      <c r="J55" s="240"/>
      <c r="K55" s="19"/>
    </row>
    <row r="56" spans="1:11" ht="19.5" customHeight="1" x14ac:dyDescent="0.25">
      <c r="A56" s="19"/>
      <c r="B56" s="233"/>
      <c r="C56" s="238"/>
      <c r="D56" s="239"/>
      <c r="E56" s="240"/>
      <c r="F56" s="19"/>
      <c r="G56" s="242"/>
      <c r="H56" s="238"/>
      <c r="I56" s="241"/>
      <c r="J56" s="240"/>
      <c r="K56" s="19"/>
    </row>
    <row r="57" spans="1:11" ht="19.5" customHeight="1" x14ac:dyDescent="0.25">
      <c r="A57" s="19"/>
      <c r="B57" s="233"/>
      <c r="C57" s="238"/>
      <c r="D57" s="239"/>
      <c r="E57" s="240"/>
      <c r="F57" s="19"/>
      <c r="G57" s="242"/>
      <c r="H57" s="238"/>
      <c r="I57" s="241"/>
      <c r="J57" s="240"/>
      <c r="K57" s="19"/>
    </row>
    <row r="58" spans="1:11" ht="19.5" customHeight="1" x14ac:dyDescent="0.25">
      <c r="A58" s="19"/>
      <c r="B58" s="233"/>
      <c r="C58" s="238"/>
      <c r="D58" s="239"/>
      <c r="E58" s="240"/>
      <c r="F58" s="19"/>
      <c r="G58" s="242"/>
      <c r="H58" s="238"/>
      <c r="I58" s="241"/>
      <c r="J58" s="240"/>
      <c r="K58" s="19"/>
    </row>
    <row r="59" spans="1:11" ht="19.5" customHeight="1" x14ac:dyDescent="0.25">
      <c r="A59" s="19"/>
      <c r="B59" s="233"/>
      <c r="C59" s="238"/>
      <c r="D59" s="239"/>
      <c r="E59" s="240"/>
      <c r="F59" s="19"/>
      <c r="G59" s="242"/>
      <c r="H59" s="238"/>
      <c r="I59" s="241"/>
      <c r="J59" s="240"/>
      <c r="K59" s="19"/>
    </row>
    <row r="60" spans="1:11" ht="19.5" customHeight="1" x14ac:dyDescent="0.25">
      <c r="A60" s="19"/>
      <c r="B60" s="233"/>
      <c r="C60" s="238"/>
      <c r="D60" s="239"/>
      <c r="E60" s="240"/>
      <c r="F60" s="19"/>
      <c r="G60" s="242"/>
      <c r="H60" s="238"/>
      <c r="I60" s="241"/>
      <c r="J60" s="240"/>
      <c r="K60" s="19"/>
    </row>
    <row r="61" spans="1:11" ht="19.5" customHeight="1" x14ac:dyDescent="0.25">
      <c r="A61" s="19"/>
      <c r="B61" s="233"/>
      <c r="C61" s="238"/>
      <c r="D61" s="239"/>
      <c r="E61" s="240"/>
      <c r="F61" s="19"/>
      <c r="G61" s="242"/>
      <c r="H61" s="238"/>
      <c r="I61" s="241"/>
      <c r="J61" s="240"/>
      <c r="K61" s="19"/>
    </row>
    <row r="62" spans="1:11" ht="19.5" customHeight="1" x14ac:dyDescent="0.25">
      <c r="A62" s="19"/>
      <c r="B62" s="233"/>
      <c r="C62" s="238"/>
      <c r="D62" s="239"/>
      <c r="E62" s="240"/>
      <c r="F62" s="19"/>
      <c r="G62" s="242"/>
      <c r="H62" s="238"/>
      <c r="I62" s="241"/>
      <c r="J62" s="240"/>
      <c r="K62" s="19"/>
    </row>
    <row r="63" spans="1:11" ht="19.5" customHeight="1" x14ac:dyDescent="0.25">
      <c r="A63" s="19"/>
      <c r="B63" s="233"/>
      <c r="C63" s="238"/>
      <c r="D63" s="239"/>
      <c r="E63" s="240"/>
      <c r="F63" s="19"/>
      <c r="G63" s="242"/>
      <c r="H63" s="238"/>
      <c r="I63" s="241"/>
      <c r="J63" s="240"/>
      <c r="K63" s="19"/>
    </row>
    <row r="64" spans="1:11" ht="19.5" customHeight="1" x14ac:dyDescent="0.25">
      <c r="A64" s="19"/>
      <c r="B64" s="233"/>
      <c r="C64" s="238"/>
      <c r="D64" s="239"/>
      <c r="E64" s="240"/>
      <c r="F64" s="19"/>
      <c r="G64" s="242"/>
      <c r="H64" s="238"/>
      <c r="I64" s="241"/>
      <c r="J64" s="240"/>
      <c r="K64" s="19"/>
    </row>
    <row r="65" spans="1:11" ht="19.5" customHeight="1" x14ac:dyDescent="0.25">
      <c r="A65" s="19"/>
      <c r="B65" s="233"/>
      <c r="C65" s="238"/>
      <c r="D65" s="239"/>
      <c r="E65" s="240"/>
      <c r="F65" s="19"/>
      <c r="G65" s="242"/>
      <c r="H65" s="238"/>
      <c r="I65" s="241"/>
      <c r="J65" s="240"/>
      <c r="K65" s="19"/>
    </row>
    <row r="66" spans="1:11" ht="19.5" customHeight="1" x14ac:dyDescent="0.25">
      <c r="A66" s="19"/>
      <c r="B66" s="233"/>
      <c r="C66" s="238"/>
      <c r="D66" s="239"/>
      <c r="E66" s="240"/>
      <c r="F66" s="19"/>
      <c r="G66" s="242"/>
      <c r="H66" s="238"/>
      <c r="I66" s="241"/>
      <c r="J66" s="240"/>
      <c r="K66" s="19"/>
    </row>
    <row r="67" spans="1:11" ht="19.5" customHeight="1" x14ac:dyDescent="0.25">
      <c r="A67" s="19"/>
      <c r="B67" s="233"/>
      <c r="C67" s="238"/>
      <c r="D67" s="239"/>
      <c r="E67" s="240"/>
      <c r="F67" s="19"/>
      <c r="G67" s="242"/>
      <c r="H67" s="238"/>
      <c r="I67" s="241"/>
      <c r="J67" s="240"/>
      <c r="K67" s="19"/>
    </row>
    <row r="68" spans="1:11" ht="19.5" customHeight="1" x14ac:dyDescent="0.25">
      <c r="A68" s="19"/>
      <c r="B68" s="233"/>
      <c r="C68" s="238"/>
      <c r="D68" s="239"/>
      <c r="E68" s="240"/>
      <c r="F68" s="19"/>
      <c r="G68" s="242"/>
      <c r="H68" s="238"/>
      <c r="I68" s="241"/>
      <c r="J68" s="240"/>
      <c r="K68" s="19"/>
    </row>
    <row r="69" spans="1:11" ht="19.5" customHeight="1" x14ac:dyDescent="0.25">
      <c r="A69" s="19"/>
      <c r="B69" s="233"/>
      <c r="C69" s="238"/>
      <c r="D69" s="239"/>
      <c r="E69" s="240"/>
      <c r="F69" s="19"/>
      <c r="G69" s="242"/>
      <c r="H69" s="238"/>
      <c r="I69" s="241"/>
      <c r="J69" s="240"/>
      <c r="K69" s="19"/>
    </row>
    <row r="70" spans="1:11" ht="19.5" customHeight="1" x14ac:dyDescent="0.25">
      <c r="A70" s="19"/>
      <c r="B70" s="233"/>
      <c r="C70" s="238"/>
      <c r="D70" s="239"/>
      <c r="E70" s="240"/>
      <c r="F70" s="19"/>
      <c r="G70" s="242"/>
      <c r="H70" s="238"/>
      <c r="I70" s="241"/>
      <c r="J70" s="240"/>
      <c r="K70" s="19"/>
    </row>
    <row r="71" spans="1:11" ht="19.5" customHeight="1" x14ac:dyDescent="0.25">
      <c r="A71" s="19"/>
      <c r="B71" s="233"/>
      <c r="C71" s="238"/>
      <c r="D71" s="239"/>
      <c r="E71" s="240"/>
      <c r="F71" s="19"/>
      <c r="G71" s="242"/>
      <c r="H71" s="238"/>
      <c r="I71" s="241"/>
      <c r="J71" s="240"/>
      <c r="K71" s="19"/>
    </row>
    <row r="72" spans="1:11" ht="19.5" customHeight="1" x14ac:dyDescent="0.25">
      <c r="A72" s="19"/>
      <c r="B72" s="233"/>
      <c r="C72" s="238"/>
      <c r="D72" s="239"/>
      <c r="E72" s="240"/>
      <c r="F72" s="19"/>
      <c r="G72" s="242"/>
      <c r="H72" s="238"/>
      <c r="I72" s="241"/>
      <c r="J72" s="240"/>
      <c r="K72" s="19"/>
    </row>
    <row r="73" spans="1:11" ht="19.5" customHeight="1" x14ac:dyDescent="0.25">
      <c r="A73" s="19"/>
      <c r="B73" s="233"/>
      <c r="C73" s="238"/>
      <c r="D73" s="239"/>
      <c r="E73" s="240"/>
      <c r="F73" s="19"/>
      <c r="G73" s="242"/>
      <c r="H73" s="238"/>
      <c r="I73" s="241"/>
      <c r="J73" s="240"/>
      <c r="K73" s="19"/>
    </row>
    <row r="74" spans="1:11" ht="19.5" customHeight="1" x14ac:dyDescent="0.25">
      <c r="A74" s="19"/>
      <c r="B74" s="233"/>
      <c r="C74" s="238"/>
      <c r="D74" s="239"/>
      <c r="E74" s="240"/>
      <c r="F74" s="19"/>
      <c r="G74" s="242"/>
      <c r="H74" s="238"/>
      <c r="I74" s="241"/>
      <c r="J74" s="240"/>
      <c r="K74" s="19"/>
    </row>
    <row r="75" spans="1:11" ht="19.5" customHeight="1" x14ac:dyDescent="0.25">
      <c r="A75" s="19"/>
      <c r="B75" s="233"/>
      <c r="C75" s="238"/>
      <c r="D75" s="239"/>
      <c r="E75" s="240"/>
      <c r="F75" s="19"/>
      <c r="G75" s="242"/>
      <c r="H75" s="238"/>
      <c r="I75" s="241"/>
      <c r="J75" s="240"/>
      <c r="K75" s="19"/>
    </row>
    <row r="76" spans="1:11" ht="19.5" customHeight="1" x14ac:dyDescent="0.25">
      <c r="A76" s="19"/>
      <c r="B76" s="233"/>
      <c r="C76" s="238"/>
      <c r="D76" s="239"/>
      <c r="E76" s="240"/>
      <c r="F76" s="19"/>
      <c r="G76" s="242"/>
      <c r="H76" s="238"/>
      <c r="I76" s="241"/>
      <c r="J76" s="240"/>
      <c r="K76" s="19"/>
    </row>
    <row r="77" spans="1:11" ht="19.5" customHeight="1" x14ac:dyDescent="0.25">
      <c r="A77" s="19"/>
      <c r="B77" s="233"/>
      <c r="C77" s="238"/>
      <c r="D77" s="239"/>
      <c r="E77" s="240"/>
      <c r="F77" s="19"/>
      <c r="G77" s="242"/>
      <c r="H77" s="238"/>
      <c r="I77" s="241"/>
      <c r="J77" s="240"/>
      <c r="K77" s="19"/>
    </row>
    <row r="78" spans="1:11" ht="19.5" customHeight="1" x14ac:dyDescent="0.25">
      <c r="A78" s="19"/>
      <c r="B78" s="233"/>
      <c r="C78" s="238"/>
      <c r="D78" s="239"/>
      <c r="E78" s="240"/>
      <c r="F78" s="19"/>
      <c r="G78" s="242"/>
      <c r="H78" s="238"/>
      <c r="I78" s="241"/>
      <c r="J78" s="240"/>
      <c r="K78" s="19"/>
    </row>
    <row r="79" spans="1:11" ht="19.5" customHeight="1" x14ac:dyDescent="0.25">
      <c r="A79" s="19"/>
      <c r="B79" s="233"/>
      <c r="C79" s="238"/>
      <c r="D79" s="239"/>
      <c r="E79" s="240"/>
      <c r="F79" s="19"/>
      <c r="G79" s="242"/>
      <c r="H79" s="238"/>
      <c r="I79" s="241"/>
      <c r="J79" s="240"/>
      <c r="K79" s="19"/>
    </row>
    <row r="80" spans="1:11" ht="19.5" customHeight="1" x14ac:dyDescent="0.25">
      <c r="A80" s="19"/>
      <c r="B80" s="233"/>
      <c r="C80" s="238"/>
      <c r="D80" s="239"/>
      <c r="E80" s="240"/>
      <c r="F80" s="19"/>
      <c r="G80" s="242"/>
      <c r="H80" s="238"/>
      <c r="I80" s="241"/>
      <c r="J80" s="240"/>
      <c r="K80" s="19"/>
    </row>
    <row r="81" spans="1:11" ht="19.5" customHeight="1" x14ac:dyDescent="0.25">
      <c r="A81" s="19"/>
      <c r="B81" s="233"/>
      <c r="C81" s="238"/>
      <c r="D81" s="239"/>
      <c r="E81" s="240"/>
      <c r="F81" s="19"/>
      <c r="G81" s="242"/>
      <c r="H81" s="238"/>
      <c r="I81" s="241"/>
      <c r="J81" s="240"/>
      <c r="K81" s="19"/>
    </row>
    <row r="82" spans="1:11" ht="19.5" customHeight="1" x14ac:dyDescent="0.25">
      <c r="A82" s="19"/>
      <c r="B82" s="233"/>
      <c r="C82" s="238"/>
      <c r="D82" s="239"/>
      <c r="E82" s="240"/>
      <c r="F82" s="19"/>
      <c r="G82" s="242"/>
      <c r="H82" s="238"/>
      <c r="I82" s="241"/>
      <c r="J82" s="240"/>
      <c r="K82" s="19"/>
    </row>
    <row r="83" spans="1:11" ht="19.5" customHeight="1" x14ac:dyDescent="0.25">
      <c r="A83" s="19"/>
      <c r="B83" s="233"/>
      <c r="C83" s="238"/>
      <c r="D83" s="239"/>
      <c r="E83" s="240"/>
      <c r="F83" s="19"/>
      <c r="G83" s="242"/>
      <c r="H83" s="238"/>
      <c r="I83" s="241"/>
      <c r="J83" s="240"/>
      <c r="K83" s="19"/>
    </row>
    <row r="84" spans="1:11" ht="19.5" customHeight="1" x14ac:dyDescent="0.25">
      <c r="A84" s="19"/>
      <c r="B84" s="233"/>
      <c r="C84" s="238"/>
      <c r="D84" s="239"/>
      <c r="E84" s="240"/>
      <c r="F84" s="19"/>
      <c r="G84" s="242"/>
      <c r="H84" s="238"/>
      <c r="I84" s="241"/>
      <c r="J84" s="240"/>
      <c r="K84" s="19"/>
    </row>
    <row r="85" spans="1:11" ht="19.5" customHeight="1" x14ac:dyDescent="0.25">
      <c r="A85" s="19"/>
      <c r="B85" s="233"/>
      <c r="C85" s="238"/>
      <c r="D85" s="239"/>
      <c r="E85" s="240"/>
      <c r="F85" s="19"/>
      <c r="G85" s="242"/>
      <c r="H85" s="238"/>
      <c r="I85" s="241"/>
      <c r="J85" s="240"/>
      <c r="K85" s="19"/>
    </row>
    <row r="86" spans="1:11" ht="19.5" customHeight="1" x14ac:dyDescent="0.25">
      <c r="A86" s="19"/>
      <c r="B86" s="233"/>
      <c r="C86" s="238"/>
      <c r="D86" s="239"/>
      <c r="E86" s="240"/>
      <c r="F86" s="19"/>
      <c r="G86" s="242"/>
      <c r="H86" s="238"/>
      <c r="I86" s="241"/>
      <c r="J86" s="240"/>
      <c r="K86" s="19"/>
    </row>
    <row r="87" spans="1:11" ht="19.5" customHeight="1" x14ac:dyDescent="0.25">
      <c r="A87" s="19"/>
      <c r="B87" s="233"/>
      <c r="C87" s="238"/>
      <c r="D87" s="239"/>
      <c r="E87" s="240"/>
      <c r="F87" s="19"/>
      <c r="G87" s="242"/>
      <c r="H87" s="238"/>
      <c r="I87" s="241"/>
      <c r="J87" s="240"/>
      <c r="K87" s="19"/>
    </row>
    <row r="88" spans="1:11" ht="19.5" customHeight="1" x14ac:dyDescent="0.25">
      <c r="A88" s="19"/>
      <c r="B88" s="233"/>
      <c r="C88" s="238"/>
      <c r="D88" s="239"/>
      <c r="E88" s="240"/>
      <c r="F88" s="19"/>
      <c r="G88" s="242"/>
      <c r="H88" s="238"/>
      <c r="I88" s="241"/>
      <c r="J88" s="240"/>
      <c r="K88" s="19"/>
    </row>
    <row r="89" spans="1:11" ht="19.5" customHeight="1" x14ac:dyDescent="0.25">
      <c r="A89" s="19"/>
      <c r="B89" s="233"/>
      <c r="C89" s="238"/>
      <c r="D89" s="239"/>
      <c r="E89" s="240"/>
      <c r="F89" s="19"/>
      <c r="G89" s="242"/>
      <c r="H89" s="238"/>
      <c r="I89" s="241"/>
      <c r="J89" s="240"/>
      <c r="K89" s="19"/>
    </row>
    <row r="90" spans="1:11" ht="19.5" customHeight="1" x14ac:dyDescent="0.25">
      <c r="A90" s="19"/>
      <c r="B90" s="233"/>
      <c r="C90" s="238"/>
      <c r="D90" s="239"/>
      <c r="E90" s="240"/>
      <c r="F90" s="19"/>
      <c r="G90" s="242"/>
      <c r="H90" s="238"/>
      <c r="I90" s="241"/>
      <c r="J90" s="240"/>
      <c r="K90" s="19"/>
    </row>
    <row r="91" spans="1:11" ht="19.5" customHeight="1" x14ac:dyDescent="0.25">
      <c r="A91" s="19"/>
      <c r="B91" s="233"/>
      <c r="C91" s="238"/>
      <c r="D91" s="239"/>
      <c r="E91" s="240"/>
      <c r="F91" s="19"/>
      <c r="G91" s="242"/>
      <c r="H91" s="238"/>
      <c r="I91" s="241"/>
      <c r="J91" s="240"/>
      <c r="K91" s="19"/>
    </row>
    <row r="92" spans="1:11" ht="19.5" customHeight="1" x14ac:dyDescent="0.25">
      <c r="A92" s="19"/>
      <c r="B92" s="233"/>
      <c r="C92" s="238"/>
      <c r="D92" s="239"/>
      <c r="E92" s="240"/>
      <c r="F92" s="19"/>
      <c r="G92" s="242"/>
      <c r="H92" s="238"/>
      <c r="I92" s="241"/>
      <c r="J92" s="240"/>
      <c r="K92" s="19"/>
    </row>
    <row r="93" spans="1:11" ht="19.5" customHeight="1" x14ac:dyDescent="0.25">
      <c r="A93" s="19"/>
      <c r="B93" s="233"/>
      <c r="C93" s="238"/>
      <c r="D93" s="239"/>
      <c r="E93" s="240"/>
      <c r="F93" s="19"/>
      <c r="G93" s="242"/>
      <c r="H93" s="238"/>
      <c r="I93" s="241"/>
      <c r="J93" s="240"/>
      <c r="K93" s="19"/>
    </row>
    <row r="94" spans="1:11" ht="19.5" customHeight="1" x14ac:dyDescent="0.25">
      <c r="A94" s="19"/>
      <c r="B94" s="233"/>
      <c r="C94" s="238"/>
      <c r="D94" s="239"/>
      <c r="E94" s="240"/>
      <c r="F94" s="19"/>
      <c r="G94" s="242"/>
      <c r="H94" s="238"/>
      <c r="I94" s="241"/>
      <c r="J94" s="240"/>
      <c r="K94" s="19"/>
    </row>
    <row r="95" spans="1:11" ht="19.5" customHeight="1" x14ac:dyDescent="0.25">
      <c r="A95" s="19"/>
      <c r="B95" s="233"/>
      <c r="C95" s="238"/>
      <c r="D95" s="239"/>
      <c r="E95" s="240"/>
      <c r="F95" s="19"/>
      <c r="G95" s="242"/>
      <c r="H95" s="238"/>
      <c r="I95" s="241"/>
      <c r="J95" s="240"/>
      <c r="K95" s="19"/>
    </row>
    <row r="96" spans="1:11" ht="19.5" customHeight="1" x14ac:dyDescent="0.25">
      <c r="A96" s="19"/>
      <c r="B96" s="233"/>
      <c r="C96" s="238"/>
      <c r="D96" s="239"/>
      <c r="E96" s="240"/>
      <c r="F96" s="19"/>
      <c r="G96" s="242"/>
      <c r="H96" s="238"/>
      <c r="I96" s="241"/>
      <c r="J96" s="240"/>
      <c r="K96" s="19"/>
    </row>
    <row r="97" spans="1:11" ht="19.5" customHeight="1" x14ac:dyDescent="0.25">
      <c r="A97" s="19"/>
      <c r="B97" s="233"/>
      <c r="C97" s="238"/>
      <c r="D97" s="239"/>
      <c r="E97" s="240"/>
      <c r="F97" s="19"/>
      <c r="G97" s="242"/>
      <c r="H97" s="238"/>
      <c r="I97" s="241"/>
      <c r="J97" s="240"/>
      <c r="K97" s="19"/>
    </row>
    <row r="98" spans="1:11" ht="19.5" customHeight="1" x14ac:dyDescent="0.25">
      <c r="A98" s="19"/>
      <c r="B98" s="233"/>
      <c r="C98" s="238"/>
      <c r="D98" s="239"/>
      <c r="E98" s="240"/>
      <c r="F98" s="19"/>
      <c r="G98" s="242"/>
      <c r="H98" s="238"/>
      <c r="I98" s="241"/>
      <c r="J98" s="240"/>
      <c r="K98" s="19"/>
    </row>
    <row r="99" spans="1:11" ht="19.5" customHeight="1" x14ac:dyDescent="0.25">
      <c r="A99" s="19"/>
      <c r="B99" s="233"/>
      <c r="C99" s="238"/>
      <c r="D99" s="239"/>
      <c r="E99" s="240"/>
      <c r="F99" s="19"/>
      <c r="G99" s="242"/>
      <c r="H99" s="238"/>
      <c r="I99" s="241"/>
      <c r="J99" s="240"/>
      <c r="K99" s="19"/>
    </row>
    <row r="100" spans="1:11" ht="19.5" customHeight="1" x14ac:dyDescent="0.25">
      <c r="A100" s="19"/>
      <c r="B100" s="233"/>
      <c r="C100" s="238"/>
      <c r="D100" s="239"/>
      <c r="E100" s="240"/>
      <c r="F100" s="19"/>
      <c r="G100" s="242"/>
      <c r="H100" s="238"/>
      <c r="I100" s="241"/>
      <c r="J100" s="240"/>
      <c r="K100" s="19"/>
    </row>
    <row r="101" spans="1:11" ht="19.5" customHeight="1" x14ac:dyDescent="0.25">
      <c r="A101" s="19"/>
      <c r="B101" s="233"/>
      <c r="C101" s="238"/>
      <c r="D101" s="239"/>
      <c r="E101" s="240"/>
      <c r="F101" s="19"/>
      <c r="G101" s="242"/>
      <c r="H101" s="238"/>
      <c r="I101" s="241"/>
      <c r="J101" s="240"/>
      <c r="K101" s="19"/>
    </row>
    <row r="102" spans="1:11" ht="19.5" customHeight="1" x14ac:dyDescent="0.25">
      <c r="A102" s="19"/>
      <c r="B102" s="233"/>
      <c r="C102" s="238"/>
      <c r="D102" s="239"/>
      <c r="E102" s="240"/>
      <c r="F102" s="19"/>
      <c r="G102" s="242"/>
      <c r="H102" s="238"/>
      <c r="I102" s="241"/>
      <c r="J102" s="240"/>
      <c r="K102" s="19"/>
    </row>
    <row r="103" spans="1:11" ht="19.5" customHeight="1" x14ac:dyDescent="0.25">
      <c r="A103" s="19"/>
      <c r="B103" s="233"/>
      <c r="C103" s="238"/>
      <c r="D103" s="239"/>
      <c r="E103" s="240"/>
      <c r="F103" s="19"/>
      <c r="G103" s="242"/>
      <c r="H103" s="238"/>
      <c r="I103" s="241"/>
      <c r="J103" s="240"/>
      <c r="K103" s="19"/>
    </row>
    <row r="104" spans="1:11" ht="19.5" customHeight="1" x14ac:dyDescent="0.25">
      <c r="A104" s="19"/>
      <c r="B104" s="233"/>
      <c r="C104" s="238"/>
      <c r="D104" s="239"/>
      <c r="E104" s="240"/>
      <c r="F104" s="19"/>
      <c r="G104" s="242"/>
      <c r="H104" s="238"/>
      <c r="I104" s="241"/>
      <c r="J104" s="240"/>
      <c r="K104" s="19"/>
    </row>
    <row r="105" spans="1:11" ht="19.5" customHeight="1" x14ac:dyDescent="0.25">
      <c r="A105" s="19"/>
      <c r="B105" s="233"/>
      <c r="C105" s="238"/>
      <c r="D105" s="239"/>
      <c r="E105" s="240"/>
      <c r="F105" s="19"/>
      <c r="G105" s="242"/>
      <c r="H105" s="238"/>
      <c r="I105" s="241"/>
      <c r="J105" s="240"/>
      <c r="K105" s="19"/>
    </row>
    <row r="106" spans="1:11" ht="19.5" customHeight="1" x14ac:dyDescent="0.25">
      <c r="A106" s="19"/>
      <c r="B106" s="233"/>
      <c r="C106" s="238"/>
      <c r="D106" s="239"/>
      <c r="E106" s="240"/>
      <c r="F106" s="19"/>
      <c r="G106" s="242"/>
      <c r="H106" s="238"/>
      <c r="I106" s="241"/>
      <c r="J106" s="240"/>
      <c r="K106" s="19"/>
    </row>
    <row r="107" spans="1:11" ht="19.5" customHeight="1" x14ac:dyDescent="0.25">
      <c r="A107" s="19"/>
      <c r="B107" s="233"/>
      <c r="C107" s="238"/>
      <c r="D107" s="239"/>
      <c r="E107" s="240"/>
      <c r="F107" s="19"/>
      <c r="G107" s="242"/>
      <c r="H107" s="238"/>
      <c r="I107" s="241"/>
      <c r="J107" s="240"/>
      <c r="K107" s="19"/>
    </row>
    <row r="108" spans="1:11" ht="19.5" customHeight="1" x14ac:dyDescent="0.25">
      <c r="A108" s="19"/>
      <c r="B108" s="233"/>
      <c r="C108" s="238"/>
      <c r="D108" s="239"/>
      <c r="E108" s="240"/>
      <c r="F108" s="19"/>
      <c r="G108" s="242"/>
      <c r="H108" s="238"/>
      <c r="I108" s="241"/>
      <c r="J108" s="240"/>
      <c r="K108" s="19"/>
    </row>
    <row r="109" spans="1:11" ht="19.5" customHeight="1" x14ac:dyDescent="0.25">
      <c r="A109" s="19"/>
      <c r="B109" s="233"/>
      <c r="C109" s="238"/>
      <c r="D109" s="239"/>
      <c r="E109" s="240"/>
      <c r="F109" s="19"/>
      <c r="G109" s="242"/>
      <c r="H109" s="238"/>
      <c r="I109" s="241"/>
      <c r="J109" s="240"/>
      <c r="K109" s="19"/>
    </row>
    <row r="110" spans="1:11" ht="19.5" customHeight="1" x14ac:dyDescent="0.25">
      <c r="A110" s="19"/>
      <c r="B110" s="233"/>
      <c r="C110" s="238"/>
      <c r="D110" s="239"/>
      <c r="E110" s="240"/>
      <c r="F110" s="19"/>
      <c r="G110" s="242"/>
      <c r="H110" s="238"/>
      <c r="I110" s="241"/>
      <c r="J110" s="240"/>
      <c r="K110" s="19"/>
    </row>
    <row r="111" spans="1:11" ht="19.5" customHeight="1" x14ac:dyDescent="0.25">
      <c r="A111" s="19"/>
      <c r="B111" s="233"/>
      <c r="C111" s="238"/>
      <c r="D111" s="239"/>
      <c r="E111" s="240"/>
      <c r="F111" s="19"/>
      <c r="G111" s="242"/>
      <c r="H111" s="238"/>
      <c r="I111" s="241"/>
      <c r="J111" s="240"/>
      <c r="K111" s="19"/>
    </row>
    <row r="112" spans="1:11" ht="19.5" customHeight="1" x14ac:dyDescent="0.25">
      <c r="A112" s="19"/>
      <c r="B112" s="233"/>
      <c r="C112" s="238"/>
      <c r="D112" s="239"/>
      <c r="E112" s="240"/>
      <c r="F112" s="19"/>
      <c r="G112" s="242"/>
      <c r="H112" s="238"/>
      <c r="I112" s="241"/>
      <c r="J112" s="240"/>
      <c r="K112" s="19"/>
    </row>
    <row r="113" spans="1:11" ht="19.5" customHeight="1" x14ac:dyDescent="0.25">
      <c r="A113" s="19"/>
      <c r="B113" s="233"/>
      <c r="C113" s="238"/>
      <c r="D113" s="239"/>
      <c r="E113" s="240"/>
      <c r="F113" s="19"/>
      <c r="G113" s="242"/>
      <c r="H113" s="238"/>
      <c r="I113" s="241"/>
      <c r="J113" s="240"/>
      <c r="K113" s="19"/>
    </row>
    <row r="114" spans="1:11" ht="19.5" customHeight="1" x14ac:dyDescent="0.25">
      <c r="A114" s="19"/>
      <c r="B114" s="233"/>
      <c r="C114" s="238"/>
      <c r="D114" s="239"/>
      <c r="E114" s="240"/>
      <c r="F114" s="19"/>
      <c r="G114" s="242"/>
      <c r="H114" s="238"/>
      <c r="I114" s="241"/>
      <c r="J114" s="240"/>
      <c r="K114" s="19"/>
    </row>
    <row r="115" spans="1:11" ht="19.5" customHeight="1" x14ac:dyDescent="0.25">
      <c r="A115" s="19"/>
      <c r="B115" s="233"/>
      <c r="C115" s="238"/>
      <c r="D115" s="239"/>
      <c r="E115" s="240"/>
      <c r="F115" s="19"/>
      <c r="G115" s="242"/>
      <c r="H115" s="238"/>
      <c r="I115" s="241"/>
      <c r="J115" s="240"/>
      <c r="K115" s="19"/>
    </row>
    <row r="116" spans="1:11" ht="19.5" customHeight="1" x14ac:dyDescent="0.25">
      <c r="A116" s="19"/>
      <c r="B116" s="233"/>
      <c r="C116" s="238"/>
      <c r="D116" s="239"/>
      <c r="E116" s="240"/>
      <c r="F116" s="19"/>
      <c r="G116" s="242"/>
      <c r="H116" s="238"/>
      <c r="I116" s="241"/>
      <c r="J116" s="240"/>
      <c r="K116" s="19"/>
    </row>
    <row r="117" spans="1:11" ht="19.5" customHeight="1" x14ac:dyDescent="0.25">
      <c r="A117" s="19"/>
      <c r="B117" s="233"/>
      <c r="C117" s="238"/>
      <c r="D117" s="239"/>
      <c r="E117" s="240"/>
      <c r="F117" s="19"/>
      <c r="G117" s="242"/>
      <c r="H117" s="238"/>
      <c r="I117" s="241"/>
      <c r="J117" s="240"/>
      <c r="K117" s="19"/>
    </row>
    <row r="118" spans="1:11" ht="19.5" customHeight="1" x14ac:dyDescent="0.25">
      <c r="A118" s="19"/>
      <c r="B118" s="233"/>
      <c r="C118" s="238"/>
      <c r="D118" s="239"/>
      <c r="E118" s="240"/>
      <c r="F118" s="19"/>
      <c r="G118" s="242"/>
      <c r="H118" s="238"/>
      <c r="I118" s="241"/>
      <c r="J118" s="240"/>
      <c r="K118" s="19"/>
    </row>
    <row r="119" spans="1:11" ht="19.5" customHeight="1" x14ac:dyDescent="0.25">
      <c r="A119" s="19"/>
      <c r="B119" s="233"/>
      <c r="C119" s="238"/>
      <c r="D119" s="239"/>
      <c r="E119" s="240"/>
      <c r="F119" s="19"/>
      <c r="G119" s="242"/>
      <c r="H119" s="238"/>
      <c r="I119" s="241"/>
      <c r="J119" s="240"/>
      <c r="K119" s="19"/>
    </row>
    <row r="120" spans="1:11" ht="19.5" customHeight="1" x14ac:dyDescent="0.25">
      <c r="A120" s="19"/>
      <c r="B120" s="233"/>
      <c r="C120" s="238"/>
      <c r="D120" s="239"/>
      <c r="E120" s="240"/>
      <c r="F120" s="19"/>
      <c r="G120" s="242"/>
      <c r="H120" s="238"/>
      <c r="I120" s="241"/>
      <c r="J120" s="240"/>
      <c r="K120" s="19"/>
    </row>
    <row r="121" spans="1:11" ht="19.5" customHeight="1" x14ac:dyDescent="0.25">
      <c r="A121" s="19"/>
      <c r="B121" s="233"/>
      <c r="C121" s="238"/>
      <c r="D121" s="239"/>
      <c r="E121" s="240"/>
      <c r="F121" s="19"/>
      <c r="G121" s="242"/>
      <c r="H121" s="238"/>
      <c r="I121" s="241"/>
      <c r="J121" s="240"/>
      <c r="K121" s="19"/>
    </row>
    <row r="122" spans="1:11" ht="19.5" customHeight="1" x14ac:dyDescent="0.25">
      <c r="A122" s="19"/>
      <c r="B122" s="233"/>
      <c r="C122" s="238"/>
      <c r="D122" s="239"/>
      <c r="E122" s="240"/>
      <c r="F122" s="19"/>
      <c r="G122" s="242"/>
      <c r="H122" s="238"/>
      <c r="I122" s="241"/>
      <c r="J122" s="240"/>
      <c r="K122" s="19"/>
    </row>
    <row r="123" spans="1:11" ht="19.5" customHeight="1" x14ac:dyDescent="0.25">
      <c r="A123" s="19"/>
      <c r="B123" s="233"/>
      <c r="C123" s="238"/>
      <c r="D123" s="239"/>
      <c r="E123" s="240"/>
      <c r="F123" s="19"/>
      <c r="G123" s="242"/>
      <c r="H123" s="238"/>
      <c r="I123" s="241"/>
      <c r="J123" s="240"/>
      <c r="K123" s="19"/>
    </row>
    <row r="124" spans="1:11" ht="19.5" customHeight="1" x14ac:dyDescent="0.25">
      <c r="A124" s="19"/>
      <c r="B124" s="233"/>
      <c r="C124" s="238"/>
      <c r="D124" s="239"/>
      <c r="E124" s="240"/>
      <c r="F124" s="19"/>
      <c r="G124" s="242"/>
      <c r="H124" s="238"/>
      <c r="I124" s="241"/>
      <c r="J124" s="240"/>
      <c r="K124" s="19"/>
    </row>
    <row r="125" spans="1:11" ht="19.5" customHeight="1" x14ac:dyDescent="0.25">
      <c r="A125" s="19"/>
      <c r="B125" s="233"/>
      <c r="C125" s="238"/>
      <c r="D125" s="239"/>
      <c r="E125" s="240"/>
      <c r="F125" s="19"/>
      <c r="G125" s="242"/>
      <c r="H125" s="238"/>
      <c r="I125" s="241"/>
      <c r="J125" s="240"/>
      <c r="K125" s="19"/>
    </row>
    <row r="126" spans="1:11" ht="19.5" customHeight="1" x14ac:dyDescent="0.25">
      <c r="A126" s="19"/>
      <c r="B126" s="233"/>
      <c r="C126" s="238"/>
      <c r="D126" s="239"/>
      <c r="E126" s="240"/>
      <c r="F126" s="19"/>
      <c r="G126" s="242"/>
      <c r="H126" s="238"/>
      <c r="I126" s="241"/>
      <c r="J126" s="240"/>
      <c r="K126" s="19"/>
    </row>
    <row r="127" spans="1:11" ht="19.5" customHeight="1" x14ac:dyDescent="0.25">
      <c r="A127" s="19"/>
      <c r="B127" s="233"/>
      <c r="C127" s="238"/>
      <c r="D127" s="239"/>
      <c r="E127" s="240"/>
      <c r="F127" s="19"/>
      <c r="G127" s="242"/>
      <c r="H127" s="238"/>
      <c r="I127" s="241"/>
      <c r="J127" s="240"/>
      <c r="K127" s="19"/>
    </row>
    <row r="128" spans="1:11" ht="19.5" customHeight="1" x14ac:dyDescent="0.25">
      <c r="A128" s="19"/>
      <c r="B128" s="233"/>
      <c r="C128" s="238"/>
      <c r="D128" s="239"/>
      <c r="E128" s="240"/>
      <c r="F128" s="19"/>
      <c r="G128" s="242"/>
      <c r="H128" s="238"/>
      <c r="I128" s="241"/>
      <c r="J128" s="240"/>
      <c r="K128" s="19"/>
    </row>
    <row r="129" spans="1:11" ht="19.5" customHeight="1" x14ac:dyDescent="0.25">
      <c r="A129" s="19"/>
      <c r="B129" s="233"/>
      <c r="C129" s="238"/>
      <c r="D129" s="239"/>
      <c r="E129" s="240"/>
      <c r="F129" s="19"/>
      <c r="G129" s="242"/>
      <c r="H129" s="238"/>
      <c r="I129" s="241"/>
      <c r="J129" s="240"/>
      <c r="K129" s="19"/>
    </row>
    <row r="130" spans="1:11" ht="19.5" customHeight="1" x14ac:dyDescent="0.25">
      <c r="A130" s="19"/>
      <c r="B130" s="233"/>
      <c r="C130" s="238"/>
      <c r="D130" s="239"/>
      <c r="E130" s="240"/>
      <c r="F130" s="19"/>
      <c r="G130" s="242"/>
      <c r="H130" s="238"/>
      <c r="I130" s="241"/>
      <c r="J130" s="240"/>
      <c r="K130" s="19"/>
    </row>
    <row r="131" spans="1:11" ht="19.5" customHeight="1" x14ac:dyDescent="0.25">
      <c r="A131" s="19"/>
      <c r="B131" s="233"/>
      <c r="C131" s="238"/>
      <c r="D131" s="239"/>
      <c r="E131" s="240"/>
      <c r="F131" s="19"/>
      <c r="G131" s="242"/>
      <c r="H131" s="238"/>
      <c r="I131" s="241"/>
      <c r="J131" s="240"/>
      <c r="K131" s="19"/>
    </row>
    <row r="132" spans="1:11" ht="19.5" customHeight="1" x14ac:dyDescent="0.25">
      <c r="A132" s="19"/>
      <c r="B132" s="233"/>
      <c r="C132" s="238"/>
      <c r="D132" s="239"/>
      <c r="E132" s="240"/>
      <c r="F132" s="19"/>
      <c r="G132" s="242"/>
      <c r="H132" s="238"/>
      <c r="I132" s="241"/>
      <c r="J132" s="240"/>
      <c r="K132" s="19"/>
    </row>
    <row r="133" spans="1:11" ht="19.5" customHeight="1" x14ac:dyDescent="0.25">
      <c r="A133" s="19"/>
      <c r="B133" s="233"/>
      <c r="C133" s="238"/>
      <c r="D133" s="239"/>
      <c r="E133" s="240"/>
      <c r="F133" s="19"/>
      <c r="G133" s="242"/>
      <c r="H133" s="238"/>
      <c r="I133" s="241"/>
      <c r="J133" s="240"/>
      <c r="K133" s="19"/>
    </row>
    <row r="134" spans="1:11" ht="19.5" customHeight="1" x14ac:dyDescent="0.25">
      <c r="A134" s="19"/>
      <c r="B134" s="233"/>
      <c r="C134" s="238"/>
      <c r="D134" s="239"/>
      <c r="E134" s="240"/>
      <c r="F134" s="19"/>
      <c r="G134" s="242"/>
      <c r="H134" s="238"/>
      <c r="I134" s="241"/>
      <c r="J134" s="240"/>
      <c r="K134" s="19"/>
    </row>
    <row r="135" spans="1:11" ht="19.5" customHeight="1" x14ac:dyDescent="0.25">
      <c r="A135" s="19"/>
      <c r="B135" s="233"/>
      <c r="C135" s="238"/>
      <c r="D135" s="239"/>
      <c r="E135" s="240"/>
      <c r="F135" s="19"/>
      <c r="G135" s="242"/>
      <c r="H135" s="238"/>
      <c r="I135" s="241"/>
      <c r="J135" s="240"/>
      <c r="K135" s="19"/>
    </row>
    <row r="136" spans="1:11" ht="19.5" customHeight="1" x14ac:dyDescent="0.25">
      <c r="A136" s="19"/>
      <c r="B136" s="233"/>
      <c r="C136" s="238"/>
      <c r="D136" s="239"/>
      <c r="E136" s="240"/>
      <c r="F136" s="19"/>
      <c r="G136" s="242"/>
      <c r="H136" s="238"/>
      <c r="I136" s="241"/>
      <c r="J136" s="240"/>
      <c r="K136" s="19"/>
    </row>
    <row r="137" spans="1:11" ht="19.5" customHeight="1" x14ac:dyDescent="0.25">
      <c r="A137" s="19"/>
      <c r="B137" s="233"/>
      <c r="C137" s="238"/>
      <c r="D137" s="239"/>
      <c r="E137" s="240"/>
      <c r="F137" s="19"/>
      <c r="G137" s="242"/>
      <c r="H137" s="238"/>
      <c r="I137" s="241"/>
      <c r="J137" s="240"/>
      <c r="K137" s="19"/>
    </row>
    <row r="138" spans="1:11" ht="19.5" customHeight="1" x14ac:dyDescent="0.25">
      <c r="A138" s="19"/>
      <c r="B138" s="233"/>
      <c r="C138" s="238"/>
      <c r="D138" s="239"/>
      <c r="E138" s="240"/>
      <c r="F138" s="19"/>
      <c r="G138" s="242"/>
      <c r="H138" s="238"/>
      <c r="I138" s="241"/>
      <c r="J138" s="240"/>
      <c r="K138" s="19"/>
    </row>
    <row r="139" spans="1:11" ht="19.5" customHeight="1" x14ac:dyDescent="0.25">
      <c r="A139" s="19"/>
      <c r="B139" s="233"/>
      <c r="C139" s="238"/>
      <c r="D139" s="239"/>
      <c r="E139" s="240"/>
      <c r="F139" s="19"/>
      <c r="G139" s="245"/>
      <c r="H139" s="246"/>
      <c r="I139" s="126"/>
      <c r="J139" s="247"/>
      <c r="K139" s="19"/>
    </row>
    <row r="140" spans="1:11" ht="19.5" customHeight="1" x14ac:dyDescent="0.25">
      <c r="A140" s="19"/>
      <c r="B140" s="233"/>
      <c r="C140" s="238"/>
      <c r="D140" s="239"/>
      <c r="E140" s="240"/>
      <c r="F140" s="19"/>
      <c r="G140" s="245"/>
      <c r="H140" s="246"/>
      <c r="I140" s="126"/>
      <c r="J140" s="247"/>
      <c r="K140" s="19"/>
    </row>
    <row r="141" spans="1:11" ht="19.5" customHeight="1" x14ac:dyDescent="0.25">
      <c r="A141" s="19"/>
      <c r="B141" s="233"/>
      <c r="C141" s="238"/>
      <c r="D141" s="239"/>
      <c r="E141" s="240"/>
      <c r="F141" s="19"/>
      <c r="G141" s="245"/>
      <c r="H141" s="246"/>
      <c r="I141" s="126"/>
      <c r="J141" s="247"/>
      <c r="K141" s="19"/>
    </row>
    <row r="142" spans="1:11" ht="19.5" customHeight="1" x14ac:dyDescent="0.25">
      <c r="A142" s="19"/>
      <c r="B142" s="233"/>
      <c r="C142" s="238"/>
      <c r="D142" s="239"/>
      <c r="E142" s="240"/>
      <c r="F142" s="19"/>
      <c r="G142" s="245"/>
      <c r="H142" s="246"/>
      <c r="I142" s="126"/>
      <c r="J142" s="247"/>
      <c r="K142" s="19"/>
    </row>
    <row r="143" spans="1:11" ht="19.5" customHeight="1" x14ac:dyDescent="0.25">
      <c r="A143" s="19"/>
      <c r="B143" s="233"/>
      <c r="C143" s="238"/>
      <c r="D143" s="239"/>
      <c r="E143" s="240"/>
      <c r="F143" s="19"/>
      <c r="G143" s="245"/>
      <c r="H143" s="246"/>
      <c r="I143" s="126"/>
      <c r="J143" s="247"/>
      <c r="K143" s="19"/>
    </row>
    <row r="144" spans="1:11" ht="19.5" customHeight="1" x14ac:dyDescent="0.25">
      <c r="A144" s="19"/>
      <c r="B144" s="233"/>
      <c r="C144" s="238"/>
      <c r="D144" s="239"/>
      <c r="E144" s="240"/>
      <c r="F144" s="19"/>
      <c r="G144" s="245"/>
      <c r="H144" s="246"/>
      <c r="I144" s="126"/>
      <c r="J144" s="247"/>
      <c r="K144" s="19"/>
    </row>
    <row r="145" spans="1:11" ht="19.5" customHeight="1" x14ac:dyDescent="0.25">
      <c r="A145" s="19"/>
      <c r="B145" s="233"/>
      <c r="C145" s="238"/>
      <c r="D145" s="239"/>
      <c r="E145" s="240"/>
      <c r="F145" s="19"/>
      <c r="G145" s="245"/>
      <c r="H145" s="246"/>
      <c r="I145" s="126"/>
      <c r="J145" s="247"/>
      <c r="K145" s="19"/>
    </row>
    <row r="146" spans="1:11" ht="19.5" customHeight="1" x14ac:dyDescent="0.25">
      <c r="A146" s="19"/>
      <c r="B146" s="233"/>
      <c r="C146" s="238"/>
      <c r="D146" s="239"/>
      <c r="E146" s="240"/>
      <c r="F146" s="19"/>
      <c r="G146" s="245"/>
      <c r="H146" s="246"/>
      <c r="I146" s="126"/>
      <c r="J146" s="247"/>
      <c r="K146" s="19"/>
    </row>
    <row r="147" spans="1:11" ht="19.5" customHeight="1" x14ac:dyDescent="0.25">
      <c r="A147" s="19"/>
      <c r="B147" s="233"/>
      <c r="C147" s="238"/>
      <c r="D147" s="239"/>
      <c r="E147" s="240"/>
      <c r="F147" s="19"/>
      <c r="G147" s="245"/>
      <c r="H147" s="246"/>
      <c r="I147" s="126"/>
      <c r="J147" s="247"/>
      <c r="K147" s="19"/>
    </row>
    <row r="148" spans="1:11" ht="19.5" customHeight="1" x14ac:dyDescent="0.25">
      <c r="A148" s="19"/>
      <c r="B148" s="233"/>
      <c r="C148" s="238"/>
      <c r="D148" s="239"/>
      <c r="E148" s="240"/>
      <c r="F148" s="19"/>
      <c r="G148" s="245"/>
      <c r="H148" s="246"/>
      <c r="I148" s="126"/>
      <c r="J148" s="247"/>
      <c r="K148" s="19"/>
    </row>
    <row r="149" spans="1:11" ht="19.5" customHeight="1" x14ac:dyDescent="0.25">
      <c r="A149" s="19"/>
      <c r="B149" s="233"/>
      <c r="C149" s="238"/>
      <c r="D149" s="239"/>
      <c r="E149" s="240"/>
      <c r="F149" s="19"/>
      <c r="G149" s="245"/>
      <c r="H149" s="246"/>
      <c r="I149" s="126"/>
      <c r="J149" s="247"/>
      <c r="K149" s="19"/>
    </row>
    <row r="150" spans="1:11" ht="19.5" customHeight="1" x14ac:dyDescent="0.25">
      <c r="A150" s="19"/>
      <c r="B150" s="233"/>
      <c r="C150" s="238"/>
      <c r="D150" s="239"/>
      <c r="E150" s="240"/>
      <c r="F150" s="19"/>
      <c r="G150" s="245"/>
      <c r="H150" s="246"/>
      <c r="I150" s="126"/>
      <c r="J150" s="247"/>
      <c r="K150" s="19"/>
    </row>
    <row r="151" spans="1:11" ht="19.5" customHeight="1" x14ac:dyDescent="0.25">
      <c r="A151" s="19"/>
      <c r="B151" s="233"/>
      <c r="C151" s="238"/>
      <c r="D151" s="239"/>
      <c r="E151" s="240"/>
      <c r="F151" s="19"/>
      <c r="G151" s="245"/>
      <c r="H151" s="246"/>
      <c r="I151" s="126"/>
      <c r="J151" s="247"/>
      <c r="K151" s="19"/>
    </row>
    <row r="152" spans="1:11" ht="19.5" customHeight="1" x14ac:dyDescent="0.25">
      <c r="A152" s="19"/>
      <c r="B152" s="233"/>
      <c r="C152" s="238"/>
      <c r="D152" s="239"/>
      <c r="E152" s="240"/>
      <c r="F152" s="19"/>
      <c r="G152" s="245"/>
      <c r="H152" s="246"/>
      <c r="I152" s="126"/>
      <c r="J152" s="247"/>
      <c r="K152" s="19"/>
    </row>
    <row r="153" spans="1:11" ht="19.5" customHeight="1" x14ac:dyDescent="0.25">
      <c r="A153" s="19"/>
      <c r="B153" s="233"/>
      <c r="C153" s="238"/>
      <c r="D153" s="239"/>
      <c r="E153" s="240"/>
      <c r="F153" s="19"/>
      <c r="G153" s="245"/>
      <c r="H153" s="246"/>
      <c r="I153" s="126"/>
      <c r="J153" s="247"/>
      <c r="K153" s="19"/>
    </row>
    <row r="154" spans="1:11" ht="19.5" customHeight="1" x14ac:dyDescent="0.25">
      <c r="A154" s="19"/>
      <c r="B154" s="233"/>
      <c r="C154" s="238"/>
      <c r="D154" s="239"/>
      <c r="E154" s="240"/>
      <c r="F154" s="19"/>
      <c r="G154" s="245"/>
      <c r="H154" s="246"/>
      <c r="I154" s="126"/>
      <c r="J154" s="247"/>
      <c r="K154" s="19"/>
    </row>
    <row r="155" spans="1:11" ht="19.5" customHeight="1" x14ac:dyDescent="0.25">
      <c r="A155" s="19"/>
      <c r="B155" s="233"/>
      <c r="C155" s="238"/>
      <c r="D155" s="239"/>
      <c r="E155" s="240"/>
      <c r="F155" s="19"/>
      <c r="G155" s="245"/>
      <c r="H155" s="246"/>
      <c r="I155" s="126"/>
      <c r="J155" s="247"/>
      <c r="K155" s="19"/>
    </row>
    <row r="156" spans="1:11" ht="19.5" customHeight="1" x14ac:dyDescent="0.25">
      <c r="A156" s="19"/>
      <c r="B156" s="233"/>
      <c r="C156" s="238"/>
      <c r="D156" s="239"/>
      <c r="E156" s="240"/>
      <c r="F156" s="19"/>
      <c r="G156" s="245"/>
      <c r="H156" s="246"/>
      <c r="I156" s="126"/>
      <c r="J156" s="247"/>
      <c r="K156" s="19"/>
    </row>
    <row r="157" spans="1:11" ht="19.5" customHeight="1" x14ac:dyDescent="0.25">
      <c r="A157" s="19"/>
      <c r="B157" s="233"/>
      <c r="C157" s="238"/>
      <c r="D157" s="239"/>
      <c r="E157" s="240"/>
      <c r="F157" s="19"/>
      <c r="G157" s="245"/>
      <c r="H157" s="246"/>
      <c r="I157" s="126"/>
      <c r="J157" s="247"/>
      <c r="K157" s="19"/>
    </row>
    <row r="158" spans="1:11" ht="19.5" customHeight="1" x14ac:dyDescent="0.25">
      <c r="A158" s="19"/>
      <c r="B158" s="233"/>
      <c r="C158" s="238"/>
      <c r="D158" s="239"/>
      <c r="E158" s="240"/>
      <c r="F158" s="19"/>
      <c r="G158" s="245"/>
      <c r="H158" s="246"/>
      <c r="I158" s="126"/>
      <c r="J158" s="247"/>
      <c r="K158" s="19"/>
    </row>
    <row r="159" spans="1:11" ht="19.5" customHeight="1" x14ac:dyDescent="0.25">
      <c r="A159" s="19"/>
      <c r="B159" s="233"/>
      <c r="C159" s="238"/>
      <c r="D159" s="239"/>
      <c r="E159" s="240"/>
      <c r="F159" s="19"/>
      <c r="G159" s="245"/>
      <c r="H159" s="246"/>
      <c r="I159" s="126"/>
      <c r="J159" s="247"/>
      <c r="K159" s="19"/>
    </row>
    <row r="160" spans="1:11" ht="19.5" customHeight="1" x14ac:dyDescent="0.25">
      <c r="A160" s="19"/>
      <c r="B160" s="245"/>
      <c r="C160" s="246"/>
      <c r="D160" s="248"/>
      <c r="E160" s="247"/>
      <c r="F160" s="19"/>
      <c r="G160" s="245"/>
      <c r="H160" s="246"/>
      <c r="I160" s="126"/>
      <c r="J160" s="247"/>
      <c r="K160" s="19"/>
    </row>
    <row r="161" spans="1:11" ht="19.5" customHeight="1" x14ac:dyDescent="0.25">
      <c r="A161" s="19"/>
      <c r="B161" s="245"/>
      <c r="C161" s="246"/>
      <c r="D161" s="248"/>
      <c r="E161" s="247"/>
      <c r="F161" s="19"/>
      <c r="G161" s="245"/>
      <c r="H161" s="246"/>
      <c r="I161" s="126"/>
      <c r="J161" s="247"/>
      <c r="K161" s="19"/>
    </row>
    <row r="162" spans="1:11" ht="19.5" customHeight="1" x14ac:dyDescent="0.25">
      <c r="A162" s="19"/>
      <c r="B162" s="245"/>
      <c r="C162" s="246"/>
      <c r="D162" s="248"/>
      <c r="E162" s="247"/>
      <c r="F162" s="19"/>
      <c r="G162" s="245"/>
      <c r="H162" s="246"/>
      <c r="I162" s="126"/>
      <c r="J162" s="247"/>
      <c r="K162" s="19"/>
    </row>
    <row r="163" spans="1:11" ht="19.5" customHeight="1" x14ac:dyDescent="0.25">
      <c r="A163" s="19"/>
      <c r="B163" s="245"/>
      <c r="C163" s="246"/>
      <c r="D163" s="248"/>
      <c r="E163" s="247"/>
      <c r="F163" s="19"/>
      <c r="G163" s="245"/>
      <c r="H163" s="246"/>
      <c r="I163" s="126"/>
      <c r="J163" s="247"/>
      <c r="K163" s="19"/>
    </row>
    <row r="164" spans="1:11" ht="19.5" customHeight="1" x14ac:dyDescent="0.25">
      <c r="A164" s="19"/>
      <c r="B164" s="245"/>
      <c r="C164" s="246"/>
      <c r="D164" s="248"/>
      <c r="E164" s="247"/>
      <c r="F164" s="19"/>
      <c r="G164" s="245"/>
      <c r="H164" s="246"/>
      <c r="I164" s="126"/>
      <c r="J164" s="247"/>
      <c r="K164" s="19"/>
    </row>
    <row r="165" spans="1:11" ht="19.5" customHeight="1" x14ac:dyDescent="0.25">
      <c r="A165" s="19"/>
      <c r="B165" s="245"/>
      <c r="C165" s="246"/>
      <c r="D165" s="248"/>
      <c r="E165" s="247"/>
      <c r="F165" s="19"/>
      <c r="G165" s="245"/>
      <c r="H165" s="246"/>
      <c r="I165" s="126"/>
      <c r="J165" s="247"/>
      <c r="K165" s="19"/>
    </row>
    <row r="166" spans="1:11" ht="19.5" customHeight="1" x14ac:dyDescent="0.25">
      <c r="A166" s="19"/>
      <c r="B166" s="245"/>
      <c r="C166" s="246"/>
      <c r="D166" s="248"/>
      <c r="E166" s="247"/>
      <c r="F166" s="19"/>
      <c r="G166" s="245"/>
      <c r="H166" s="246"/>
      <c r="I166" s="126"/>
      <c r="J166" s="247"/>
      <c r="K166" s="19"/>
    </row>
    <row r="167" spans="1:11" ht="19.5" customHeight="1" x14ac:dyDescent="0.25">
      <c r="A167" s="19"/>
      <c r="B167" s="245"/>
      <c r="C167" s="246"/>
      <c r="D167" s="248"/>
      <c r="E167" s="247"/>
      <c r="F167" s="19"/>
      <c r="G167" s="245"/>
      <c r="H167" s="246"/>
      <c r="I167" s="126"/>
      <c r="J167" s="247"/>
      <c r="K167" s="19"/>
    </row>
    <row r="168" spans="1:11" ht="19.5" customHeight="1" x14ac:dyDescent="0.25">
      <c r="A168" s="19"/>
      <c r="B168" s="245"/>
      <c r="C168" s="246"/>
      <c r="D168" s="248"/>
      <c r="E168" s="247"/>
      <c r="F168" s="19"/>
      <c r="G168" s="245"/>
      <c r="H168" s="246"/>
      <c r="I168" s="126"/>
      <c r="J168" s="247"/>
      <c r="K168" s="19"/>
    </row>
    <row r="169" spans="1:11" ht="19.5" customHeight="1" x14ac:dyDescent="0.25">
      <c r="A169" s="19"/>
      <c r="B169" s="245"/>
      <c r="C169" s="246"/>
      <c r="D169" s="248"/>
      <c r="E169" s="247"/>
      <c r="F169" s="19"/>
      <c r="G169" s="245"/>
      <c r="H169" s="246"/>
      <c r="I169" s="126"/>
      <c r="J169" s="247"/>
      <c r="K169" s="19"/>
    </row>
    <row r="170" spans="1:11" ht="19.5" customHeight="1" x14ac:dyDescent="0.25">
      <c r="A170" s="19"/>
      <c r="B170" s="245"/>
      <c r="C170" s="246"/>
      <c r="D170" s="248"/>
      <c r="E170" s="247"/>
      <c r="F170" s="19"/>
      <c r="G170" s="245"/>
      <c r="H170" s="246"/>
      <c r="I170" s="126"/>
      <c r="J170" s="247"/>
      <c r="K170" s="19"/>
    </row>
    <row r="171" spans="1:11" ht="19.5" customHeight="1" x14ac:dyDescent="0.25">
      <c r="A171" s="19"/>
      <c r="B171" s="245"/>
      <c r="C171" s="246"/>
      <c r="D171" s="248"/>
      <c r="E171" s="247"/>
      <c r="F171" s="19"/>
      <c r="G171" s="245"/>
      <c r="H171" s="246"/>
      <c r="I171" s="126"/>
      <c r="J171" s="247"/>
      <c r="K171" s="19"/>
    </row>
    <row r="172" spans="1:11" ht="19.5" customHeight="1" x14ac:dyDescent="0.25">
      <c r="A172" s="19"/>
      <c r="B172" s="245"/>
      <c r="C172" s="246"/>
      <c r="D172" s="248"/>
      <c r="E172" s="247"/>
      <c r="F172" s="19"/>
      <c r="G172" s="245"/>
      <c r="H172" s="246"/>
      <c r="I172" s="126"/>
      <c r="J172" s="247"/>
      <c r="K172" s="19"/>
    </row>
    <row r="173" spans="1:11" ht="19.5" customHeight="1" x14ac:dyDescent="0.25">
      <c r="A173" s="19"/>
      <c r="B173" s="245"/>
      <c r="C173" s="246"/>
      <c r="D173" s="248"/>
      <c r="E173" s="247"/>
      <c r="F173" s="19"/>
      <c r="G173" s="245"/>
      <c r="H173" s="246"/>
      <c r="I173" s="126"/>
      <c r="J173" s="247"/>
      <c r="K173" s="19"/>
    </row>
    <row r="174" spans="1:11" ht="19.5" customHeight="1" x14ac:dyDescent="0.25">
      <c r="A174" s="19"/>
      <c r="B174" s="245"/>
      <c r="C174" s="246"/>
      <c r="D174" s="248"/>
      <c r="E174" s="247"/>
      <c r="F174" s="19"/>
      <c r="G174" s="245"/>
      <c r="H174" s="246"/>
      <c r="I174" s="126"/>
      <c r="J174" s="247"/>
      <c r="K174" s="19"/>
    </row>
    <row r="175" spans="1:11" ht="19.5" customHeight="1" x14ac:dyDescent="0.25">
      <c r="A175" s="19"/>
      <c r="B175" s="245"/>
      <c r="C175" s="246"/>
      <c r="D175" s="248"/>
      <c r="E175" s="247"/>
      <c r="F175" s="19"/>
      <c r="G175" s="245"/>
      <c r="H175" s="246"/>
      <c r="I175" s="126"/>
      <c r="J175" s="247"/>
      <c r="K175" s="19"/>
    </row>
    <row r="176" spans="1:11" ht="19.5" customHeight="1" x14ac:dyDescent="0.25">
      <c r="A176" s="19"/>
      <c r="B176" s="245"/>
      <c r="C176" s="246"/>
      <c r="D176" s="248"/>
      <c r="E176" s="247"/>
      <c r="F176" s="19"/>
      <c r="G176" s="245"/>
      <c r="H176" s="246"/>
      <c r="I176" s="126"/>
      <c r="J176" s="247"/>
      <c r="K176" s="19"/>
    </row>
    <row r="177" spans="1:11" ht="19.5" customHeight="1" x14ac:dyDescent="0.25">
      <c r="A177" s="19"/>
      <c r="B177" s="245"/>
      <c r="C177" s="246"/>
      <c r="D177" s="248"/>
      <c r="E177" s="247"/>
      <c r="F177" s="19"/>
      <c r="G177" s="245"/>
      <c r="H177" s="246"/>
      <c r="I177" s="126"/>
      <c r="J177" s="247"/>
      <c r="K177" s="19"/>
    </row>
    <row r="178" spans="1:11" ht="19.5" customHeight="1" x14ac:dyDescent="0.25">
      <c r="A178" s="19"/>
      <c r="B178" s="245"/>
      <c r="C178" s="246"/>
      <c r="D178" s="248"/>
      <c r="E178" s="247"/>
      <c r="F178" s="19"/>
      <c r="G178" s="245"/>
      <c r="H178" s="246"/>
      <c r="I178" s="126"/>
      <c r="J178" s="247"/>
      <c r="K178" s="19"/>
    </row>
    <row r="179" spans="1:11" ht="19.5" customHeight="1" x14ac:dyDescent="0.25">
      <c r="A179" s="19"/>
      <c r="B179" s="245"/>
      <c r="C179" s="246"/>
      <c r="D179" s="248"/>
      <c r="E179" s="247"/>
      <c r="F179" s="19"/>
      <c r="G179" s="245"/>
      <c r="H179" s="246"/>
      <c r="I179" s="126"/>
      <c r="J179" s="247"/>
      <c r="K179" s="19"/>
    </row>
    <row r="180" spans="1:11" ht="19.5" customHeight="1" x14ac:dyDescent="0.25">
      <c r="A180" s="19"/>
      <c r="B180" s="245"/>
      <c r="C180" s="246"/>
      <c r="D180" s="248"/>
      <c r="E180" s="247"/>
      <c r="F180" s="19"/>
      <c r="G180" s="245"/>
      <c r="H180" s="246"/>
      <c r="I180" s="126"/>
      <c r="J180" s="247"/>
      <c r="K180" s="19"/>
    </row>
    <row r="181" spans="1:11" ht="19.5" customHeight="1" x14ac:dyDescent="0.25">
      <c r="A181" s="19"/>
      <c r="B181" s="245"/>
      <c r="C181" s="246"/>
      <c r="D181" s="248"/>
      <c r="E181" s="247"/>
      <c r="F181" s="19"/>
      <c r="G181" s="245"/>
      <c r="H181" s="246"/>
      <c r="I181" s="126"/>
      <c r="J181" s="247"/>
      <c r="K181" s="19"/>
    </row>
    <row r="182" spans="1:11" ht="19.5" customHeight="1" x14ac:dyDescent="0.25">
      <c r="A182" s="19"/>
      <c r="B182" s="245"/>
      <c r="C182" s="246"/>
      <c r="D182" s="248"/>
      <c r="E182" s="247"/>
      <c r="F182" s="19"/>
      <c r="G182" s="245"/>
      <c r="H182" s="246"/>
      <c r="I182" s="126"/>
      <c r="J182" s="247"/>
      <c r="K182" s="19"/>
    </row>
    <row r="183" spans="1:11" ht="19.5" customHeight="1" x14ac:dyDescent="0.25">
      <c r="A183" s="19"/>
      <c r="B183" s="245"/>
      <c r="C183" s="246"/>
      <c r="D183" s="248"/>
      <c r="E183" s="247"/>
      <c r="F183" s="19"/>
      <c r="G183" s="245"/>
      <c r="H183" s="246"/>
      <c r="I183" s="126"/>
      <c r="J183" s="247"/>
      <c r="K183" s="19"/>
    </row>
    <row r="184" spans="1:11" ht="19.5" customHeight="1" x14ac:dyDescent="0.25">
      <c r="A184" s="19"/>
      <c r="B184" s="245"/>
      <c r="C184" s="246"/>
      <c r="D184" s="248"/>
      <c r="E184" s="247"/>
      <c r="F184" s="19"/>
      <c r="G184" s="245"/>
      <c r="H184" s="246"/>
      <c r="I184" s="126"/>
      <c r="J184" s="247"/>
      <c r="K184" s="19"/>
    </row>
    <row r="185" spans="1:11" ht="19.5" customHeight="1" x14ac:dyDescent="0.25">
      <c r="A185" s="19"/>
      <c r="B185" s="245"/>
      <c r="C185" s="246"/>
      <c r="D185" s="248"/>
      <c r="E185" s="247"/>
      <c r="F185" s="19"/>
      <c r="G185" s="245"/>
      <c r="H185" s="246"/>
      <c r="I185" s="126"/>
      <c r="J185" s="247"/>
      <c r="K185" s="19"/>
    </row>
    <row r="186" spans="1:11" ht="19.5" customHeight="1" x14ac:dyDescent="0.25">
      <c r="A186" s="19"/>
      <c r="B186" s="245"/>
      <c r="C186" s="246"/>
      <c r="D186" s="248"/>
      <c r="E186" s="247"/>
      <c r="F186" s="19"/>
      <c r="G186" s="245"/>
      <c r="H186" s="246"/>
      <c r="I186" s="126"/>
      <c r="J186" s="247"/>
      <c r="K186" s="19"/>
    </row>
    <row r="187" spans="1:11" ht="19.5" customHeight="1" x14ac:dyDescent="0.25">
      <c r="A187" s="19"/>
      <c r="B187" s="245"/>
      <c r="C187" s="246"/>
      <c r="D187" s="248"/>
      <c r="E187" s="247"/>
      <c r="F187" s="19"/>
      <c r="G187" s="245"/>
      <c r="H187" s="246"/>
      <c r="I187" s="126"/>
      <c r="J187" s="247"/>
      <c r="K187" s="19"/>
    </row>
    <row r="188" spans="1:11" ht="19.5" customHeight="1" x14ac:dyDescent="0.25">
      <c r="A188" s="19"/>
      <c r="B188" s="245"/>
      <c r="C188" s="246"/>
      <c r="D188" s="248"/>
      <c r="E188" s="247"/>
      <c r="F188" s="19"/>
      <c r="G188" s="245"/>
      <c r="H188" s="246"/>
      <c r="I188" s="126"/>
      <c r="J188" s="247"/>
      <c r="K188" s="19"/>
    </row>
    <row r="189" spans="1:11" ht="19.5" customHeight="1" x14ac:dyDescent="0.25">
      <c r="A189" s="19"/>
      <c r="B189" s="245"/>
      <c r="C189" s="246"/>
      <c r="D189" s="248"/>
      <c r="E189" s="247"/>
      <c r="F189" s="19"/>
      <c r="G189" s="245"/>
      <c r="H189" s="246"/>
      <c r="I189" s="126"/>
      <c r="J189" s="247"/>
      <c r="K189" s="19"/>
    </row>
    <row r="190" spans="1:11" ht="19.5" customHeight="1" x14ac:dyDescent="0.25">
      <c r="A190" s="19"/>
      <c r="B190" s="245"/>
      <c r="C190" s="246"/>
      <c r="D190" s="248"/>
      <c r="E190" s="247"/>
      <c r="F190" s="19"/>
      <c r="G190" s="245"/>
      <c r="H190" s="246"/>
      <c r="I190" s="126"/>
      <c r="J190" s="247"/>
      <c r="K190" s="19"/>
    </row>
    <row r="191" spans="1:11" ht="19.5" customHeight="1" x14ac:dyDescent="0.25">
      <c r="A191" s="19"/>
      <c r="B191" s="245"/>
      <c r="C191" s="246"/>
      <c r="D191" s="248"/>
      <c r="E191" s="247"/>
      <c r="F191" s="19"/>
      <c r="G191" s="245"/>
      <c r="H191" s="246"/>
      <c r="I191" s="126"/>
      <c r="J191" s="247"/>
      <c r="K191" s="19"/>
    </row>
    <row r="192" spans="1:11" ht="19.5" customHeight="1" x14ac:dyDescent="0.25">
      <c r="A192" s="19"/>
      <c r="B192" s="245"/>
      <c r="C192" s="246"/>
      <c r="D192" s="248"/>
      <c r="E192" s="247"/>
      <c r="F192" s="19"/>
      <c r="G192" s="245"/>
      <c r="H192" s="246"/>
      <c r="I192" s="126"/>
      <c r="J192" s="247"/>
      <c r="K192" s="19"/>
    </row>
    <row r="193" spans="1:11" ht="19.5" customHeight="1" x14ac:dyDescent="0.25">
      <c r="A193" s="19"/>
      <c r="B193" s="245"/>
      <c r="C193" s="246"/>
      <c r="D193" s="248"/>
      <c r="E193" s="247"/>
      <c r="F193" s="19"/>
      <c r="G193" s="245"/>
      <c r="H193" s="246"/>
      <c r="I193" s="126"/>
      <c r="J193" s="247"/>
      <c r="K193" s="19"/>
    </row>
    <row r="194" spans="1:11" ht="19.5" customHeight="1" x14ac:dyDescent="0.25">
      <c r="A194" s="19"/>
      <c r="B194" s="245"/>
      <c r="C194" s="246"/>
      <c r="D194" s="248"/>
      <c r="E194" s="247"/>
      <c r="F194" s="19"/>
      <c r="G194" s="245"/>
      <c r="H194" s="246"/>
      <c r="I194" s="126"/>
      <c r="J194" s="247"/>
      <c r="K194" s="19"/>
    </row>
    <row r="195" spans="1:11" ht="19.5" customHeight="1" x14ac:dyDescent="0.25">
      <c r="A195" s="19"/>
      <c r="B195" s="245"/>
      <c r="C195" s="246"/>
      <c r="D195" s="248"/>
      <c r="E195" s="247"/>
      <c r="F195" s="19"/>
      <c r="G195" s="245"/>
      <c r="H195" s="246"/>
      <c r="I195" s="126"/>
      <c r="J195" s="247"/>
      <c r="K195" s="19"/>
    </row>
    <row r="196" spans="1:11" ht="19.5" customHeight="1" x14ac:dyDescent="0.25">
      <c r="A196" s="19"/>
      <c r="B196" s="245"/>
      <c r="C196" s="246"/>
      <c r="D196" s="248"/>
      <c r="E196" s="247"/>
      <c r="F196" s="19"/>
      <c r="G196" s="245"/>
      <c r="H196" s="246"/>
      <c r="I196" s="126"/>
      <c r="J196" s="247"/>
      <c r="K196" s="19"/>
    </row>
    <row r="197" spans="1:11" ht="19.5" customHeight="1" x14ac:dyDescent="0.25">
      <c r="A197" s="19"/>
      <c r="B197" s="245"/>
      <c r="C197" s="246"/>
      <c r="D197" s="248"/>
      <c r="E197" s="247"/>
      <c r="F197" s="19"/>
      <c r="G197" s="245"/>
      <c r="H197" s="246"/>
      <c r="I197" s="126"/>
      <c r="J197" s="247"/>
      <c r="K197" s="19"/>
    </row>
    <row r="198" spans="1:11" ht="19.5" customHeight="1" x14ac:dyDescent="0.25">
      <c r="A198" s="19"/>
      <c r="B198" s="245"/>
      <c r="C198" s="246"/>
      <c r="D198" s="248"/>
      <c r="E198" s="247"/>
      <c r="F198" s="19"/>
      <c r="G198" s="245"/>
      <c r="H198" s="246"/>
      <c r="I198" s="126"/>
      <c r="J198" s="247"/>
      <c r="K198" s="19"/>
    </row>
    <row r="199" spans="1:11" ht="19.5" customHeight="1" x14ac:dyDescent="0.25">
      <c r="A199" s="19"/>
      <c r="B199" s="245"/>
      <c r="C199" s="246"/>
      <c r="D199" s="248"/>
      <c r="E199" s="247"/>
      <c r="F199" s="19"/>
      <c r="G199" s="245"/>
      <c r="H199" s="246"/>
      <c r="I199" s="126"/>
      <c r="J199" s="247"/>
      <c r="K199" s="19"/>
    </row>
    <row r="200" spans="1:11" ht="19.5" customHeight="1" x14ac:dyDescent="0.25">
      <c r="A200" s="19"/>
      <c r="B200" s="245"/>
      <c r="C200" s="246"/>
      <c r="D200" s="248"/>
      <c r="E200" s="247"/>
      <c r="F200" s="19"/>
      <c r="G200" s="245"/>
      <c r="H200" s="246"/>
      <c r="I200" s="126"/>
      <c r="J200" s="247"/>
      <c r="K200" s="19"/>
    </row>
    <row r="201" spans="1:11" ht="19.5" customHeight="1" x14ac:dyDescent="0.25">
      <c r="A201" s="19"/>
      <c r="B201" s="245"/>
      <c r="C201" s="246"/>
      <c r="D201" s="248"/>
      <c r="E201" s="247"/>
      <c r="F201" s="19"/>
      <c r="G201" s="245"/>
      <c r="H201" s="246"/>
      <c r="I201" s="126"/>
      <c r="J201" s="247"/>
      <c r="K201" s="19"/>
    </row>
    <row r="202" spans="1:11" ht="19.5" customHeight="1" x14ac:dyDescent="0.25">
      <c r="A202" s="19"/>
      <c r="B202" s="245"/>
      <c r="C202" s="246"/>
      <c r="D202" s="248"/>
      <c r="E202" s="247"/>
      <c r="F202" s="19"/>
      <c r="G202" s="245"/>
      <c r="H202" s="246"/>
      <c r="I202" s="126"/>
      <c r="J202" s="247"/>
      <c r="K202" s="19"/>
    </row>
    <row r="203" spans="1:11" ht="19.5" customHeight="1" x14ac:dyDescent="0.25">
      <c r="A203" s="19"/>
      <c r="B203" s="245"/>
      <c r="C203" s="246"/>
      <c r="D203" s="248"/>
      <c r="E203" s="247"/>
      <c r="F203" s="19"/>
      <c r="G203" s="245"/>
      <c r="H203" s="246"/>
      <c r="I203" s="126"/>
      <c r="J203" s="247"/>
      <c r="K203" s="19"/>
    </row>
    <row r="204" spans="1:11" ht="19.5" customHeight="1" x14ac:dyDescent="0.25">
      <c r="A204" s="19"/>
      <c r="B204" s="245"/>
      <c r="C204" s="246"/>
      <c r="D204" s="248"/>
      <c r="E204" s="247"/>
      <c r="F204" s="19"/>
      <c r="G204" s="245"/>
      <c r="H204" s="246"/>
      <c r="I204" s="126"/>
      <c r="J204" s="247"/>
      <c r="K204" s="19"/>
    </row>
    <row r="205" spans="1:11" ht="19.5" customHeight="1" x14ac:dyDescent="0.25">
      <c r="A205" s="19"/>
      <c r="B205" s="245"/>
      <c r="C205" s="246"/>
      <c r="D205" s="248"/>
      <c r="E205" s="247"/>
      <c r="F205" s="19"/>
      <c r="G205" s="245"/>
      <c r="H205" s="246"/>
      <c r="I205" s="126"/>
      <c r="J205" s="247"/>
      <c r="K205" s="19"/>
    </row>
    <row r="206" spans="1:11" ht="19.5" customHeight="1" x14ac:dyDescent="0.25">
      <c r="A206" s="19"/>
      <c r="B206" s="245"/>
      <c r="C206" s="246"/>
      <c r="D206" s="248"/>
      <c r="E206" s="247"/>
      <c r="F206" s="19"/>
      <c r="G206" s="245"/>
      <c r="H206" s="246"/>
      <c r="I206" s="126"/>
      <c r="J206" s="247"/>
      <c r="K206" s="19"/>
    </row>
    <row r="207" spans="1:11" ht="19.5" customHeight="1" x14ac:dyDescent="0.25">
      <c r="A207" s="19"/>
      <c r="B207" s="245"/>
      <c r="C207" s="246"/>
      <c r="D207" s="248"/>
      <c r="E207" s="247"/>
      <c r="F207" s="19"/>
      <c r="G207" s="245"/>
      <c r="H207" s="246"/>
      <c r="I207" s="126"/>
      <c r="J207" s="247"/>
      <c r="K207" s="19"/>
    </row>
    <row r="208" spans="1:11" ht="19.5" customHeight="1" x14ac:dyDescent="0.25">
      <c r="A208" s="19"/>
      <c r="B208" s="245"/>
      <c r="C208" s="246"/>
      <c r="D208" s="248"/>
      <c r="E208" s="247"/>
      <c r="F208" s="19"/>
      <c r="G208" s="245"/>
      <c r="H208" s="246"/>
      <c r="I208" s="126"/>
      <c r="J208" s="247"/>
      <c r="K208" s="19"/>
    </row>
    <row r="209" spans="1:11" ht="19.5" customHeight="1" x14ac:dyDescent="0.25">
      <c r="A209" s="19"/>
      <c r="B209" s="245"/>
      <c r="C209" s="246"/>
      <c r="D209" s="248"/>
      <c r="E209" s="247"/>
      <c r="F209" s="19"/>
      <c r="G209" s="245"/>
      <c r="H209" s="246"/>
      <c r="I209" s="126"/>
      <c r="J209" s="247"/>
      <c r="K209" s="19"/>
    </row>
    <row r="210" spans="1:11" ht="19.5" customHeight="1" x14ac:dyDescent="0.25">
      <c r="A210" s="19"/>
      <c r="B210" s="245"/>
      <c r="C210" s="246"/>
      <c r="D210" s="248"/>
      <c r="E210" s="247"/>
      <c r="F210" s="19"/>
      <c r="G210" s="245"/>
      <c r="H210" s="246"/>
      <c r="I210" s="126"/>
      <c r="J210" s="247"/>
      <c r="K210" s="19"/>
    </row>
    <row r="211" spans="1:11" ht="19.5" customHeight="1" x14ac:dyDescent="0.25">
      <c r="A211" s="19"/>
      <c r="B211" s="245"/>
      <c r="C211" s="246"/>
      <c r="D211" s="248"/>
      <c r="E211" s="247"/>
      <c r="F211" s="19"/>
      <c r="G211" s="245"/>
      <c r="H211" s="246"/>
      <c r="I211" s="126"/>
      <c r="J211" s="247"/>
      <c r="K211" s="19"/>
    </row>
    <row r="212" spans="1:11" ht="19.5" customHeight="1" x14ac:dyDescent="0.25">
      <c r="A212" s="19"/>
      <c r="B212" s="245"/>
      <c r="C212" s="246"/>
      <c r="D212" s="248"/>
      <c r="E212" s="247"/>
      <c r="F212" s="19"/>
      <c r="G212" s="245"/>
      <c r="H212" s="246"/>
      <c r="I212" s="126"/>
      <c r="J212" s="247"/>
      <c r="K212" s="19"/>
    </row>
    <row r="213" spans="1:11" ht="19.5" customHeight="1" x14ac:dyDescent="0.25">
      <c r="A213" s="19"/>
      <c r="B213" s="245"/>
      <c r="C213" s="246"/>
      <c r="D213" s="248"/>
      <c r="E213" s="247"/>
      <c r="F213" s="19"/>
      <c r="G213" s="245"/>
      <c r="H213" s="246"/>
      <c r="I213" s="126"/>
      <c r="J213" s="247"/>
      <c r="K213" s="19"/>
    </row>
    <row r="214" spans="1:11" ht="19.5" customHeight="1" x14ac:dyDescent="0.25">
      <c r="A214" s="19"/>
      <c r="B214" s="245"/>
      <c r="C214" s="246"/>
      <c r="D214" s="248"/>
      <c r="E214" s="247"/>
      <c r="F214" s="19"/>
      <c r="G214" s="245"/>
      <c r="H214" s="246"/>
      <c r="I214" s="126"/>
      <c r="J214" s="247"/>
      <c r="K214" s="19"/>
    </row>
    <row r="215" spans="1:11" ht="19.5" customHeight="1" x14ac:dyDescent="0.25">
      <c r="A215" s="19"/>
      <c r="B215" s="245"/>
      <c r="C215" s="246"/>
      <c r="D215" s="248"/>
      <c r="E215" s="247"/>
      <c r="F215" s="19"/>
      <c r="G215" s="245"/>
      <c r="H215" s="246"/>
      <c r="I215" s="126"/>
      <c r="J215" s="247"/>
      <c r="K215" s="19"/>
    </row>
    <row r="216" spans="1:11" ht="19.5" customHeight="1" x14ac:dyDescent="0.25">
      <c r="A216" s="19"/>
      <c r="B216" s="245"/>
      <c r="C216" s="246"/>
      <c r="D216" s="248"/>
      <c r="E216" s="247"/>
      <c r="F216" s="19"/>
      <c r="G216" s="245"/>
      <c r="H216" s="246"/>
      <c r="I216" s="126"/>
      <c r="J216" s="247"/>
      <c r="K216" s="19"/>
    </row>
    <row r="217" spans="1:11" ht="19.5" customHeight="1" x14ac:dyDescent="0.25">
      <c r="A217" s="19"/>
      <c r="B217" s="245"/>
      <c r="C217" s="246"/>
      <c r="D217" s="248"/>
      <c r="E217" s="247"/>
      <c r="F217" s="19"/>
      <c r="G217" s="245"/>
      <c r="H217" s="246"/>
      <c r="I217" s="126"/>
      <c r="J217" s="247"/>
      <c r="K217" s="19"/>
    </row>
    <row r="218" spans="1:11" ht="19.5" customHeight="1" x14ac:dyDescent="0.25">
      <c r="A218" s="19"/>
      <c r="B218" s="245"/>
      <c r="C218" s="246"/>
      <c r="D218" s="248"/>
      <c r="E218" s="247"/>
      <c r="F218" s="19"/>
      <c r="G218" s="245"/>
      <c r="H218" s="246"/>
      <c r="I218" s="126"/>
      <c r="J218" s="247"/>
      <c r="K218" s="19"/>
    </row>
    <row r="219" spans="1:11" ht="19.5" customHeight="1" x14ac:dyDescent="0.25">
      <c r="A219" s="19"/>
      <c r="B219" s="245"/>
      <c r="C219" s="246"/>
      <c r="D219" s="248"/>
      <c r="E219" s="247"/>
      <c r="F219" s="19"/>
      <c r="G219" s="245"/>
      <c r="H219" s="246"/>
      <c r="I219" s="126"/>
      <c r="J219" s="247"/>
      <c r="K219" s="19"/>
    </row>
    <row r="220" spans="1:11" ht="19.5" customHeight="1" x14ac:dyDescent="0.25">
      <c r="A220" s="19"/>
      <c r="B220" s="245"/>
      <c r="C220" s="246"/>
      <c r="D220" s="248"/>
      <c r="E220" s="247"/>
      <c r="F220" s="19"/>
      <c r="G220" s="245"/>
      <c r="H220" s="246"/>
      <c r="I220" s="126"/>
      <c r="J220" s="247"/>
      <c r="K220" s="19"/>
    </row>
    <row r="221" spans="1:11" ht="15.75" customHeight="1" x14ac:dyDescent="0.25">
      <c r="E221" s="139"/>
      <c r="J221" s="139"/>
    </row>
    <row r="222" spans="1:11" ht="15.75" customHeight="1" x14ac:dyDescent="0.25">
      <c r="E222" s="139"/>
      <c r="J222" s="139"/>
    </row>
    <row r="223" spans="1:11" ht="15.75" customHeight="1" x14ac:dyDescent="0.25">
      <c r="E223" s="139"/>
      <c r="J223" s="139"/>
    </row>
    <row r="224" spans="1:11" ht="15.75" customHeight="1" x14ac:dyDescent="0.25">
      <c r="E224" s="139"/>
      <c r="J224" s="139"/>
    </row>
    <row r="225" spans="5:10" ht="15.75" customHeight="1" x14ac:dyDescent="0.25">
      <c r="E225" s="139"/>
      <c r="J225" s="139"/>
    </row>
    <row r="226" spans="5:10" ht="15.75" customHeight="1" x14ac:dyDescent="0.25">
      <c r="E226" s="139"/>
      <c r="J226" s="139"/>
    </row>
    <row r="227" spans="5:10" ht="15.75" customHeight="1" x14ac:dyDescent="0.25">
      <c r="E227" s="139"/>
      <c r="J227" s="139"/>
    </row>
    <row r="228" spans="5:10" ht="15.75" customHeight="1" x14ac:dyDescent="0.25">
      <c r="E228" s="139"/>
      <c r="J228" s="139"/>
    </row>
    <row r="229" spans="5:10" ht="15.75" customHeight="1" x14ac:dyDescent="0.25">
      <c r="E229" s="139"/>
      <c r="J229" s="139"/>
    </row>
    <row r="230" spans="5:10" ht="15.75" customHeight="1" x14ac:dyDescent="0.25">
      <c r="E230" s="139"/>
      <c r="J230" s="139"/>
    </row>
    <row r="231" spans="5:10" ht="15.75" customHeight="1" x14ac:dyDescent="0.25">
      <c r="E231" s="139"/>
      <c r="J231" s="139"/>
    </row>
    <row r="232" spans="5:10" ht="15.75" customHeight="1" x14ac:dyDescent="0.25">
      <c r="E232" s="139"/>
      <c r="J232" s="139"/>
    </row>
    <row r="233" spans="5:10" ht="15.75" customHeight="1" x14ac:dyDescent="0.25">
      <c r="E233" s="139"/>
      <c r="J233" s="139"/>
    </row>
    <row r="234" spans="5:10" ht="15.75" customHeight="1" x14ac:dyDescent="0.25">
      <c r="E234" s="139"/>
      <c r="J234" s="139"/>
    </row>
    <row r="235" spans="5:10" ht="15.75" customHeight="1" x14ac:dyDescent="0.25">
      <c r="E235" s="139"/>
      <c r="J235" s="139"/>
    </row>
    <row r="236" spans="5:10" ht="15.75" customHeight="1" x14ac:dyDescent="0.25">
      <c r="E236" s="139"/>
      <c r="J236" s="139"/>
    </row>
    <row r="237" spans="5:10" ht="15.75" customHeight="1" x14ac:dyDescent="0.25">
      <c r="E237" s="139"/>
      <c r="J237" s="139"/>
    </row>
    <row r="238" spans="5:10" ht="15.75" customHeight="1" x14ac:dyDescent="0.25">
      <c r="E238" s="139"/>
      <c r="J238" s="139"/>
    </row>
    <row r="239" spans="5:10" ht="15.75" customHeight="1" x14ac:dyDescent="0.25">
      <c r="E239" s="139"/>
      <c r="J239" s="139"/>
    </row>
    <row r="240" spans="5:10" ht="15.75" customHeight="1" x14ac:dyDescent="0.25">
      <c r="E240" s="139"/>
      <c r="J240" s="139"/>
    </row>
    <row r="241" spans="5:10" ht="15.75" customHeight="1" x14ac:dyDescent="0.25">
      <c r="E241" s="139"/>
      <c r="J241" s="139"/>
    </row>
    <row r="242" spans="5:10" ht="15.75" customHeight="1" x14ac:dyDescent="0.25">
      <c r="E242" s="139"/>
      <c r="J242" s="139"/>
    </row>
    <row r="243" spans="5:10" ht="15.75" customHeight="1" x14ac:dyDescent="0.25">
      <c r="E243" s="139"/>
      <c r="J243" s="139"/>
    </row>
    <row r="244" spans="5:10" ht="15.75" customHeight="1" x14ac:dyDescent="0.25">
      <c r="E244" s="139"/>
      <c r="J244" s="139"/>
    </row>
    <row r="245" spans="5:10" ht="15.75" customHeight="1" x14ac:dyDescent="0.25">
      <c r="E245" s="139"/>
      <c r="J245" s="139"/>
    </row>
    <row r="246" spans="5:10" ht="15.75" customHeight="1" x14ac:dyDescent="0.25">
      <c r="E246" s="139"/>
      <c r="J246" s="139"/>
    </row>
    <row r="247" spans="5:10" ht="15.75" customHeight="1" x14ac:dyDescent="0.25">
      <c r="E247" s="139"/>
      <c r="J247" s="139"/>
    </row>
    <row r="248" spans="5:10" ht="15.75" customHeight="1" x14ac:dyDescent="0.25">
      <c r="E248" s="139"/>
      <c r="J248" s="139"/>
    </row>
    <row r="249" spans="5:10" ht="15.75" customHeight="1" x14ac:dyDescent="0.25">
      <c r="E249" s="139"/>
      <c r="J249" s="139"/>
    </row>
    <row r="250" spans="5:10" ht="15.75" customHeight="1" x14ac:dyDescent="0.25">
      <c r="E250" s="139"/>
      <c r="J250" s="139"/>
    </row>
    <row r="251" spans="5:10" ht="15.75" customHeight="1" x14ac:dyDescent="0.25">
      <c r="E251" s="139"/>
      <c r="J251" s="139"/>
    </row>
    <row r="252" spans="5:10" ht="15.75" customHeight="1" x14ac:dyDescent="0.25">
      <c r="E252" s="139"/>
      <c r="J252" s="139"/>
    </row>
    <row r="253" spans="5:10" ht="15.75" customHeight="1" x14ac:dyDescent="0.25">
      <c r="E253" s="139"/>
      <c r="J253" s="139"/>
    </row>
    <row r="254" spans="5:10" ht="15.75" customHeight="1" x14ac:dyDescent="0.25">
      <c r="E254" s="139"/>
      <c r="J254" s="139"/>
    </row>
    <row r="255" spans="5:10" ht="15.75" customHeight="1" x14ac:dyDescent="0.25">
      <c r="E255" s="139"/>
      <c r="J255" s="139"/>
    </row>
    <row r="256" spans="5:10" ht="15.75" customHeight="1" x14ac:dyDescent="0.25">
      <c r="E256" s="139"/>
      <c r="J256" s="139"/>
    </row>
    <row r="257" spans="5:10" ht="15.75" customHeight="1" x14ac:dyDescent="0.25">
      <c r="E257" s="139"/>
      <c r="J257" s="139"/>
    </row>
    <row r="258" spans="5:10" ht="15.75" customHeight="1" x14ac:dyDescent="0.25">
      <c r="E258" s="139"/>
      <c r="J258" s="139"/>
    </row>
    <row r="259" spans="5:10" ht="15.75" customHeight="1" x14ac:dyDescent="0.25">
      <c r="E259" s="139"/>
      <c r="J259" s="139"/>
    </row>
    <row r="260" spans="5:10" ht="15.75" customHeight="1" x14ac:dyDescent="0.25">
      <c r="E260" s="139"/>
      <c r="J260" s="139"/>
    </row>
    <row r="261" spans="5:10" ht="15.75" customHeight="1" x14ac:dyDescent="0.25">
      <c r="E261" s="139"/>
      <c r="J261" s="139"/>
    </row>
    <row r="262" spans="5:10" ht="15.75" customHeight="1" x14ac:dyDescent="0.25">
      <c r="E262" s="139"/>
      <c r="J262" s="139"/>
    </row>
    <row r="263" spans="5:10" ht="15.75" customHeight="1" x14ac:dyDescent="0.25">
      <c r="E263" s="139"/>
      <c r="J263" s="139"/>
    </row>
    <row r="264" spans="5:10" ht="15.75" customHeight="1" x14ac:dyDescent="0.25">
      <c r="E264" s="139"/>
      <c r="J264" s="139"/>
    </row>
    <row r="265" spans="5:10" ht="15.75" customHeight="1" x14ac:dyDescent="0.25">
      <c r="E265" s="139"/>
      <c r="J265" s="139"/>
    </row>
    <row r="266" spans="5:10" ht="15.75" customHeight="1" x14ac:dyDescent="0.25">
      <c r="E266" s="139"/>
      <c r="J266" s="139"/>
    </row>
    <row r="267" spans="5:10" ht="15.75" customHeight="1" x14ac:dyDescent="0.25">
      <c r="E267" s="139"/>
      <c r="J267" s="139"/>
    </row>
    <row r="268" spans="5:10" ht="15.75" customHeight="1" x14ac:dyDescent="0.25">
      <c r="E268" s="139"/>
      <c r="J268" s="139"/>
    </row>
    <row r="269" spans="5:10" ht="15.75" customHeight="1" x14ac:dyDescent="0.25">
      <c r="E269" s="139"/>
      <c r="J269" s="139"/>
    </row>
    <row r="270" spans="5:10" ht="15.75" customHeight="1" x14ac:dyDescent="0.25">
      <c r="E270" s="139"/>
      <c r="J270" s="139"/>
    </row>
    <row r="271" spans="5:10" ht="15.75" customHeight="1" x14ac:dyDescent="0.25">
      <c r="E271" s="139"/>
      <c r="J271" s="139"/>
    </row>
    <row r="272" spans="5:10" ht="15.75" customHeight="1" x14ac:dyDescent="0.25">
      <c r="E272" s="139"/>
      <c r="J272" s="139"/>
    </row>
    <row r="273" spans="5:10" ht="15.75" customHeight="1" x14ac:dyDescent="0.25">
      <c r="E273" s="139"/>
      <c r="J273" s="139"/>
    </row>
    <row r="274" spans="5:10" ht="15.75" customHeight="1" x14ac:dyDescent="0.25">
      <c r="E274" s="139"/>
      <c r="J274" s="139"/>
    </row>
    <row r="275" spans="5:10" ht="15.75" customHeight="1" x14ac:dyDescent="0.25">
      <c r="E275" s="139"/>
      <c r="J275" s="139"/>
    </row>
    <row r="276" spans="5:10" ht="15.75" customHeight="1" x14ac:dyDescent="0.25">
      <c r="E276" s="139"/>
      <c r="J276" s="139"/>
    </row>
    <row r="277" spans="5:10" ht="15.75" customHeight="1" x14ac:dyDescent="0.25">
      <c r="E277" s="139"/>
      <c r="J277" s="139"/>
    </row>
    <row r="278" spans="5:10" ht="15.75" customHeight="1" x14ac:dyDescent="0.25">
      <c r="E278" s="139"/>
      <c r="J278" s="139"/>
    </row>
    <row r="279" spans="5:10" ht="15.75" customHeight="1" x14ac:dyDescent="0.25">
      <c r="E279" s="139"/>
      <c r="J279" s="139"/>
    </row>
    <row r="280" spans="5:10" ht="15.75" customHeight="1" x14ac:dyDescent="0.25">
      <c r="E280" s="139"/>
      <c r="J280" s="139"/>
    </row>
    <row r="281" spans="5:10" ht="15.75" customHeight="1" x14ac:dyDescent="0.25">
      <c r="E281" s="139"/>
      <c r="J281" s="139"/>
    </row>
    <row r="282" spans="5:10" ht="15.75" customHeight="1" x14ac:dyDescent="0.25">
      <c r="E282" s="139"/>
      <c r="J282" s="139"/>
    </row>
    <row r="283" spans="5:10" ht="15.75" customHeight="1" x14ac:dyDescent="0.25">
      <c r="E283" s="139"/>
      <c r="J283" s="139"/>
    </row>
    <row r="284" spans="5:10" ht="15.75" customHeight="1" x14ac:dyDescent="0.25">
      <c r="E284" s="139"/>
      <c r="J284" s="139"/>
    </row>
    <row r="285" spans="5:10" ht="15.75" customHeight="1" x14ac:dyDescent="0.25">
      <c r="E285" s="139"/>
      <c r="J285" s="139"/>
    </row>
    <row r="286" spans="5:10" ht="15.75" customHeight="1" x14ac:dyDescent="0.25">
      <c r="E286" s="139"/>
      <c r="J286" s="139"/>
    </row>
    <row r="287" spans="5:10" ht="15.75" customHeight="1" x14ac:dyDescent="0.25">
      <c r="E287" s="139"/>
      <c r="J287" s="139"/>
    </row>
    <row r="288" spans="5:10" ht="15.75" customHeight="1" x14ac:dyDescent="0.25">
      <c r="E288" s="139"/>
      <c r="J288" s="139"/>
    </row>
    <row r="289" spans="5:10" ht="15.75" customHeight="1" x14ac:dyDescent="0.25">
      <c r="E289" s="139"/>
      <c r="J289" s="139"/>
    </row>
    <row r="290" spans="5:10" ht="15.75" customHeight="1" x14ac:dyDescent="0.25">
      <c r="E290" s="139"/>
      <c r="J290" s="139"/>
    </row>
    <row r="291" spans="5:10" ht="15.75" customHeight="1" x14ac:dyDescent="0.25">
      <c r="E291" s="139"/>
      <c r="J291" s="139"/>
    </row>
    <row r="292" spans="5:10" ht="15.75" customHeight="1" x14ac:dyDescent="0.25">
      <c r="E292" s="139"/>
      <c r="J292" s="139"/>
    </row>
    <row r="293" spans="5:10" ht="15.75" customHeight="1" x14ac:dyDescent="0.25">
      <c r="E293" s="139"/>
      <c r="J293" s="139"/>
    </row>
    <row r="294" spans="5:10" ht="15.75" customHeight="1" x14ac:dyDescent="0.25">
      <c r="E294" s="139"/>
      <c r="J294" s="139"/>
    </row>
    <row r="295" spans="5:10" ht="15.75" customHeight="1" x14ac:dyDescent="0.25">
      <c r="E295" s="139"/>
      <c r="J295" s="139"/>
    </row>
    <row r="296" spans="5:10" ht="15.75" customHeight="1" x14ac:dyDescent="0.25">
      <c r="E296" s="139"/>
      <c r="J296" s="139"/>
    </row>
    <row r="297" spans="5:10" ht="15.75" customHeight="1" x14ac:dyDescent="0.25">
      <c r="E297" s="139"/>
      <c r="J297" s="139"/>
    </row>
    <row r="298" spans="5:10" ht="15.75" customHeight="1" x14ac:dyDescent="0.25">
      <c r="E298" s="139"/>
      <c r="J298" s="139"/>
    </row>
    <row r="299" spans="5:10" ht="15.75" customHeight="1" x14ac:dyDescent="0.25">
      <c r="E299" s="139"/>
      <c r="J299" s="139"/>
    </row>
    <row r="300" spans="5:10" ht="15.75" customHeight="1" x14ac:dyDescent="0.25">
      <c r="E300" s="139"/>
      <c r="J300" s="139"/>
    </row>
    <row r="301" spans="5:10" ht="15.75" customHeight="1" x14ac:dyDescent="0.25">
      <c r="E301" s="139"/>
      <c r="J301" s="139"/>
    </row>
    <row r="302" spans="5:10" ht="15.75" customHeight="1" x14ac:dyDescent="0.25">
      <c r="E302" s="139"/>
      <c r="J302" s="139"/>
    </row>
    <row r="303" spans="5:10" ht="15.75" customHeight="1" x14ac:dyDescent="0.25">
      <c r="E303" s="139"/>
      <c r="J303" s="139"/>
    </row>
    <row r="304" spans="5:10" ht="15.75" customHeight="1" x14ac:dyDescent="0.25">
      <c r="E304" s="139"/>
      <c r="J304" s="139"/>
    </row>
    <row r="305" spans="5:10" ht="15.75" customHeight="1" x14ac:dyDescent="0.25">
      <c r="E305" s="139"/>
      <c r="J305" s="139"/>
    </row>
    <row r="306" spans="5:10" ht="15.75" customHeight="1" x14ac:dyDescent="0.25">
      <c r="E306" s="139"/>
      <c r="J306" s="139"/>
    </row>
    <row r="307" spans="5:10" ht="15.75" customHeight="1" x14ac:dyDescent="0.25">
      <c r="E307" s="139"/>
      <c r="J307" s="139"/>
    </row>
    <row r="308" spans="5:10" ht="15.75" customHeight="1" x14ac:dyDescent="0.25">
      <c r="E308" s="139"/>
      <c r="J308" s="139"/>
    </row>
    <row r="309" spans="5:10" ht="15.75" customHeight="1" x14ac:dyDescent="0.25">
      <c r="E309" s="139"/>
      <c r="J309" s="139"/>
    </row>
    <row r="310" spans="5:10" ht="15.75" customHeight="1" x14ac:dyDescent="0.25">
      <c r="E310" s="139"/>
      <c r="J310" s="139"/>
    </row>
    <row r="311" spans="5:10" ht="15.75" customHeight="1" x14ac:dyDescent="0.25">
      <c r="E311" s="139"/>
      <c r="J311" s="139"/>
    </row>
    <row r="312" spans="5:10" ht="15.75" customHeight="1" x14ac:dyDescent="0.25">
      <c r="E312" s="139"/>
      <c r="J312" s="139"/>
    </row>
    <row r="313" spans="5:10" ht="15.75" customHeight="1" x14ac:dyDescent="0.25">
      <c r="E313" s="139"/>
      <c r="J313" s="139"/>
    </row>
    <row r="314" spans="5:10" ht="15.75" customHeight="1" x14ac:dyDescent="0.25">
      <c r="E314" s="139"/>
      <c r="J314" s="139"/>
    </row>
    <row r="315" spans="5:10" ht="15.75" customHeight="1" x14ac:dyDescent="0.25">
      <c r="E315" s="139"/>
      <c r="J315" s="139"/>
    </row>
    <row r="316" spans="5:10" ht="15.75" customHeight="1" x14ac:dyDescent="0.25">
      <c r="E316" s="139"/>
      <c r="J316" s="139"/>
    </row>
    <row r="317" spans="5:10" ht="15.75" customHeight="1" x14ac:dyDescent="0.25">
      <c r="E317" s="139"/>
      <c r="J317" s="139"/>
    </row>
    <row r="318" spans="5:10" ht="15.75" customHeight="1" x14ac:dyDescent="0.25">
      <c r="E318" s="139"/>
      <c r="J318" s="139"/>
    </row>
    <row r="319" spans="5:10" ht="15.75" customHeight="1" x14ac:dyDescent="0.25">
      <c r="E319" s="139"/>
      <c r="J319" s="139"/>
    </row>
    <row r="320" spans="5:10" ht="15.75" customHeight="1" x14ac:dyDescent="0.25">
      <c r="E320" s="139"/>
      <c r="J320" s="139"/>
    </row>
    <row r="321" spans="5:10" ht="15.75" customHeight="1" x14ac:dyDescent="0.25">
      <c r="E321" s="139"/>
      <c r="J321" s="139"/>
    </row>
    <row r="322" spans="5:10" ht="15.75" customHeight="1" x14ac:dyDescent="0.25">
      <c r="E322" s="139"/>
      <c r="J322" s="139"/>
    </row>
    <row r="323" spans="5:10" ht="15.75" customHeight="1" x14ac:dyDescent="0.25">
      <c r="E323" s="139"/>
      <c r="J323" s="139"/>
    </row>
    <row r="324" spans="5:10" ht="15.75" customHeight="1" x14ac:dyDescent="0.25">
      <c r="E324" s="139"/>
      <c r="J324" s="139"/>
    </row>
    <row r="325" spans="5:10" ht="15.75" customHeight="1" x14ac:dyDescent="0.25">
      <c r="E325" s="139"/>
      <c r="J325" s="139"/>
    </row>
    <row r="326" spans="5:10" ht="15.75" customHeight="1" x14ac:dyDescent="0.25">
      <c r="E326" s="139"/>
      <c r="J326" s="139"/>
    </row>
    <row r="327" spans="5:10" ht="15.75" customHeight="1" x14ac:dyDescent="0.25">
      <c r="E327" s="139"/>
      <c r="J327" s="139"/>
    </row>
    <row r="328" spans="5:10" ht="15.75" customHeight="1" x14ac:dyDescent="0.25">
      <c r="E328" s="139"/>
      <c r="J328" s="139"/>
    </row>
    <row r="329" spans="5:10" ht="15.75" customHeight="1" x14ac:dyDescent="0.25">
      <c r="E329" s="139"/>
      <c r="J329" s="139"/>
    </row>
    <row r="330" spans="5:10" ht="15.75" customHeight="1" x14ac:dyDescent="0.25">
      <c r="E330" s="139"/>
      <c r="J330" s="139"/>
    </row>
    <row r="331" spans="5:10" ht="15.75" customHeight="1" x14ac:dyDescent="0.25">
      <c r="E331" s="139"/>
      <c r="J331" s="139"/>
    </row>
    <row r="332" spans="5:10" ht="15.75" customHeight="1" x14ac:dyDescent="0.25">
      <c r="E332" s="139"/>
      <c r="J332" s="139"/>
    </row>
    <row r="333" spans="5:10" ht="15.75" customHeight="1" x14ac:dyDescent="0.25">
      <c r="E333" s="139"/>
      <c r="J333" s="139"/>
    </row>
    <row r="334" spans="5:10" ht="15.75" customHeight="1" x14ac:dyDescent="0.25">
      <c r="E334" s="139"/>
      <c r="J334" s="139"/>
    </row>
    <row r="335" spans="5:10" ht="15.75" customHeight="1" x14ac:dyDescent="0.25">
      <c r="E335" s="139"/>
      <c r="J335" s="139"/>
    </row>
    <row r="336" spans="5:10" ht="15.75" customHeight="1" x14ac:dyDescent="0.25">
      <c r="E336" s="139"/>
      <c r="J336" s="139"/>
    </row>
    <row r="337" spans="5:10" ht="15.75" customHeight="1" x14ac:dyDescent="0.25">
      <c r="E337" s="139"/>
      <c r="J337" s="139"/>
    </row>
    <row r="338" spans="5:10" ht="15.75" customHeight="1" x14ac:dyDescent="0.25">
      <c r="E338" s="139"/>
      <c r="J338" s="139"/>
    </row>
    <row r="339" spans="5:10" ht="15.75" customHeight="1" x14ac:dyDescent="0.25">
      <c r="E339" s="139"/>
      <c r="J339" s="139"/>
    </row>
    <row r="340" spans="5:10" ht="15.75" customHeight="1" x14ac:dyDescent="0.25">
      <c r="E340" s="139"/>
      <c r="J340" s="139"/>
    </row>
    <row r="341" spans="5:10" ht="15.75" customHeight="1" x14ac:dyDescent="0.25">
      <c r="E341" s="139"/>
      <c r="J341" s="139"/>
    </row>
    <row r="342" spans="5:10" ht="15.75" customHeight="1" x14ac:dyDescent="0.25">
      <c r="E342" s="139"/>
      <c r="J342" s="139"/>
    </row>
    <row r="343" spans="5:10" ht="15.75" customHeight="1" x14ac:dyDescent="0.25">
      <c r="E343" s="139"/>
      <c r="J343" s="139"/>
    </row>
    <row r="344" spans="5:10" ht="15.75" customHeight="1" x14ac:dyDescent="0.25">
      <c r="E344" s="139"/>
      <c r="J344" s="139"/>
    </row>
    <row r="345" spans="5:10" ht="15.75" customHeight="1" x14ac:dyDescent="0.25">
      <c r="E345" s="139"/>
      <c r="J345" s="139"/>
    </row>
    <row r="346" spans="5:10" ht="15.75" customHeight="1" x14ac:dyDescent="0.25">
      <c r="E346" s="139"/>
      <c r="J346" s="139"/>
    </row>
    <row r="347" spans="5:10" ht="15.75" customHeight="1" x14ac:dyDescent="0.25">
      <c r="E347" s="139"/>
      <c r="J347" s="139"/>
    </row>
    <row r="348" spans="5:10" ht="15.75" customHeight="1" x14ac:dyDescent="0.25">
      <c r="E348" s="139"/>
      <c r="J348" s="139"/>
    </row>
    <row r="349" spans="5:10" ht="15.75" customHeight="1" x14ac:dyDescent="0.25">
      <c r="E349" s="139"/>
      <c r="J349" s="139"/>
    </row>
    <row r="350" spans="5:10" ht="15.75" customHeight="1" x14ac:dyDescent="0.25">
      <c r="E350" s="139"/>
      <c r="J350" s="139"/>
    </row>
    <row r="351" spans="5:10" ht="15.75" customHeight="1" x14ac:dyDescent="0.25">
      <c r="E351" s="139"/>
      <c r="J351" s="139"/>
    </row>
    <row r="352" spans="5:10" ht="15.75" customHeight="1" x14ac:dyDescent="0.25">
      <c r="E352" s="139"/>
      <c r="J352" s="139"/>
    </row>
    <row r="353" spans="5:10" ht="15.75" customHeight="1" x14ac:dyDescent="0.25">
      <c r="E353" s="139"/>
      <c r="J353" s="139"/>
    </row>
    <row r="354" spans="5:10" ht="15.75" customHeight="1" x14ac:dyDescent="0.25">
      <c r="E354" s="139"/>
      <c r="J354" s="139"/>
    </row>
    <row r="355" spans="5:10" ht="15.75" customHeight="1" x14ac:dyDescent="0.25">
      <c r="E355" s="139"/>
      <c r="J355" s="139"/>
    </row>
    <row r="356" spans="5:10" ht="15.75" customHeight="1" x14ac:dyDescent="0.25">
      <c r="E356" s="139"/>
      <c r="J356" s="139"/>
    </row>
    <row r="357" spans="5:10" ht="15.75" customHeight="1" x14ac:dyDescent="0.25">
      <c r="E357" s="139"/>
      <c r="J357" s="139"/>
    </row>
    <row r="358" spans="5:10" ht="15.75" customHeight="1" x14ac:dyDescent="0.25">
      <c r="E358" s="139"/>
      <c r="J358" s="139"/>
    </row>
    <row r="359" spans="5:10" ht="15.75" customHeight="1" x14ac:dyDescent="0.25">
      <c r="E359" s="139"/>
      <c r="J359" s="139"/>
    </row>
    <row r="360" spans="5:10" ht="15.75" customHeight="1" x14ac:dyDescent="0.25">
      <c r="E360" s="139"/>
      <c r="J360" s="139"/>
    </row>
    <row r="361" spans="5:10" ht="15.75" customHeight="1" x14ac:dyDescent="0.25">
      <c r="E361" s="139"/>
      <c r="J361" s="139"/>
    </row>
    <row r="362" spans="5:10" ht="15.75" customHeight="1" x14ac:dyDescent="0.25">
      <c r="E362" s="139"/>
      <c r="J362" s="139"/>
    </row>
    <row r="363" spans="5:10" ht="15.75" customHeight="1" x14ac:dyDescent="0.25">
      <c r="E363" s="139"/>
      <c r="J363" s="139"/>
    </row>
    <row r="364" spans="5:10" ht="15.75" customHeight="1" x14ac:dyDescent="0.25">
      <c r="E364" s="139"/>
      <c r="J364" s="139"/>
    </row>
    <row r="365" spans="5:10" ht="15.75" customHeight="1" x14ac:dyDescent="0.25">
      <c r="E365" s="139"/>
      <c r="J365" s="139"/>
    </row>
    <row r="366" spans="5:10" ht="15.75" customHeight="1" x14ac:dyDescent="0.25">
      <c r="E366" s="139"/>
      <c r="J366" s="139"/>
    </row>
    <row r="367" spans="5:10" ht="15.75" customHeight="1" x14ac:dyDescent="0.25">
      <c r="E367" s="139"/>
      <c r="J367" s="139"/>
    </row>
    <row r="368" spans="5:10" ht="15.75" customHeight="1" x14ac:dyDescent="0.25">
      <c r="E368" s="139"/>
      <c r="J368" s="139"/>
    </row>
    <row r="369" spans="5:10" ht="15.75" customHeight="1" x14ac:dyDescent="0.25">
      <c r="E369" s="139"/>
      <c r="J369" s="139"/>
    </row>
    <row r="370" spans="5:10" ht="15.75" customHeight="1" x14ac:dyDescent="0.25">
      <c r="E370" s="139"/>
      <c r="J370" s="139"/>
    </row>
    <row r="371" spans="5:10" ht="15.75" customHeight="1" x14ac:dyDescent="0.25">
      <c r="E371" s="139"/>
      <c r="J371" s="139"/>
    </row>
    <row r="372" spans="5:10" ht="15.75" customHeight="1" x14ac:dyDescent="0.25">
      <c r="E372" s="139"/>
      <c r="J372" s="139"/>
    </row>
    <row r="373" spans="5:10" ht="15.75" customHeight="1" x14ac:dyDescent="0.25">
      <c r="E373" s="139"/>
      <c r="J373" s="139"/>
    </row>
    <row r="374" spans="5:10" ht="15.75" customHeight="1" x14ac:dyDescent="0.25">
      <c r="E374" s="139"/>
      <c r="J374" s="139"/>
    </row>
    <row r="375" spans="5:10" ht="15.75" customHeight="1" x14ac:dyDescent="0.25">
      <c r="E375" s="139"/>
      <c r="J375" s="139"/>
    </row>
    <row r="376" spans="5:10" ht="15.75" customHeight="1" x14ac:dyDescent="0.25">
      <c r="E376" s="139"/>
      <c r="J376" s="139"/>
    </row>
    <row r="377" spans="5:10" ht="15.75" customHeight="1" x14ac:dyDescent="0.25">
      <c r="E377" s="139"/>
      <c r="J377" s="139"/>
    </row>
    <row r="378" spans="5:10" ht="15.75" customHeight="1" x14ac:dyDescent="0.25">
      <c r="E378" s="139"/>
      <c r="J378" s="139"/>
    </row>
    <row r="379" spans="5:10" ht="15.75" customHeight="1" x14ac:dyDescent="0.25">
      <c r="E379" s="139"/>
      <c r="J379" s="139"/>
    </row>
    <row r="380" spans="5:10" ht="15.75" customHeight="1" x14ac:dyDescent="0.25">
      <c r="E380" s="139"/>
      <c r="J380" s="139"/>
    </row>
    <row r="381" spans="5:10" ht="15.75" customHeight="1" x14ac:dyDescent="0.25">
      <c r="E381" s="139"/>
      <c r="J381" s="139"/>
    </row>
    <row r="382" spans="5:10" ht="15.75" customHeight="1" x14ac:dyDescent="0.25">
      <c r="E382" s="139"/>
      <c r="J382" s="139"/>
    </row>
    <row r="383" spans="5:10" ht="15.75" customHeight="1" x14ac:dyDescent="0.25">
      <c r="E383" s="139"/>
      <c r="J383" s="139"/>
    </row>
    <row r="384" spans="5:10" ht="15.75" customHeight="1" x14ac:dyDescent="0.25">
      <c r="E384" s="139"/>
      <c r="J384" s="139"/>
    </row>
    <row r="385" spans="5:10" ht="15.75" customHeight="1" x14ac:dyDescent="0.25">
      <c r="E385" s="139"/>
      <c r="J385" s="139"/>
    </row>
    <row r="386" spans="5:10" ht="15.75" customHeight="1" x14ac:dyDescent="0.25">
      <c r="E386" s="139"/>
      <c r="J386" s="139"/>
    </row>
    <row r="387" spans="5:10" ht="15.75" customHeight="1" x14ac:dyDescent="0.25">
      <c r="E387" s="139"/>
      <c r="J387" s="139"/>
    </row>
    <row r="388" spans="5:10" ht="15.75" customHeight="1" x14ac:dyDescent="0.25">
      <c r="E388" s="139"/>
      <c r="J388" s="139"/>
    </row>
    <row r="389" spans="5:10" ht="15.75" customHeight="1" x14ac:dyDescent="0.25">
      <c r="E389" s="139"/>
      <c r="J389" s="139"/>
    </row>
    <row r="390" spans="5:10" ht="15.75" customHeight="1" x14ac:dyDescent="0.25">
      <c r="E390" s="139"/>
      <c r="J390" s="139"/>
    </row>
    <row r="391" spans="5:10" ht="15.75" customHeight="1" x14ac:dyDescent="0.25">
      <c r="E391" s="139"/>
      <c r="J391" s="139"/>
    </row>
    <row r="392" spans="5:10" ht="15.75" customHeight="1" x14ac:dyDescent="0.25">
      <c r="E392" s="139"/>
      <c r="J392" s="139"/>
    </row>
    <row r="393" spans="5:10" ht="15.75" customHeight="1" x14ac:dyDescent="0.25">
      <c r="E393" s="139"/>
      <c r="J393" s="139"/>
    </row>
    <row r="394" spans="5:10" ht="15.75" customHeight="1" x14ac:dyDescent="0.25">
      <c r="E394" s="139"/>
      <c r="J394" s="139"/>
    </row>
    <row r="395" spans="5:10" ht="15.75" customHeight="1" x14ac:dyDescent="0.25">
      <c r="E395" s="139"/>
      <c r="J395" s="139"/>
    </row>
    <row r="396" spans="5:10" ht="15.75" customHeight="1" x14ac:dyDescent="0.25">
      <c r="E396" s="139"/>
      <c r="J396" s="139"/>
    </row>
    <row r="397" spans="5:10" ht="15.75" customHeight="1" x14ac:dyDescent="0.25">
      <c r="E397" s="139"/>
      <c r="J397" s="139"/>
    </row>
    <row r="398" spans="5:10" ht="15.75" customHeight="1" x14ac:dyDescent="0.25">
      <c r="E398" s="139"/>
      <c r="J398" s="139"/>
    </row>
    <row r="399" spans="5:10" ht="15.75" customHeight="1" x14ac:dyDescent="0.25">
      <c r="E399" s="139"/>
      <c r="J399" s="139"/>
    </row>
    <row r="400" spans="5:10" ht="15.75" customHeight="1" x14ac:dyDescent="0.25">
      <c r="E400" s="139"/>
      <c r="J400" s="139"/>
    </row>
    <row r="401" spans="5:10" ht="15.75" customHeight="1" x14ac:dyDescent="0.25">
      <c r="E401" s="139"/>
      <c r="J401" s="139"/>
    </row>
    <row r="402" spans="5:10" ht="15.75" customHeight="1" x14ac:dyDescent="0.25">
      <c r="E402" s="139"/>
      <c r="J402" s="139"/>
    </row>
    <row r="403" spans="5:10" ht="15.75" customHeight="1" x14ac:dyDescent="0.25">
      <c r="E403" s="139"/>
      <c r="J403" s="139"/>
    </row>
    <row r="404" spans="5:10" ht="15.75" customHeight="1" x14ac:dyDescent="0.25">
      <c r="E404" s="139"/>
      <c r="J404" s="139"/>
    </row>
    <row r="405" spans="5:10" ht="15.75" customHeight="1" x14ac:dyDescent="0.25">
      <c r="E405" s="139"/>
      <c r="J405" s="139"/>
    </row>
    <row r="406" spans="5:10" ht="15.75" customHeight="1" x14ac:dyDescent="0.25">
      <c r="E406" s="139"/>
      <c r="J406" s="139"/>
    </row>
    <row r="407" spans="5:10" ht="15.75" customHeight="1" x14ac:dyDescent="0.25">
      <c r="E407" s="139"/>
      <c r="J407" s="139"/>
    </row>
    <row r="408" spans="5:10" ht="15.75" customHeight="1" x14ac:dyDescent="0.25">
      <c r="E408" s="139"/>
      <c r="J408" s="139"/>
    </row>
    <row r="409" spans="5:10" ht="15.75" customHeight="1" x14ac:dyDescent="0.25">
      <c r="E409" s="139"/>
      <c r="J409" s="139"/>
    </row>
    <row r="410" spans="5:10" ht="15.75" customHeight="1" x14ac:dyDescent="0.25">
      <c r="E410" s="139"/>
      <c r="J410" s="139"/>
    </row>
    <row r="411" spans="5:10" ht="15.75" customHeight="1" x14ac:dyDescent="0.25">
      <c r="E411" s="139"/>
      <c r="J411" s="139"/>
    </row>
    <row r="412" spans="5:10" ht="15.75" customHeight="1" x14ac:dyDescent="0.25">
      <c r="E412" s="139"/>
      <c r="J412" s="139"/>
    </row>
    <row r="413" spans="5:10" ht="15.75" customHeight="1" x14ac:dyDescent="0.25">
      <c r="E413" s="139"/>
      <c r="J413" s="139"/>
    </row>
    <row r="414" spans="5:10" ht="15.75" customHeight="1" x14ac:dyDescent="0.25">
      <c r="E414" s="139"/>
      <c r="J414" s="139"/>
    </row>
    <row r="415" spans="5:10" ht="15.75" customHeight="1" x14ac:dyDescent="0.25">
      <c r="E415" s="139"/>
      <c r="J415" s="139"/>
    </row>
    <row r="416" spans="5:10" ht="15.75" customHeight="1" x14ac:dyDescent="0.25">
      <c r="E416" s="139"/>
      <c r="J416" s="139"/>
    </row>
    <row r="417" spans="5:10" ht="15.75" customHeight="1" x14ac:dyDescent="0.25">
      <c r="E417" s="139"/>
      <c r="J417" s="139"/>
    </row>
    <row r="418" spans="5:10" ht="15.75" customHeight="1" x14ac:dyDescent="0.25">
      <c r="E418" s="139"/>
      <c r="J418" s="139"/>
    </row>
    <row r="419" spans="5:10" ht="15.75" customHeight="1" x14ac:dyDescent="0.25">
      <c r="E419" s="139"/>
      <c r="J419" s="139"/>
    </row>
    <row r="420" spans="5:10" ht="15.75" customHeight="1" x14ac:dyDescent="0.25">
      <c r="E420" s="139"/>
      <c r="J420" s="139"/>
    </row>
    <row r="421" spans="5:10" ht="15.75" customHeight="1" x14ac:dyDescent="0.25">
      <c r="E421" s="139"/>
      <c r="J421" s="139"/>
    </row>
    <row r="422" spans="5:10" ht="15.75" customHeight="1" x14ac:dyDescent="0.25">
      <c r="E422" s="139"/>
      <c r="J422" s="139"/>
    </row>
    <row r="423" spans="5:10" ht="15.75" customHeight="1" x14ac:dyDescent="0.25">
      <c r="E423" s="139"/>
      <c r="J423" s="139"/>
    </row>
    <row r="424" spans="5:10" ht="15.75" customHeight="1" x14ac:dyDescent="0.25">
      <c r="E424" s="139"/>
      <c r="J424" s="139"/>
    </row>
    <row r="425" spans="5:10" ht="15.75" customHeight="1" x14ac:dyDescent="0.25">
      <c r="E425" s="139"/>
      <c r="J425" s="139"/>
    </row>
    <row r="426" spans="5:10" ht="15.75" customHeight="1" x14ac:dyDescent="0.25">
      <c r="E426" s="139"/>
      <c r="J426" s="139"/>
    </row>
    <row r="427" spans="5:10" ht="15.75" customHeight="1" x14ac:dyDescent="0.25">
      <c r="E427" s="139"/>
      <c r="J427" s="139"/>
    </row>
    <row r="428" spans="5:10" ht="15.75" customHeight="1" x14ac:dyDescent="0.25">
      <c r="E428" s="139"/>
      <c r="J428" s="139"/>
    </row>
    <row r="429" spans="5:10" ht="15.75" customHeight="1" x14ac:dyDescent="0.25">
      <c r="E429" s="139"/>
      <c r="J429" s="139"/>
    </row>
    <row r="430" spans="5:10" ht="15.75" customHeight="1" x14ac:dyDescent="0.25">
      <c r="E430" s="139"/>
      <c r="J430" s="139"/>
    </row>
    <row r="431" spans="5:10" ht="15.75" customHeight="1" x14ac:dyDescent="0.25">
      <c r="E431" s="139"/>
      <c r="J431" s="139"/>
    </row>
    <row r="432" spans="5:10" ht="15.75" customHeight="1" x14ac:dyDescent="0.25">
      <c r="E432" s="139"/>
      <c r="J432" s="139"/>
    </row>
    <row r="433" spans="5:10" ht="15.75" customHeight="1" x14ac:dyDescent="0.25">
      <c r="E433" s="139"/>
      <c r="J433" s="139"/>
    </row>
    <row r="434" spans="5:10" ht="15.75" customHeight="1" x14ac:dyDescent="0.25">
      <c r="E434" s="139"/>
      <c r="J434" s="139"/>
    </row>
    <row r="435" spans="5:10" ht="15.75" customHeight="1" x14ac:dyDescent="0.25">
      <c r="E435" s="139"/>
      <c r="J435" s="139"/>
    </row>
    <row r="436" spans="5:10" ht="15.75" customHeight="1" x14ac:dyDescent="0.25">
      <c r="E436" s="139"/>
      <c r="J436" s="139"/>
    </row>
    <row r="437" spans="5:10" ht="15.75" customHeight="1" x14ac:dyDescent="0.25">
      <c r="E437" s="139"/>
      <c r="J437" s="139"/>
    </row>
    <row r="438" spans="5:10" ht="15.75" customHeight="1" x14ac:dyDescent="0.25">
      <c r="E438" s="139"/>
      <c r="J438" s="139"/>
    </row>
    <row r="439" spans="5:10" ht="15.75" customHeight="1" x14ac:dyDescent="0.25">
      <c r="E439" s="139"/>
      <c r="J439" s="139"/>
    </row>
    <row r="440" spans="5:10" ht="15.75" customHeight="1" x14ac:dyDescent="0.25">
      <c r="E440" s="139"/>
      <c r="J440" s="139"/>
    </row>
    <row r="441" spans="5:10" ht="15.75" customHeight="1" x14ac:dyDescent="0.25">
      <c r="E441" s="139"/>
      <c r="J441" s="139"/>
    </row>
    <row r="442" spans="5:10" ht="15.75" customHeight="1" x14ac:dyDescent="0.25">
      <c r="E442" s="139"/>
      <c r="J442" s="139"/>
    </row>
    <row r="443" spans="5:10" ht="15.75" customHeight="1" x14ac:dyDescent="0.25">
      <c r="E443" s="139"/>
      <c r="J443" s="139"/>
    </row>
    <row r="444" spans="5:10" ht="15.75" customHeight="1" x14ac:dyDescent="0.25">
      <c r="E444" s="139"/>
      <c r="J444" s="139"/>
    </row>
    <row r="445" spans="5:10" ht="15.75" customHeight="1" x14ac:dyDescent="0.25">
      <c r="E445" s="139"/>
      <c r="J445" s="139"/>
    </row>
    <row r="446" spans="5:10" ht="15.75" customHeight="1" x14ac:dyDescent="0.25">
      <c r="E446" s="139"/>
      <c r="J446" s="139"/>
    </row>
    <row r="447" spans="5:10" ht="15.75" customHeight="1" x14ac:dyDescent="0.25">
      <c r="E447" s="139"/>
      <c r="J447" s="139"/>
    </row>
    <row r="448" spans="5:10" ht="15.75" customHeight="1" x14ac:dyDescent="0.25">
      <c r="E448" s="139"/>
      <c r="J448" s="139"/>
    </row>
    <row r="449" spans="5:10" ht="15.75" customHeight="1" x14ac:dyDescent="0.25">
      <c r="E449" s="139"/>
      <c r="J449" s="139"/>
    </row>
    <row r="450" spans="5:10" ht="15.75" customHeight="1" x14ac:dyDescent="0.25">
      <c r="E450" s="139"/>
      <c r="J450" s="139"/>
    </row>
    <row r="451" spans="5:10" ht="15.75" customHeight="1" x14ac:dyDescent="0.25">
      <c r="E451" s="139"/>
      <c r="J451" s="139"/>
    </row>
    <row r="452" spans="5:10" ht="15.75" customHeight="1" x14ac:dyDescent="0.25">
      <c r="E452" s="139"/>
      <c r="J452" s="139"/>
    </row>
    <row r="453" spans="5:10" ht="15.75" customHeight="1" x14ac:dyDescent="0.25">
      <c r="E453" s="139"/>
      <c r="J453" s="139"/>
    </row>
    <row r="454" spans="5:10" ht="15.75" customHeight="1" x14ac:dyDescent="0.25">
      <c r="E454" s="139"/>
      <c r="J454" s="139"/>
    </row>
    <row r="455" spans="5:10" ht="15.75" customHeight="1" x14ac:dyDescent="0.25">
      <c r="E455" s="139"/>
      <c r="J455" s="139"/>
    </row>
    <row r="456" spans="5:10" ht="15.75" customHeight="1" x14ac:dyDescent="0.25">
      <c r="E456" s="139"/>
      <c r="J456" s="139"/>
    </row>
    <row r="457" spans="5:10" ht="15.75" customHeight="1" x14ac:dyDescent="0.25">
      <c r="E457" s="139"/>
      <c r="J457" s="139"/>
    </row>
    <row r="458" spans="5:10" ht="15.75" customHeight="1" x14ac:dyDescent="0.25">
      <c r="E458" s="139"/>
      <c r="J458" s="139"/>
    </row>
    <row r="459" spans="5:10" ht="15.75" customHeight="1" x14ac:dyDescent="0.25">
      <c r="E459" s="139"/>
      <c r="J459" s="139"/>
    </row>
    <row r="460" spans="5:10" ht="15.75" customHeight="1" x14ac:dyDescent="0.25">
      <c r="E460" s="139"/>
      <c r="J460" s="139"/>
    </row>
    <row r="461" spans="5:10" ht="15.75" customHeight="1" x14ac:dyDescent="0.25">
      <c r="E461" s="139"/>
      <c r="J461" s="139"/>
    </row>
    <row r="462" spans="5:10" ht="15.75" customHeight="1" x14ac:dyDescent="0.25">
      <c r="E462" s="139"/>
      <c r="J462" s="139"/>
    </row>
    <row r="463" spans="5:10" ht="15.75" customHeight="1" x14ac:dyDescent="0.25">
      <c r="E463" s="139"/>
      <c r="J463" s="139"/>
    </row>
    <row r="464" spans="5:10" ht="15.75" customHeight="1" x14ac:dyDescent="0.25">
      <c r="E464" s="139"/>
      <c r="J464" s="139"/>
    </row>
    <row r="465" spans="5:10" ht="15.75" customHeight="1" x14ac:dyDescent="0.25">
      <c r="E465" s="139"/>
      <c r="J465" s="139"/>
    </row>
    <row r="466" spans="5:10" ht="15.75" customHeight="1" x14ac:dyDescent="0.25">
      <c r="E466" s="139"/>
      <c r="J466" s="139"/>
    </row>
    <row r="467" spans="5:10" ht="15.75" customHeight="1" x14ac:dyDescent="0.25">
      <c r="E467" s="139"/>
      <c r="J467" s="139"/>
    </row>
    <row r="468" spans="5:10" ht="15.75" customHeight="1" x14ac:dyDescent="0.25">
      <c r="E468" s="139"/>
      <c r="J468" s="139"/>
    </row>
    <row r="469" spans="5:10" ht="15.75" customHeight="1" x14ac:dyDescent="0.25">
      <c r="E469" s="139"/>
      <c r="J469" s="139"/>
    </row>
    <row r="470" spans="5:10" ht="15.75" customHeight="1" x14ac:dyDescent="0.25">
      <c r="E470" s="139"/>
      <c r="J470" s="139"/>
    </row>
    <row r="471" spans="5:10" ht="15.75" customHeight="1" x14ac:dyDescent="0.25">
      <c r="E471" s="139"/>
      <c r="J471" s="139"/>
    </row>
    <row r="472" spans="5:10" ht="15.75" customHeight="1" x14ac:dyDescent="0.25">
      <c r="E472" s="139"/>
      <c r="J472" s="139"/>
    </row>
    <row r="473" spans="5:10" ht="15.75" customHeight="1" x14ac:dyDescent="0.25">
      <c r="E473" s="139"/>
      <c r="J473" s="139"/>
    </row>
    <row r="474" spans="5:10" ht="15.75" customHeight="1" x14ac:dyDescent="0.25">
      <c r="E474" s="139"/>
      <c r="J474" s="139"/>
    </row>
    <row r="475" spans="5:10" ht="15.75" customHeight="1" x14ac:dyDescent="0.25">
      <c r="E475" s="139"/>
      <c r="J475" s="139"/>
    </row>
    <row r="476" spans="5:10" ht="15.75" customHeight="1" x14ac:dyDescent="0.25">
      <c r="E476" s="139"/>
      <c r="J476" s="139"/>
    </row>
    <row r="477" spans="5:10" ht="15.75" customHeight="1" x14ac:dyDescent="0.25">
      <c r="E477" s="139"/>
      <c r="J477" s="139"/>
    </row>
    <row r="478" spans="5:10" ht="15.75" customHeight="1" x14ac:dyDescent="0.25">
      <c r="E478" s="139"/>
      <c r="J478" s="139"/>
    </row>
    <row r="479" spans="5:10" ht="15.75" customHeight="1" x14ac:dyDescent="0.25">
      <c r="E479" s="139"/>
      <c r="J479" s="139"/>
    </row>
    <row r="480" spans="5:10" ht="15.75" customHeight="1" x14ac:dyDescent="0.25">
      <c r="E480" s="139"/>
      <c r="J480" s="139"/>
    </row>
    <row r="481" spans="5:10" ht="15.75" customHeight="1" x14ac:dyDescent="0.25">
      <c r="E481" s="139"/>
      <c r="J481" s="139"/>
    </row>
    <row r="482" spans="5:10" ht="15.75" customHeight="1" x14ac:dyDescent="0.25">
      <c r="E482" s="139"/>
      <c r="J482" s="139"/>
    </row>
    <row r="483" spans="5:10" ht="15.75" customHeight="1" x14ac:dyDescent="0.25">
      <c r="E483" s="139"/>
      <c r="J483" s="139"/>
    </row>
    <row r="484" spans="5:10" ht="15.75" customHeight="1" x14ac:dyDescent="0.25">
      <c r="E484" s="139"/>
      <c r="J484" s="139"/>
    </row>
    <row r="485" spans="5:10" ht="15.75" customHeight="1" x14ac:dyDescent="0.25">
      <c r="E485" s="139"/>
      <c r="J485" s="139"/>
    </row>
    <row r="486" spans="5:10" ht="15.75" customHeight="1" x14ac:dyDescent="0.25">
      <c r="E486" s="139"/>
      <c r="J486" s="139"/>
    </row>
    <row r="487" spans="5:10" ht="15.75" customHeight="1" x14ac:dyDescent="0.25">
      <c r="E487" s="139"/>
      <c r="J487" s="139"/>
    </row>
    <row r="488" spans="5:10" ht="15.75" customHeight="1" x14ac:dyDescent="0.25">
      <c r="E488" s="139"/>
      <c r="J488" s="139"/>
    </row>
    <row r="489" spans="5:10" ht="15.75" customHeight="1" x14ac:dyDescent="0.25">
      <c r="E489" s="139"/>
      <c r="J489" s="139"/>
    </row>
    <row r="490" spans="5:10" ht="15.75" customHeight="1" x14ac:dyDescent="0.25">
      <c r="E490" s="139"/>
      <c r="J490" s="139"/>
    </row>
    <row r="491" spans="5:10" ht="15.75" customHeight="1" x14ac:dyDescent="0.25">
      <c r="E491" s="139"/>
      <c r="J491" s="139"/>
    </row>
    <row r="492" spans="5:10" ht="15.75" customHeight="1" x14ac:dyDescent="0.25">
      <c r="E492" s="139"/>
      <c r="J492" s="139"/>
    </row>
    <row r="493" spans="5:10" ht="15.75" customHeight="1" x14ac:dyDescent="0.25">
      <c r="E493" s="139"/>
      <c r="J493" s="139"/>
    </row>
    <row r="494" spans="5:10" ht="15.75" customHeight="1" x14ac:dyDescent="0.25">
      <c r="E494" s="139"/>
      <c r="J494" s="139"/>
    </row>
    <row r="495" spans="5:10" ht="15.75" customHeight="1" x14ac:dyDescent="0.25">
      <c r="E495" s="139"/>
      <c r="J495" s="139"/>
    </row>
    <row r="496" spans="5:10" ht="15.75" customHeight="1" x14ac:dyDescent="0.25">
      <c r="E496" s="139"/>
      <c r="J496" s="139"/>
    </row>
    <row r="497" spans="5:10" ht="15.75" customHeight="1" x14ac:dyDescent="0.25">
      <c r="E497" s="139"/>
      <c r="J497" s="139"/>
    </row>
    <row r="498" spans="5:10" ht="15.75" customHeight="1" x14ac:dyDescent="0.25">
      <c r="E498" s="139"/>
      <c r="J498" s="139"/>
    </row>
    <row r="499" spans="5:10" ht="15.75" customHeight="1" x14ac:dyDescent="0.25">
      <c r="E499" s="139"/>
      <c r="J499" s="139"/>
    </row>
    <row r="500" spans="5:10" ht="15.75" customHeight="1" x14ac:dyDescent="0.25">
      <c r="E500" s="139"/>
      <c r="J500" s="139"/>
    </row>
    <row r="501" spans="5:10" ht="15.75" customHeight="1" x14ac:dyDescent="0.25">
      <c r="E501" s="139"/>
      <c r="J501" s="139"/>
    </row>
    <row r="502" spans="5:10" ht="15.75" customHeight="1" x14ac:dyDescent="0.25">
      <c r="E502" s="139"/>
      <c r="J502" s="139"/>
    </row>
    <row r="503" spans="5:10" ht="15.75" customHeight="1" x14ac:dyDescent="0.25">
      <c r="E503" s="139"/>
      <c r="J503" s="139"/>
    </row>
    <row r="504" spans="5:10" ht="15.75" customHeight="1" x14ac:dyDescent="0.25">
      <c r="E504" s="139"/>
      <c r="J504" s="139"/>
    </row>
    <row r="505" spans="5:10" ht="15.75" customHeight="1" x14ac:dyDescent="0.25">
      <c r="E505" s="139"/>
      <c r="J505" s="139"/>
    </row>
    <row r="506" spans="5:10" ht="15.75" customHeight="1" x14ac:dyDescent="0.25">
      <c r="E506" s="139"/>
      <c r="J506" s="139"/>
    </row>
    <row r="507" spans="5:10" ht="15.75" customHeight="1" x14ac:dyDescent="0.25">
      <c r="E507" s="139"/>
      <c r="J507" s="139"/>
    </row>
    <row r="508" spans="5:10" ht="15.75" customHeight="1" x14ac:dyDescent="0.25">
      <c r="E508" s="139"/>
      <c r="J508" s="139"/>
    </row>
    <row r="509" spans="5:10" ht="15.75" customHeight="1" x14ac:dyDescent="0.25">
      <c r="E509" s="139"/>
      <c r="J509" s="139"/>
    </row>
    <row r="510" spans="5:10" ht="15.75" customHeight="1" x14ac:dyDescent="0.25">
      <c r="E510" s="139"/>
      <c r="J510" s="139"/>
    </row>
    <row r="511" spans="5:10" ht="15.75" customHeight="1" x14ac:dyDescent="0.25">
      <c r="E511" s="139"/>
      <c r="J511" s="139"/>
    </row>
    <row r="512" spans="5:10" ht="15.75" customHeight="1" x14ac:dyDescent="0.25">
      <c r="E512" s="139"/>
      <c r="J512" s="139"/>
    </row>
    <row r="513" spans="5:10" ht="15.75" customHeight="1" x14ac:dyDescent="0.25">
      <c r="E513" s="139"/>
      <c r="J513" s="139"/>
    </row>
    <row r="514" spans="5:10" ht="15.75" customHeight="1" x14ac:dyDescent="0.25">
      <c r="E514" s="139"/>
      <c r="J514" s="139"/>
    </row>
    <row r="515" spans="5:10" ht="15.75" customHeight="1" x14ac:dyDescent="0.25">
      <c r="E515" s="139"/>
      <c r="J515" s="139"/>
    </row>
    <row r="516" spans="5:10" ht="15.75" customHeight="1" x14ac:dyDescent="0.25">
      <c r="E516" s="139"/>
      <c r="J516" s="139"/>
    </row>
    <row r="517" spans="5:10" ht="15.75" customHeight="1" x14ac:dyDescent="0.25">
      <c r="E517" s="139"/>
      <c r="J517" s="139"/>
    </row>
    <row r="518" spans="5:10" ht="15.75" customHeight="1" x14ac:dyDescent="0.25">
      <c r="E518" s="139"/>
      <c r="J518" s="139"/>
    </row>
    <row r="519" spans="5:10" ht="15.75" customHeight="1" x14ac:dyDescent="0.25">
      <c r="E519" s="139"/>
      <c r="J519" s="139"/>
    </row>
    <row r="520" spans="5:10" ht="15.75" customHeight="1" x14ac:dyDescent="0.25">
      <c r="E520" s="139"/>
      <c r="J520" s="139"/>
    </row>
    <row r="521" spans="5:10" ht="15.75" customHeight="1" x14ac:dyDescent="0.25">
      <c r="E521" s="139"/>
      <c r="J521" s="139"/>
    </row>
    <row r="522" spans="5:10" ht="15.75" customHeight="1" x14ac:dyDescent="0.25">
      <c r="E522" s="139"/>
      <c r="J522" s="139"/>
    </row>
    <row r="523" spans="5:10" ht="15.75" customHeight="1" x14ac:dyDescent="0.25">
      <c r="E523" s="139"/>
      <c r="J523" s="139"/>
    </row>
    <row r="524" spans="5:10" ht="15.75" customHeight="1" x14ac:dyDescent="0.25">
      <c r="E524" s="139"/>
      <c r="J524" s="139"/>
    </row>
    <row r="525" spans="5:10" ht="15.75" customHeight="1" x14ac:dyDescent="0.25">
      <c r="E525" s="139"/>
      <c r="J525" s="139"/>
    </row>
    <row r="526" spans="5:10" ht="15.75" customHeight="1" x14ac:dyDescent="0.25">
      <c r="E526" s="139"/>
      <c r="J526" s="139"/>
    </row>
    <row r="527" spans="5:10" ht="15.75" customHeight="1" x14ac:dyDescent="0.25">
      <c r="E527" s="139"/>
      <c r="J527" s="139"/>
    </row>
    <row r="528" spans="5:10" ht="15.75" customHeight="1" x14ac:dyDescent="0.25">
      <c r="E528" s="139"/>
      <c r="J528" s="139"/>
    </row>
    <row r="529" spans="5:10" ht="15.75" customHeight="1" x14ac:dyDescent="0.25">
      <c r="E529" s="139"/>
      <c r="J529" s="139"/>
    </row>
    <row r="530" spans="5:10" ht="15.75" customHeight="1" x14ac:dyDescent="0.25">
      <c r="E530" s="139"/>
      <c r="J530" s="139"/>
    </row>
    <row r="531" spans="5:10" ht="15.75" customHeight="1" x14ac:dyDescent="0.25">
      <c r="E531" s="139"/>
      <c r="J531" s="139"/>
    </row>
    <row r="532" spans="5:10" ht="15.75" customHeight="1" x14ac:dyDescent="0.25">
      <c r="E532" s="139"/>
      <c r="J532" s="139"/>
    </row>
    <row r="533" spans="5:10" ht="15.75" customHeight="1" x14ac:dyDescent="0.25">
      <c r="E533" s="139"/>
      <c r="J533" s="139"/>
    </row>
    <row r="534" spans="5:10" ht="15.75" customHeight="1" x14ac:dyDescent="0.25">
      <c r="E534" s="139"/>
      <c r="J534" s="139"/>
    </row>
    <row r="535" spans="5:10" ht="15.75" customHeight="1" x14ac:dyDescent="0.25">
      <c r="E535" s="139"/>
      <c r="J535" s="139"/>
    </row>
    <row r="536" spans="5:10" ht="15.75" customHeight="1" x14ac:dyDescent="0.25">
      <c r="E536" s="139"/>
      <c r="J536" s="139"/>
    </row>
    <row r="537" spans="5:10" ht="15.75" customHeight="1" x14ac:dyDescent="0.25">
      <c r="E537" s="139"/>
      <c r="J537" s="139"/>
    </row>
    <row r="538" spans="5:10" ht="15.75" customHeight="1" x14ac:dyDescent="0.25">
      <c r="E538" s="139"/>
      <c r="J538" s="139"/>
    </row>
    <row r="539" spans="5:10" ht="15.75" customHeight="1" x14ac:dyDescent="0.25">
      <c r="E539" s="139"/>
      <c r="J539" s="139"/>
    </row>
    <row r="540" spans="5:10" ht="15.75" customHeight="1" x14ac:dyDescent="0.25">
      <c r="E540" s="139"/>
      <c r="J540" s="139"/>
    </row>
    <row r="541" spans="5:10" ht="15.75" customHeight="1" x14ac:dyDescent="0.25">
      <c r="E541" s="139"/>
      <c r="J541" s="139"/>
    </row>
    <row r="542" spans="5:10" ht="15.75" customHeight="1" x14ac:dyDescent="0.25">
      <c r="E542" s="139"/>
      <c r="J542" s="139"/>
    </row>
    <row r="543" spans="5:10" ht="15.75" customHeight="1" x14ac:dyDescent="0.25">
      <c r="E543" s="139"/>
      <c r="J543" s="139"/>
    </row>
    <row r="544" spans="5:10" ht="15.75" customHeight="1" x14ac:dyDescent="0.25">
      <c r="E544" s="139"/>
      <c r="J544" s="139"/>
    </row>
    <row r="545" spans="5:10" ht="15.75" customHeight="1" x14ac:dyDescent="0.25">
      <c r="E545" s="139"/>
      <c r="J545" s="139"/>
    </row>
    <row r="546" spans="5:10" ht="15.75" customHeight="1" x14ac:dyDescent="0.25">
      <c r="E546" s="139"/>
      <c r="J546" s="139"/>
    </row>
    <row r="547" spans="5:10" ht="15.75" customHeight="1" x14ac:dyDescent="0.25">
      <c r="E547" s="139"/>
      <c r="J547" s="139"/>
    </row>
    <row r="548" spans="5:10" ht="15.75" customHeight="1" x14ac:dyDescent="0.25">
      <c r="E548" s="139"/>
      <c r="J548" s="139"/>
    </row>
    <row r="549" spans="5:10" ht="15.75" customHeight="1" x14ac:dyDescent="0.25">
      <c r="E549" s="139"/>
      <c r="J549" s="139"/>
    </row>
    <row r="550" spans="5:10" ht="15.75" customHeight="1" x14ac:dyDescent="0.25">
      <c r="E550" s="139"/>
      <c r="J550" s="139"/>
    </row>
    <row r="551" spans="5:10" ht="15.75" customHeight="1" x14ac:dyDescent="0.25">
      <c r="E551" s="139"/>
      <c r="J551" s="139"/>
    </row>
    <row r="552" spans="5:10" ht="15.75" customHeight="1" x14ac:dyDescent="0.25">
      <c r="E552" s="139"/>
      <c r="J552" s="139"/>
    </row>
    <row r="553" spans="5:10" ht="15.75" customHeight="1" x14ac:dyDescent="0.25">
      <c r="E553" s="139"/>
      <c r="J553" s="139"/>
    </row>
    <row r="554" spans="5:10" ht="15.75" customHeight="1" x14ac:dyDescent="0.25">
      <c r="E554" s="139"/>
      <c r="J554" s="139"/>
    </row>
    <row r="555" spans="5:10" ht="15.75" customHeight="1" x14ac:dyDescent="0.25">
      <c r="E555" s="139"/>
      <c r="J555" s="139"/>
    </row>
    <row r="556" spans="5:10" ht="15.75" customHeight="1" x14ac:dyDescent="0.25">
      <c r="E556" s="139"/>
      <c r="J556" s="139"/>
    </row>
    <row r="557" spans="5:10" ht="15.75" customHeight="1" x14ac:dyDescent="0.25">
      <c r="E557" s="139"/>
      <c r="J557" s="139"/>
    </row>
    <row r="558" spans="5:10" ht="15.75" customHeight="1" x14ac:dyDescent="0.25">
      <c r="E558" s="139"/>
      <c r="J558" s="139"/>
    </row>
    <row r="559" spans="5:10" ht="15.75" customHeight="1" x14ac:dyDescent="0.25">
      <c r="E559" s="139"/>
      <c r="J559" s="139"/>
    </row>
    <row r="560" spans="5:10" ht="15.75" customHeight="1" x14ac:dyDescent="0.25">
      <c r="E560" s="139"/>
      <c r="J560" s="139"/>
    </row>
    <row r="561" spans="5:10" ht="15.75" customHeight="1" x14ac:dyDescent="0.25">
      <c r="E561" s="139"/>
      <c r="J561" s="139"/>
    </row>
    <row r="562" spans="5:10" ht="15.75" customHeight="1" x14ac:dyDescent="0.25">
      <c r="E562" s="139"/>
      <c r="J562" s="139"/>
    </row>
    <row r="563" spans="5:10" ht="15.75" customHeight="1" x14ac:dyDescent="0.25">
      <c r="E563" s="139"/>
      <c r="J563" s="139"/>
    </row>
    <row r="564" spans="5:10" ht="15.75" customHeight="1" x14ac:dyDescent="0.25">
      <c r="E564" s="139"/>
      <c r="J564" s="139"/>
    </row>
    <row r="565" spans="5:10" ht="15.75" customHeight="1" x14ac:dyDescent="0.25">
      <c r="E565" s="139"/>
      <c r="J565" s="139"/>
    </row>
    <row r="566" spans="5:10" ht="15.75" customHeight="1" x14ac:dyDescent="0.25">
      <c r="E566" s="139"/>
      <c r="J566" s="139"/>
    </row>
    <row r="567" spans="5:10" ht="15.75" customHeight="1" x14ac:dyDescent="0.25">
      <c r="E567" s="139"/>
      <c r="J567" s="139"/>
    </row>
    <row r="568" spans="5:10" ht="15.75" customHeight="1" x14ac:dyDescent="0.25">
      <c r="E568" s="139"/>
      <c r="J568" s="139"/>
    </row>
    <row r="569" spans="5:10" ht="15.75" customHeight="1" x14ac:dyDescent="0.25">
      <c r="E569" s="139"/>
      <c r="J569" s="139"/>
    </row>
    <row r="570" spans="5:10" ht="15.75" customHeight="1" x14ac:dyDescent="0.25">
      <c r="E570" s="139"/>
      <c r="J570" s="139"/>
    </row>
    <row r="571" spans="5:10" ht="15.75" customHeight="1" x14ac:dyDescent="0.25">
      <c r="E571" s="139"/>
      <c r="J571" s="139"/>
    </row>
    <row r="572" spans="5:10" ht="15.75" customHeight="1" x14ac:dyDescent="0.25">
      <c r="E572" s="139"/>
      <c r="J572" s="139"/>
    </row>
    <row r="573" spans="5:10" ht="15.75" customHeight="1" x14ac:dyDescent="0.25">
      <c r="E573" s="139"/>
      <c r="J573" s="139"/>
    </row>
    <row r="574" spans="5:10" ht="15.75" customHeight="1" x14ac:dyDescent="0.25">
      <c r="E574" s="139"/>
      <c r="J574" s="139"/>
    </row>
    <row r="575" spans="5:10" ht="15.75" customHeight="1" x14ac:dyDescent="0.25">
      <c r="E575" s="139"/>
      <c r="J575" s="139"/>
    </row>
    <row r="576" spans="5:10" ht="15.75" customHeight="1" x14ac:dyDescent="0.25">
      <c r="E576" s="139"/>
      <c r="J576" s="139"/>
    </row>
    <row r="577" spans="5:10" ht="15.75" customHeight="1" x14ac:dyDescent="0.25">
      <c r="E577" s="139"/>
      <c r="J577" s="139"/>
    </row>
    <row r="578" spans="5:10" ht="15.75" customHeight="1" x14ac:dyDescent="0.25">
      <c r="E578" s="139"/>
      <c r="J578" s="139"/>
    </row>
    <row r="579" spans="5:10" ht="15.75" customHeight="1" x14ac:dyDescent="0.25">
      <c r="E579" s="139"/>
      <c r="J579" s="139"/>
    </row>
    <row r="580" spans="5:10" ht="15.75" customHeight="1" x14ac:dyDescent="0.25">
      <c r="E580" s="139"/>
      <c r="J580" s="139"/>
    </row>
    <row r="581" spans="5:10" ht="15.75" customHeight="1" x14ac:dyDescent="0.25">
      <c r="E581" s="139"/>
      <c r="J581" s="139"/>
    </row>
    <row r="582" spans="5:10" ht="15.75" customHeight="1" x14ac:dyDescent="0.25">
      <c r="E582" s="139"/>
      <c r="J582" s="139"/>
    </row>
    <row r="583" spans="5:10" ht="15.75" customHeight="1" x14ac:dyDescent="0.25">
      <c r="E583" s="139"/>
      <c r="J583" s="139"/>
    </row>
    <row r="584" spans="5:10" ht="15.75" customHeight="1" x14ac:dyDescent="0.25">
      <c r="E584" s="139"/>
      <c r="J584" s="139"/>
    </row>
    <row r="585" spans="5:10" ht="15.75" customHeight="1" x14ac:dyDescent="0.25">
      <c r="E585" s="139"/>
      <c r="J585" s="139"/>
    </row>
    <row r="586" spans="5:10" ht="15.75" customHeight="1" x14ac:dyDescent="0.25">
      <c r="E586" s="139"/>
      <c r="J586" s="139"/>
    </row>
    <row r="587" spans="5:10" ht="15.75" customHeight="1" x14ac:dyDescent="0.25">
      <c r="E587" s="139"/>
      <c r="J587" s="139"/>
    </row>
    <row r="588" spans="5:10" ht="15.75" customHeight="1" x14ac:dyDescent="0.25">
      <c r="E588" s="139"/>
      <c r="J588" s="139"/>
    </row>
    <row r="589" spans="5:10" ht="15.75" customHeight="1" x14ac:dyDescent="0.25">
      <c r="E589" s="139"/>
      <c r="J589" s="139"/>
    </row>
    <row r="590" spans="5:10" ht="15.75" customHeight="1" x14ac:dyDescent="0.25">
      <c r="E590" s="139"/>
      <c r="J590" s="139"/>
    </row>
    <row r="591" spans="5:10" ht="15.75" customHeight="1" x14ac:dyDescent="0.25">
      <c r="E591" s="139"/>
      <c r="J591" s="139"/>
    </row>
    <row r="592" spans="5:10" ht="15.75" customHeight="1" x14ac:dyDescent="0.25">
      <c r="E592" s="139"/>
      <c r="J592" s="139"/>
    </row>
    <row r="593" spans="5:10" ht="15.75" customHeight="1" x14ac:dyDescent="0.25">
      <c r="E593" s="139"/>
      <c r="J593" s="139"/>
    </row>
    <row r="594" spans="5:10" ht="15.75" customHeight="1" x14ac:dyDescent="0.25">
      <c r="E594" s="139"/>
      <c r="J594" s="139"/>
    </row>
    <row r="595" spans="5:10" ht="15.75" customHeight="1" x14ac:dyDescent="0.25">
      <c r="E595" s="139"/>
      <c r="J595" s="139"/>
    </row>
    <row r="596" spans="5:10" ht="15.75" customHeight="1" x14ac:dyDescent="0.25">
      <c r="E596" s="139"/>
      <c r="J596" s="139"/>
    </row>
    <row r="597" spans="5:10" ht="15.75" customHeight="1" x14ac:dyDescent="0.25">
      <c r="E597" s="139"/>
      <c r="J597" s="139"/>
    </row>
    <row r="598" spans="5:10" ht="15.75" customHeight="1" x14ac:dyDescent="0.25">
      <c r="E598" s="139"/>
      <c r="J598" s="139"/>
    </row>
    <row r="599" spans="5:10" ht="15.75" customHeight="1" x14ac:dyDescent="0.25">
      <c r="E599" s="139"/>
      <c r="J599" s="139"/>
    </row>
    <row r="600" spans="5:10" ht="15.75" customHeight="1" x14ac:dyDescent="0.25">
      <c r="E600" s="139"/>
      <c r="J600" s="139"/>
    </row>
    <row r="601" spans="5:10" ht="15.75" customHeight="1" x14ac:dyDescent="0.25">
      <c r="E601" s="139"/>
      <c r="J601" s="139"/>
    </row>
    <row r="602" spans="5:10" ht="15.75" customHeight="1" x14ac:dyDescent="0.25">
      <c r="E602" s="139"/>
      <c r="J602" s="139"/>
    </row>
    <row r="603" spans="5:10" ht="15.75" customHeight="1" x14ac:dyDescent="0.25">
      <c r="E603" s="139"/>
      <c r="J603" s="139"/>
    </row>
    <row r="604" spans="5:10" ht="15.75" customHeight="1" x14ac:dyDescent="0.25">
      <c r="E604" s="139"/>
      <c r="J604" s="139"/>
    </row>
    <row r="605" spans="5:10" ht="15.75" customHeight="1" x14ac:dyDescent="0.25">
      <c r="E605" s="139"/>
      <c r="J605" s="139"/>
    </row>
    <row r="606" spans="5:10" ht="15.75" customHeight="1" x14ac:dyDescent="0.25">
      <c r="E606" s="139"/>
      <c r="J606" s="139"/>
    </row>
    <row r="607" spans="5:10" ht="15.75" customHeight="1" x14ac:dyDescent="0.25">
      <c r="E607" s="139"/>
      <c r="J607" s="139"/>
    </row>
    <row r="608" spans="5:10" ht="15.75" customHeight="1" x14ac:dyDescent="0.25">
      <c r="E608" s="139"/>
      <c r="J608" s="139"/>
    </row>
    <row r="609" spans="5:10" ht="15.75" customHeight="1" x14ac:dyDescent="0.25">
      <c r="E609" s="139"/>
      <c r="J609" s="139"/>
    </row>
    <row r="610" spans="5:10" ht="15.75" customHeight="1" x14ac:dyDescent="0.25">
      <c r="E610" s="139"/>
      <c r="J610" s="139"/>
    </row>
    <row r="611" spans="5:10" ht="15.75" customHeight="1" x14ac:dyDescent="0.25">
      <c r="E611" s="139"/>
      <c r="J611" s="139"/>
    </row>
    <row r="612" spans="5:10" ht="15.75" customHeight="1" x14ac:dyDescent="0.25">
      <c r="E612" s="139"/>
      <c r="J612" s="139"/>
    </row>
    <row r="613" spans="5:10" ht="15.75" customHeight="1" x14ac:dyDescent="0.25">
      <c r="E613" s="139"/>
      <c r="J613" s="139"/>
    </row>
    <row r="614" spans="5:10" ht="15.75" customHeight="1" x14ac:dyDescent="0.25">
      <c r="E614" s="139"/>
      <c r="J614" s="139"/>
    </row>
    <row r="615" spans="5:10" ht="15.75" customHeight="1" x14ac:dyDescent="0.25">
      <c r="E615" s="139"/>
      <c r="J615" s="139"/>
    </row>
    <row r="616" spans="5:10" ht="15.75" customHeight="1" x14ac:dyDescent="0.25">
      <c r="E616" s="139"/>
      <c r="J616" s="139"/>
    </row>
    <row r="617" spans="5:10" ht="15.75" customHeight="1" x14ac:dyDescent="0.25">
      <c r="E617" s="139"/>
      <c r="J617" s="139"/>
    </row>
    <row r="618" spans="5:10" ht="15.75" customHeight="1" x14ac:dyDescent="0.25">
      <c r="E618" s="139"/>
      <c r="J618" s="139"/>
    </row>
    <row r="619" spans="5:10" ht="15.75" customHeight="1" x14ac:dyDescent="0.25">
      <c r="E619" s="139"/>
      <c r="J619" s="139"/>
    </row>
    <row r="620" spans="5:10" ht="15.75" customHeight="1" x14ac:dyDescent="0.25">
      <c r="E620" s="139"/>
      <c r="J620" s="139"/>
    </row>
    <row r="621" spans="5:10" ht="15.75" customHeight="1" x14ac:dyDescent="0.25">
      <c r="E621" s="139"/>
      <c r="J621" s="139"/>
    </row>
    <row r="622" spans="5:10" ht="15.75" customHeight="1" x14ac:dyDescent="0.25">
      <c r="E622" s="139"/>
      <c r="J622" s="139"/>
    </row>
    <row r="623" spans="5:10" ht="15.75" customHeight="1" x14ac:dyDescent="0.25">
      <c r="E623" s="139"/>
      <c r="J623" s="139"/>
    </row>
    <row r="624" spans="5:10" ht="15.75" customHeight="1" x14ac:dyDescent="0.25">
      <c r="E624" s="139"/>
      <c r="J624" s="139"/>
    </row>
    <row r="625" spans="5:10" ht="15.75" customHeight="1" x14ac:dyDescent="0.25">
      <c r="E625" s="139"/>
      <c r="J625" s="139"/>
    </row>
    <row r="626" spans="5:10" ht="15.75" customHeight="1" x14ac:dyDescent="0.25">
      <c r="E626" s="139"/>
      <c r="J626" s="139"/>
    </row>
    <row r="627" spans="5:10" ht="15.75" customHeight="1" x14ac:dyDescent="0.25">
      <c r="E627" s="139"/>
      <c r="J627" s="139"/>
    </row>
    <row r="628" spans="5:10" ht="15.75" customHeight="1" x14ac:dyDescent="0.25">
      <c r="E628" s="139"/>
      <c r="J628" s="139"/>
    </row>
    <row r="629" spans="5:10" ht="15.75" customHeight="1" x14ac:dyDescent="0.25">
      <c r="E629" s="139"/>
      <c r="J629" s="139"/>
    </row>
    <row r="630" spans="5:10" ht="15.75" customHeight="1" x14ac:dyDescent="0.25">
      <c r="E630" s="139"/>
      <c r="J630" s="139"/>
    </row>
    <row r="631" spans="5:10" ht="15.75" customHeight="1" x14ac:dyDescent="0.25">
      <c r="E631" s="139"/>
      <c r="J631" s="139"/>
    </row>
    <row r="632" spans="5:10" ht="15.75" customHeight="1" x14ac:dyDescent="0.25">
      <c r="E632" s="139"/>
      <c r="J632" s="139"/>
    </row>
    <row r="633" spans="5:10" ht="15.75" customHeight="1" x14ac:dyDescent="0.25">
      <c r="E633" s="139"/>
      <c r="J633" s="139"/>
    </row>
    <row r="634" spans="5:10" ht="15.75" customHeight="1" x14ac:dyDescent="0.25">
      <c r="E634" s="139"/>
      <c r="J634" s="139"/>
    </row>
    <row r="635" spans="5:10" ht="15.75" customHeight="1" x14ac:dyDescent="0.25">
      <c r="E635" s="139"/>
      <c r="J635" s="139"/>
    </row>
    <row r="636" spans="5:10" ht="15.75" customHeight="1" x14ac:dyDescent="0.25">
      <c r="E636" s="139"/>
      <c r="J636" s="139"/>
    </row>
    <row r="637" spans="5:10" ht="15.75" customHeight="1" x14ac:dyDescent="0.25">
      <c r="E637" s="139"/>
      <c r="J637" s="139"/>
    </row>
    <row r="638" spans="5:10" ht="15.75" customHeight="1" x14ac:dyDescent="0.25">
      <c r="E638" s="139"/>
      <c r="J638" s="139"/>
    </row>
    <row r="639" spans="5:10" ht="15.75" customHeight="1" x14ac:dyDescent="0.25">
      <c r="E639" s="139"/>
      <c r="J639" s="139"/>
    </row>
    <row r="640" spans="5:10" ht="15.75" customHeight="1" x14ac:dyDescent="0.25">
      <c r="E640" s="139"/>
      <c r="J640" s="139"/>
    </row>
    <row r="641" spans="5:10" ht="15.75" customHeight="1" x14ac:dyDescent="0.25">
      <c r="E641" s="139"/>
      <c r="J641" s="139"/>
    </row>
    <row r="642" spans="5:10" ht="15.75" customHeight="1" x14ac:dyDescent="0.25">
      <c r="E642" s="139"/>
      <c r="J642" s="139"/>
    </row>
    <row r="643" spans="5:10" ht="15.75" customHeight="1" x14ac:dyDescent="0.25">
      <c r="E643" s="139"/>
      <c r="J643" s="139"/>
    </row>
    <row r="644" spans="5:10" ht="15.75" customHeight="1" x14ac:dyDescent="0.25">
      <c r="E644" s="139"/>
      <c r="J644" s="139"/>
    </row>
    <row r="645" spans="5:10" ht="15.75" customHeight="1" x14ac:dyDescent="0.25">
      <c r="E645" s="139"/>
      <c r="J645" s="139"/>
    </row>
    <row r="646" spans="5:10" ht="15.75" customHeight="1" x14ac:dyDescent="0.25">
      <c r="E646" s="139"/>
      <c r="J646" s="139"/>
    </row>
    <row r="647" spans="5:10" ht="15.75" customHeight="1" x14ac:dyDescent="0.25">
      <c r="E647" s="139"/>
      <c r="J647" s="139"/>
    </row>
    <row r="648" spans="5:10" ht="15.75" customHeight="1" x14ac:dyDescent="0.25">
      <c r="E648" s="139"/>
      <c r="J648" s="139"/>
    </row>
    <row r="649" spans="5:10" ht="15.75" customHeight="1" x14ac:dyDescent="0.25">
      <c r="E649" s="139"/>
      <c r="J649" s="139"/>
    </row>
    <row r="650" spans="5:10" ht="15.75" customHeight="1" x14ac:dyDescent="0.25">
      <c r="E650" s="139"/>
      <c r="J650" s="139"/>
    </row>
    <row r="651" spans="5:10" ht="15.75" customHeight="1" x14ac:dyDescent="0.25">
      <c r="E651" s="139"/>
      <c r="J651" s="139"/>
    </row>
    <row r="652" spans="5:10" ht="15.75" customHeight="1" x14ac:dyDescent="0.25">
      <c r="E652" s="139"/>
      <c r="J652" s="139"/>
    </row>
    <row r="653" spans="5:10" ht="15.75" customHeight="1" x14ac:dyDescent="0.25">
      <c r="E653" s="139"/>
      <c r="J653" s="139"/>
    </row>
    <row r="654" spans="5:10" ht="15.75" customHeight="1" x14ac:dyDescent="0.25">
      <c r="E654" s="139"/>
      <c r="J654" s="139"/>
    </row>
    <row r="655" spans="5:10" ht="15.75" customHeight="1" x14ac:dyDescent="0.25">
      <c r="E655" s="139"/>
      <c r="J655" s="139"/>
    </row>
    <row r="656" spans="5:10" ht="15.75" customHeight="1" x14ac:dyDescent="0.25">
      <c r="E656" s="139"/>
      <c r="J656" s="139"/>
    </row>
    <row r="657" spans="5:10" ht="15.75" customHeight="1" x14ac:dyDescent="0.25">
      <c r="E657" s="139"/>
      <c r="J657" s="139"/>
    </row>
    <row r="658" spans="5:10" ht="15.75" customHeight="1" x14ac:dyDescent="0.25">
      <c r="E658" s="139"/>
      <c r="J658" s="139"/>
    </row>
    <row r="659" spans="5:10" ht="15.75" customHeight="1" x14ac:dyDescent="0.25">
      <c r="E659" s="139"/>
      <c r="J659" s="139"/>
    </row>
    <row r="660" spans="5:10" ht="15.75" customHeight="1" x14ac:dyDescent="0.25">
      <c r="E660" s="139"/>
      <c r="J660" s="139"/>
    </row>
    <row r="661" spans="5:10" ht="15.75" customHeight="1" x14ac:dyDescent="0.25">
      <c r="E661" s="139"/>
      <c r="J661" s="139"/>
    </row>
    <row r="662" spans="5:10" ht="15.75" customHeight="1" x14ac:dyDescent="0.25">
      <c r="E662" s="139"/>
      <c r="J662" s="139"/>
    </row>
    <row r="663" spans="5:10" ht="15.75" customHeight="1" x14ac:dyDescent="0.25">
      <c r="E663" s="139"/>
      <c r="J663" s="139"/>
    </row>
    <row r="664" spans="5:10" ht="15.75" customHeight="1" x14ac:dyDescent="0.25">
      <c r="E664" s="139"/>
      <c r="J664" s="139"/>
    </row>
    <row r="665" spans="5:10" ht="15.75" customHeight="1" x14ac:dyDescent="0.25">
      <c r="E665" s="139"/>
      <c r="J665" s="139"/>
    </row>
    <row r="666" spans="5:10" ht="15.75" customHeight="1" x14ac:dyDescent="0.25">
      <c r="E666" s="139"/>
      <c r="J666" s="139"/>
    </row>
    <row r="667" spans="5:10" ht="15.75" customHeight="1" x14ac:dyDescent="0.25">
      <c r="E667" s="139"/>
      <c r="J667" s="139"/>
    </row>
    <row r="668" spans="5:10" ht="15.75" customHeight="1" x14ac:dyDescent="0.25">
      <c r="E668" s="139"/>
      <c r="J668" s="139"/>
    </row>
    <row r="669" spans="5:10" ht="15.75" customHeight="1" x14ac:dyDescent="0.25">
      <c r="E669" s="139"/>
      <c r="J669" s="139"/>
    </row>
    <row r="670" spans="5:10" ht="15.75" customHeight="1" x14ac:dyDescent="0.25">
      <c r="E670" s="139"/>
      <c r="J670" s="139"/>
    </row>
    <row r="671" spans="5:10" ht="15.75" customHeight="1" x14ac:dyDescent="0.25">
      <c r="E671" s="139"/>
      <c r="J671" s="139"/>
    </row>
    <row r="672" spans="5:10" ht="15.75" customHeight="1" x14ac:dyDescent="0.25">
      <c r="E672" s="139"/>
      <c r="J672" s="139"/>
    </row>
    <row r="673" spans="5:10" ht="15.75" customHeight="1" x14ac:dyDescent="0.25">
      <c r="E673" s="139"/>
      <c r="J673" s="139"/>
    </row>
    <row r="674" spans="5:10" ht="15.75" customHeight="1" x14ac:dyDescent="0.25">
      <c r="E674" s="139"/>
      <c r="J674" s="139"/>
    </row>
    <row r="675" spans="5:10" ht="15.75" customHeight="1" x14ac:dyDescent="0.25">
      <c r="E675" s="139"/>
      <c r="J675" s="139"/>
    </row>
    <row r="676" spans="5:10" ht="15.75" customHeight="1" x14ac:dyDescent="0.25">
      <c r="E676" s="139"/>
      <c r="J676" s="139"/>
    </row>
    <row r="677" spans="5:10" ht="15.75" customHeight="1" x14ac:dyDescent="0.25">
      <c r="E677" s="139"/>
      <c r="J677" s="139"/>
    </row>
    <row r="678" spans="5:10" ht="15.75" customHeight="1" x14ac:dyDescent="0.25">
      <c r="E678" s="139"/>
      <c r="J678" s="139"/>
    </row>
    <row r="679" spans="5:10" ht="15.75" customHeight="1" x14ac:dyDescent="0.25">
      <c r="E679" s="139"/>
      <c r="J679" s="139"/>
    </row>
    <row r="680" spans="5:10" ht="15.75" customHeight="1" x14ac:dyDescent="0.25">
      <c r="E680" s="139"/>
      <c r="J680" s="139"/>
    </row>
    <row r="681" spans="5:10" ht="15.75" customHeight="1" x14ac:dyDescent="0.25">
      <c r="E681" s="139"/>
      <c r="J681" s="139"/>
    </row>
    <row r="682" spans="5:10" ht="15.75" customHeight="1" x14ac:dyDescent="0.25">
      <c r="E682" s="139"/>
      <c r="J682" s="139"/>
    </row>
    <row r="683" spans="5:10" ht="15.75" customHeight="1" x14ac:dyDescent="0.25">
      <c r="E683" s="139"/>
      <c r="J683" s="139"/>
    </row>
    <row r="684" spans="5:10" ht="15.75" customHeight="1" x14ac:dyDescent="0.25">
      <c r="E684" s="139"/>
      <c r="J684" s="139"/>
    </row>
    <row r="685" spans="5:10" ht="15.75" customHeight="1" x14ac:dyDescent="0.25">
      <c r="E685" s="139"/>
      <c r="J685" s="139"/>
    </row>
    <row r="686" spans="5:10" ht="15.75" customHeight="1" x14ac:dyDescent="0.25">
      <c r="E686" s="139"/>
      <c r="J686" s="139"/>
    </row>
    <row r="687" spans="5:10" ht="15.75" customHeight="1" x14ac:dyDescent="0.25">
      <c r="E687" s="139"/>
      <c r="J687" s="139"/>
    </row>
    <row r="688" spans="5:10" ht="15.75" customHeight="1" x14ac:dyDescent="0.25">
      <c r="E688" s="139"/>
      <c r="J688" s="139"/>
    </row>
    <row r="689" spans="5:10" ht="15.75" customHeight="1" x14ac:dyDescent="0.25">
      <c r="E689" s="139"/>
      <c r="J689" s="139"/>
    </row>
    <row r="690" spans="5:10" ht="15.75" customHeight="1" x14ac:dyDescent="0.25">
      <c r="E690" s="139"/>
      <c r="J690" s="139"/>
    </row>
    <row r="691" spans="5:10" ht="15.75" customHeight="1" x14ac:dyDescent="0.25">
      <c r="E691" s="139"/>
      <c r="J691" s="139"/>
    </row>
    <row r="692" spans="5:10" ht="15.75" customHeight="1" x14ac:dyDescent="0.25">
      <c r="E692" s="139"/>
      <c r="J692" s="139"/>
    </row>
    <row r="693" spans="5:10" ht="15.75" customHeight="1" x14ac:dyDescent="0.25">
      <c r="E693" s="139"/>
      <c r="J693" s="139"/>
    </row>
    <row r="694" spans="5:10" ht="15.75" customHeight="1" x14ac:dyDescent="0.25">
      <c r="E694" s="139"/>
      <c r="J694" s="139"/>
    </row>
    <row r="695" spans="5:10" ht="15.75" customHeight="1" x14ac:dyDescent="0.25">
      <c r="E695" s="139"/>
      <c r="J695" s="139"/>
    </row>
    <row r="696" spans="5:10" ht="15.75" customHeight="1" x14ac:dyDescent="0.25">
      <c r="E696" s="139"/>
      <c r="J696" s="139"/>
    </row>
    <row r="697" spans="5:10" ht="15.75" customHeight="1" x14ac:dyDescent="0.25">
      <c r="E697" s="139"/>
      <c r="J697" s="139"/>
    </row>
    <row r="698" spans="5:10" ht="15.75" customHeight="1" x14ac:dyDescent="0.25">
      <c r="E698" s="139"/>
      <c r="J698" s="139"/>
    </row>
    <row r="699" spans="5:10" ht="15.75" customHeight="1" x14ac:dyDescent="0.25">
      <c r="E699" s="139"/>
      <c r="J699" s="139"/>
    </row>
    <row r="700" spans="5:10" ht="15.75" customHeight="1" x14ac:dyDescent="0.25">
      <c r="E700" s="139"/>
      <c r="J700" s="139"/>
    </row>
    <row r="701" spans="5:10" ht="15.75" customHeight="1" x14ac:dyDescent="0.25">
      <c r="E701" s="139"/>
      <c r="J701" s="139"/>
    </row>
    <row r="702" spans="5:10" ht="15.75" customHeight="1" x14ac:dyDescent="0.25">
      <c r="E702" s="139"/>
      <c r="J702" s="139"/>
    </row>
    <row r="703" spans="5:10" ht="15.75" customHeight="1" x14ac:dyDescent="0.25">
      <c r="E703" s="139"/>
      <c r="J703" s="139"/>
    </row>
    <row r="704" spans="5:10" ht="15.75" customHeight="1" x14ac:dyDescent="0.25">
      <c r="E704" s="139"/>
      <c r="J704" s="139"/>
    </row>
    <row r="705" spans="5:10" ht="15.75" customHeight="1" x14ac:dyDescent="0.25">
      <c r="E705" s="139"/>
      <c r="J705" s="139"/>
    </row>
    <row r="706" spans="5:10" ht="15.75" customHeight="1" x14ac:dyDescent="0.25">
      <c r="E706" s="139"/>
      <c r="J706" s="139"/>
    </row>
    <row r="707" spans="5:10" ht="15.75" customHeight="1" x14ac:dyDescent="0.25">
      <c r="E707" s="139"/>
      <c r="J707" s="139"/>
    </row>
    <row r="708" spans="5:10" ht="15.75" customHeight="1" x14ac:dyDescent="0.25">
      <c r="E708" s="139"/>
      <c r="J708" s="139"/>
    </row>
    <row r="709" spans="5:10" ht="15.75" customHeight="1" x14ac:dyDescent="0.25">
      <c r="E709" s="139"/>
      <c r="J709" s="139"/>
    </row>
    <row r="710" spans="5:10" ht="15.75" customHeight="1" x14ac:dyDescent="0.25">
      <c r="E710" s="139"/>
      <c r="J710" s="139"/>
    </row>
    <row r="711" spans="5:10" ht="15.75" customHeight="1" x14ac:dyDescent="0.25">
      <c r="E711" s="139"/>
      <c r="J711" s="139"/>
    </row>
    <row r="712" spans="5:10" ht="15.75" customHeight="1" x14ac:dyDescent="0.25">
      <c r="E712" s="139"/>
      <c r="J712" s="139"/>
    </row>
    <row r="713" spans="5:10" ht="15.75" customHeight="1" x14ac:dyDescent="0.25">
      <c r="E713" s="139"/>
      <c r="J713" s="139"/>
    </row>
    <row r="714" spans="5:10" ht="15.75" customHeight="1" x14ac:dyDescent="0.25">
      <c r="E714" s="139"/>
      <c r="J714" s="139"/>
    </row>
    <row r="715" spans="5:10" ht="15.75" customHeight="1" x14ac:dyDescent="0.25">
      <c r="E715" s="139"/>
      <c r="J715" s="139"/>
    </row>
    <row r="716" spans="5:10" ht="15.75" customHeight="1" x14ac:dyDescent="0.25">
      <c r="E716" s="139"/>
      <c r="J716" s="139"/>
    </row>
    <row r="717" spans="5:10" ht="15.75" customHeight="1" x14ac:dyDescent="0.25">
      <c r="E717" s="139"/>
      <c r="J717" s="139"/>
    </row>
    <row r="718" spans="5:10" ht="15.75" customHeight="1" x14ac:dyDescent="0.25">
      <c r="E718" s="139"/>
      <c r="J718" s="139"/>
    </row>
    <row r="719" spans="5:10" ht="15.75" customHeight="1" x14ac:dyDescent="0.25">
      <c r="E719" s="139"/>
      <c r="J719" s="139"/>
    </row>
    <row r="720" spans="5:10" ht="15.75" customHeight="1" x14ac:dyDescent="0.25">
      <c r="E720" s="139"/>
      <c r="J720" s="139"/>
    </row>
    <row r="721" spans="5:10" ht="15.75" customHeight="1" x14ac:dyDescent="0.25">
      <c r="E721" s="139"/>
      <c r="J721" s="139"/>
    </row>
    <row r="722" spans="5:10" ht="15.75" customHeight="1" x14ac:dyDescent="0.25">
      <c r="E722" s="139"/>
      <c r="J722" s="139"/>
    </row>
    <row r="723" spans="5:10" ht="15.75" customHeight="1" x14ac:dyDescent="0.25">
      <c r="E723" s="139"/>
      <c r="J723" s="139"/>
    </row>
    <row r="724" spans="5:10" ht="15.75" customHeight="1" x14ac:dyDescent="0.25">
      <c r="E724" s="139"/>
      <c r="J724" s="139"/>
    </row>
    <row r="725" spans="5:10" ht="15.75" customHeight="1" x14ac:dyDescent="0.25">
      <c r="E725" s="139"/>
      <c r="J725" s="139"/>
    </row>
    <row r="726" spans="5:10" ht="15.75" customHeight="1" x14ac:dyDescent="0.25">
      <c r="E726" s="139"/>
      <c r="J726" s="139"/>
    </row>
    <row r="727" spans="5:10" ht="15.75" customHeight="1" x14ac:dyDescent="0.25">
      <c r="E727" s="139"/>
      <c r="J727" s="139"/>
    </row>
    <row r="728" spans="5:10" ht="15.75" customHeight="1" x14ac:dyDescent="0.25">
      <c r="E728" s="139"/>
      <c r="J728" s="139"/>
    </row>
    <row r="729" spans="5:10" ht="15.75" customHeight="1" x14ac:dyDescent="0.25">
      <c r="E729" s="139"/>
      <c r="J729" s="139"/>
    </row>
    <row r="730" spans="5:10" ht="15.75" customHeight="1" x14ac:dyDescent="0.25">
      <c r="E730" s="139"/>
      <c r="J730" s="139"/>
    </row>
    <row r="731" spans="5:10" ht="15.75" customHeight="1" x14ac:dyDescent="0.25">
      <c r="E731" s="139"/>
      <c r="J731" s="139"/>
    </row>
    <row r="732" spans="5:10" ht="15.75" customHeight="1" x14ac:dyDescent="0.25">
      <c r="E732" s="139"/>
      <c r="J732" s="139"/>
    </row>
    <row r="733" spans="5:10" ht="15.75" customHeight="1" x14ac:dyDescent="0.25">
      <c r="E733" s="139"/>
      <c r="J733" s="139"/>
    </row>
    <row r="734" spans="5:10" ht="15.75" customHeight="1" x14ac:dyDescent="0.25">
      <c r="E734" s="139"/>
      <c r="J734" s="139"/>
    </row>
    <row r="735" spans="5:10" ht="15.75" customHeight="1" x14ac:dyDescent="0.25">
      <c r="E735" s="139"/>
      <c r="J735" s="139"/>
    </row>
    <row r="736" spans="5:10" ht="15.75" customHeight="1" x14ac:dyDescent="0.25">
      <c r="E736" s="139"/>
      <c r="J736" s="139"/>
    </row>
    <row r="737" spans="5:10" ht="15.75" customHeight="1" x14ac:dyDescent="0.25">
      <c r="E737" s="139"/>
      <c r="J737" s="139"/>
    </row>
    <row r="738" spans="5:10" ht="15.75" customHeight="1" x14ac:dyDescent="0.25">
      <c r="E738" s="139"/>
      <c r="J738" s="139"/>
    </row>
    <row r="739" spans="5:10" ht="15.75" customHeight="1" x14ac:dyDescent="0.25">
      <c r="E739" s="139"/>
      <c r="J739" s="139"/>
    </row>
    <row r="740" spans="5:10" ht="15.75" customHeight="1" x14ac:dyDescent="0.25">
      <c r="E740" s="139"/>
      <c r="J740" s="139"/>
    </row>
    <row r="741" spans="5:10" ht="15.75" customHeight="1" x14ac:dyDescent="0.25">
      <c r="E741" s="139"/>
      <c r="J741" s="139"/>
    </row>
    <row r="742" spans="5:10" ht="15.75" customHeight="1" x14ac:dyDescent="0.25">
      <c r="E742" s="139"/>
      <c r="J742" s="139"/>
    </row>
    <row r="743" spans="5:10" ht="15.75" customHeight="1" x14ac:dyDescent="0.25">
      <c r="E743" s="139"/>
      <c r="J743" s="139"/>
    </row>
    <row r="744" spans="5:10" ht="15.75" customHeight="1" x14ac:dyDescent="0.25">
      <c r="E744" s="139"/>
      <c r="J744" s="139"/>
    </row>
    <row r="745" spans="5:10" ht="15.75" customHeight="1" x14ac:dyDescent="0.25">
      <c r="E745" s="139"/>
      <c r="J745" s="139"/>
    </row>
    <row r="746" spans="5:10" ht="15.75" customHeight="1" x14ac:dyDescent="0.25">
      <c r="E746" s="139"/>
      <c r="J746" s="139"/>
    </row>
    <row r="747" spans="5:10" ht="15.75" customHeight="1" x14ac:dyDescent="0.25">
      <c r="E747" s="139"/>
      <c r="J747" s="139"/>
    </row>
    <row r="748" spans="5:10" ht="15.75" customHeight="1" x14ac:dyDescent="0.25">
      <c r="E748" s="139"/>
      <c r="J748" s="139"/>
    </row>
    <row r="749" spans="5:10" ht="15.75" customHeight="1" x14ac:dyDescent="0.25">
      <c r="E749" s="139"/>
      <c r="J749" s="139"/>
    </row>
    <row r="750" spans="5:10" ht="15.75" customHeight="1" x14ac:dyDescent="0.25">
      <c r="E750" s="139"/>
      <c r="J750" s="139"/>
    </row>
    <row r="751" spans="5:10" ht="15.75" customHeight="1" x14ac:dyDescent="0.25">
      <c r="E751" s="139"/>
      <c r="J751" s="139"/>
    </row>
    <row r="752" spans="5:10" ht="15.75" customHeight="1" x14ac:dyDescent="0.25">
      <c r="E752" s="139"/>
      <c r="J752" s="139"/>
    </row>
    <row r="753" spans="5:10" ht="15.75" customHeight="1" x14ac:dyDescent="0.25">
      <c r="E753" s="139"/>
      <c r="J753" s="139"/>
    </row>
    <row r="754" spans="5:10" ht="15.75" customHeight="1" x14ac:dyDescent="0.25">
      <c r="E754" s="139"/>
      <c r="J754" s="139"/>
    </row>
    <row r="755" spans="5:10" ht="15.75" customHeight="1" x14ac:dyDescent="0.25">
      <c r="E755" s="139"/>
      <c r="J755" s="139"/>
    </row>
    <row r="756" spans="5:10" ht="15.75" customHeight="1" x14ac:dyDescent="0.25">
      <c r="E756" s="139"/>
      <c r="J756" s="139"/>
    </row>
    <row r="757" spans="5:10" ht="15.75" customHeight="1" x14ac:dyDescent="0.25">
      <c r="E757" s="139"/>
      <c r="J757" s="139"/>
    </row>
    <row r="758" spans="5:10" ht="15.75" customHeight="1" x14ac:dyDescent="0.25">
      <c r="E758" s="139"/>
      <c r="J758" s="139"/>
    </row>
    <row r="759" spans="5:10" ht="15.75" customHeight="1" x14ac:dyDescent="0.25">
      <c r="E759" s="139"/>
      <c r="J759" s="139"/>
    </row>
    <row r="760" spans="5:10" ht="15.75" customHeight="1" x14ac:dyDescent="0.25">
      <c r="E760" s="139"/>
      <c r="J760" s="139"/>
    </row>
    <row r="761" spans="5:10" ht="15.75" customHeight="1" x14ac:dyDescent="0.25">
      <c r="E761" s="139"/>
      <c r="J761" s="139"/>
    </row>
    <row r="762" spans="5:10" ht="15.75" customHeight="1" x14ac:dyDescent="0.25">
      <c r="E762" s="139"/>
      <c r="J762" s="139"/>
    </row>
    <row r="763" spans="5:10" ht="15.75" customHeight="1" x14ac:dyDescent="0.25">
      <c r="E763" s="139"/>
      <c r="J763" s="139"/>
    </row>
    <row r="764" spans="5:10" ht="15.75" customHeight="1" x14ac:dyDescent="0.25">
      <c r="E764" s="139"/>
      <c r="J764" s="139"/>
    </row>
    <row r="765" spans="5:10" ht="15.75" customHeight="1" x14ac:dyDescent="0.25">
      <c r="E765" s="139"/>
      <c r="J765" s="139"/>
    </row>
    <row r="766" spans="5:10" ht="15.75" customHeight="1" x14ac:dyDescent="0.25">
      <c r="E766" s="139"/>
      <c r="J766" s="139"/>
    </row>
    <row r="767" spans="5:10" ht="15.75" customHeight="1" x14ac:dyDescent="0.25">
      <c r="E767" s="139"/>
      <c r="J767" s="139"/>
    </row>
    <row r="768" spans="5:10" ht="15.75" customHeight="1" x14ac:dyDescent="0.25">
      <c r="E768" s="139"/>
      <c r="J768" s="139"/>
    </row>
    <row r="769" spans="5:10" ht="15.75" customHeight="1" x14ac:dyDescent="0.25">
      <c r="E769" s="139"/>
      <c r="J769" s="139"/>
    </row>
    <row r="770" spans="5:10" ht="15.75" customHeight="1" x14ac:dyDescent="0.25">
      <c r="E770" s="139"/>
      <c r="J770" s="139"/>
    </row>
    <row r="771" spans="5:10" ht="15.75" customHeight="1" x14ac:dyDescent="0.25">
      <c r="E771" s="139"/>
      <c r="J771" s="139"/>
    </row>
    <row r="772" spans="5:10" ht="15.75" customHeight="1" x14ac:dyDescent="0.25">
      <c r="E772" s="139"/>
      <c r="J772" s="139"/>
    </row>
    <row r="773" spans="5:10" ht="15.75" customHeight="1" x14ac:dyDescent="0.25">
      <c r="E773" s="139"/>
      <c r="J773" s="139"/>
    </row>
    <row r="774" spans="5:10" ht="15.75" customHeight="1" x14ac:dyDescent="0.25">
      <c r="E774" s="139"/>
      <c r="J774" s="139"/>
    </row>
    <row r="775" spans="5:10" ht="15.75" customHeight="1" x14ac:dyDescent="0.25">
      <c r="E775" s="139"/>
      <c r="J775" s="139"/>
    </row>
    <row r="776" spans="5:10" ht="15.75" customHeight="1" x14ac:dyDescent="0.25">
      <c r="E776" s="139"/>
      <c r="J776" s="139"/>
    </row>
    <row r="777" spans="5:10" ht="15.75" customHeight="1" x14ac:dyDescent="0.25">
      <c r="E777" s="139"/>
      <c r="J777" s="139"/>
    </row>
    <row r="778" spans="5:10" ht="15.75" customHeight="1" x14ac:dyDescent="0.25">
      <c r="E778" s="139"/>
      <c r="J778" s="139"/>
    </row>
    <row r="779" spans="5:10" ht="15.75" customHeight="1" x14ac:dyDescent="0.25">
      <c r="E779" s="139"/>
      <c r="J779" s="139"/>
    </row>
    <row r="780" spans="5:10" ht="15.75" customHeight="1" x14ac:dyDescent="0.25">
      <c r="E780" s="139"/>
      <c r="J780" s="139"/>
    </row>
    <row r="781" spans="5:10" ht="15.75" customHeight="1" x14ac:dyDescent="0.25">
      <c r="E781" s="139"/>
      <c r="J781" s="139"/>
    </row>
    <row r="782" spans="5:10" ht="15.75" customHeight="1" x14ac:dyDescent="0.25">
      <c r="E782" s="139"/>
      <c r="J782" s="139"/>
    </row>
    <row r="783" spans="5:10" ht="15.75" customHeight="1" x14ac:dyDescent="0.25">
      <c r="E783" s="139"/>
      <c r="J783" s="139"/>
    </row>
    <row r="784" spans="5:10" ht="15.75" customHeight="1" x14ac:dyDescent="0.25">
      <c r="E784" s="139"/>
      <c r="J784" s="139"/>
    </row>
    <row r="785" spans="5:10" ht="15.75" customHeight="1" x14ac:dyDescent="0.25">
      <c r="E785" s="139"/>
      <c r="J785" s="139"/>
    </row>
    <row r="786" spans="5:10" ht="15.75" customHeight="1" x14ac:dyDescent="0.25">
      <c r="E786" s="139"/>
      <c r="J786" s="139"/>
    </row>
    <row r="787" spans="5:10" ht="15.75" customHeight="1" x14ac:dyDescent="0.25">
      <c r="E787" s="139"/>
      <c r="J787" s="139"/>
    </row>
    <row r="788" spans="5:10" ht="15.75" customHeight="1" x14ac:dyDescent="0.25">
      <c r="E788" s="139"/>
      <c r="J788" s="139"/>
    </row>
    <row r="789" spans="5:10" ht="15.75" customHeight="1" x14ac:dyDescent="0.25">
      <c r="E789" s="139"/>
      <c r="J789" s="139"/>
    </row>
    <row r="790" spans="5:10" ht="15.75" customHeight="1" x14ac:dyDescent="0.25">
      <c r="E790" s="139"/>
      <c r="J790" s="139"/>
    </row>
    <row r="791" spans="5:10" ht="15.75" customHeight="1" x14ac:dyDescent="0.25">
      <c r="E791" s="139"/>
      <c r="J791" s="139"/>
    </row>
    <row r="792" spans="5:10" ht="15.75" customHeight="1" x14ac:dyDescent="0.25">
      <c r="E792" s="139"/>
      <c r="J792" s="139"/>
    </row>
    <row r="793" spans="5:10" ht="15.75" customHeight="1" x14ac:dyDescent="0.25">
      <c r="E793" s="139"/>
      <c r="J793" s="139"/>
    </row>
    <row r="794" spans="5:10" ht="15.75" customHeight="1" x14ac:dyDescent="0.25">
      <c r="E794" s="139"/>
      <c r="J794" s="139"/>
    </row>
    <row r="795" spans="5:10" ht="15.75" customHeight="1" x14ac:dyDescent="0.25">
      <c r="E795" s="139"/>
      <c r="J795" s="139"/>
    </row>
    <row r="796" spans="5:10" ht="15.75" customHeight="1" x14ac:dyDescent="0.25">
      <c r="E796" s="139"/>
      <c r="J796" s="139"/>
    </row>
    <row r="797" spans="5:10" ht="15.75" customHeight="1" x14ac:dyDescent="0.25">
      <c r="E797" s="139"/>
      <c r="J797" s="139"/>
    </row>
    <row r="798" spans="5:10" ht="15.75" customHeight="1" x14ac:dyDescent="0.25">
      <c r="E798" s="139"/>
      <c r="J798" s="139"/>
    </row>
    <row r="799" spans="5:10" ht="15.75" customHeight="1" x14ac:dyDescent="0.25">
      <c r="E799" s="139"/>
      <c r="J799" s="139"/>
    </row>
    <row r="800" spans="5:10" ht="15.75" customHeight="1" x14ac:dyDescent="0.25">
      <c r="E800" s="139"/>
      <c r="J800" s="139"/>
    </row>
    <row r="801" spans="5:10" ht="15.75" customHeight="1" x14ac:dyDescent="0.25">
      <c r="E801" s="139"/>
      <c r="J801" s="139"/>
    </row>
    <row r="802" spans="5:10" ht="15.75" customHeight="1" x14ac:dyDescent="0.25">
      <c r="E802" s="139"/>
      <c r="J802" s="139"/>
    </row>
    <row r="803" spans="5:10" ht="15.75" customHeight="1" x14ac:dyDescent="0.25">
      <c r="E803" s="139"/>
      <c r="J803" s="139"/>
    </row>
    <row r="804" spans="5:10" ht="15.75" customHeight="1" x14ac:dyDescent="0.25">
      <c r="E804" s="139"/>
      <c r="J804" s="139"/>
    </row>
    <row r="805" spans="5:10" ht="15.75" customHeight="1" x14ac:dyDescent="0.25">
      <c r="E805" s="139"/>
      <c r="J805" s="139"/>
    </row>
    <row r="806" spans="5:10" ht="15.75" customHeight="1" x14ac:dyDescent="0.25">
      <c r="E806" s="139"/>
      <c r="J806" s="139"/>
    </row>
    <row r="807" spans="5:10" ht="15.75" customHeight="1" x14ac:dyDescent="0.25">
      <c r="E807" s="139"/>
      <c r="J807" s="139"/>
    </row>
    <row r="808" spans="5:10" ht="15.75" customHeight="1" x14ac:dyDescent="0.25">
      <c r="E808" s="139"/>
      <c r="J808" s="139"/>
    </row>
    <row r="809" spans="5:10" ht="15.75" customHeight="1" x14ac:dyDescent="0.25">
      <c r="E809" s="139"/>
      <c r="J809" s="139"/>
    </row>
    <row r="810" spans="5:10" ht="15.75" customHeight="1" x14ac:dyDescent="0.25">
      <c r="E810" s="139"/>
      <c r="J810" s="139"/>
    </row>
    <row r="811" spans="5:10" ht="15.75" customHeight="1" x14ac:dyDescent="0.25">
      <c r="E811" s="139"/>
      <c r="J811" s="139"/>
    </row>
    <row r="812" spans="5:10" ht="15.75" customHeight="1" x14ac:dyDescent="0.25">
      <c r="E812" s="139"/>
      <c r="J812" s="139"/>
    </row>
    <row r="813" spans="5:10" ht="15.75" customHeight="1" x14ac:dyDescent="0.25">
      <c r="E813" s="139"/>
      <c r="J813" s="139"/>
    </row>
    <row r="814" spans="5:10" ht="15.75" customHeight="1" x14ac:dyDescent="0.25">
      <c r="E814" s="139"/>
      <c r="J814" s="139"/>
    </row>
    <row r="815" spans="5:10" ht="15.75" customHeight="1" x14ac:dyDescent="0.25">
      <c r="E815" s="139"/>
      <c r="J815" s="139"/>
    </row>
    <row r="816" spans="5:10" ht="15.75" customHeight="1" x14ac:dyDescent="0.25">
      <c r="E816" s="139"/>
      <c r="J816" s="139"/>
    </row>
    <row r="817" spans="5:10" ht="15.75" customHeight="1" x14ac:dyDescent="0.25">
      <c r="E817" s="139"/>
      <c r="J817" s="139"/>
    </row>
    <row r="818" spans="5:10" ht="15.75" customHeight="1" x14ac:dyDescent="0.25">
      <c r="E818" s="139"/>
      <c r="J818" s="139"/>
    </row>
    <row r="819" spans="5:10" ht="15.75" customHeight="1" x14ac:dyDescent="0.25">
      <c r="E819" s="139"/>
      <c r="J819" s="139"/>
    </row>
    <row r="820" spans="5:10" ht="15.75" customHeight="1" x14ac:dyDescent="0.25">
      <c r="E820" s="139"/>
      <c r="J820" s="139"/>
    </row>
    <row r="821" spans="5:10" ht="15.75" customHeight="1" x14ac:dyDescent="0.25">
      <c r="E821" s="139"/>
      <c r="J821" s="139"/>
    </row>
    <row r="822" spans="5:10" ht="15.75" customHeight="1" x14ac:dyDescent="0.25">
      <c r="E822" s="139"/>
      <c r="J822" s="139"/>
    </row>
    <row r="823" spans="5:10" ht="15.75" customHeight="1" x14ac:dyDescent="0.25">
      <c r="E823" s="139"/>
      <c r="J823" s="139"/>
    </row>
    <row r="824" spans="5:10" ht="15.75" customHeight="1" x14ac:dyDescent="0.25">
      <c r="E824" s="139"/>
      <c r="J824" s="139"/>
    </row>
    <row r="825" spans="5:10" ht="15.75" customHeight="1" x14ac:dyDescent="0.25">
      <c r="E825" s="139"/>
      <c r="J825" s="139"/>
    </row>
    <row r="826" spans="5:10" ht="15.75" customHeight="1" x14ac:dyDescent="0.25">
      <c r="E826" s="139"/>
      <c r="J826" s="139"/>
    </row>
    <row r="827" spans="5:10" ht="15.75" customHeight="1" x14ac:dyDescent="0.25">
      <c r="E827" s="139"/>
      <c r="J827" s="139"/>
    </row>
    <row r="828" spans="5:10" ht="15.75" customHeight="1" x14ac:dyDescent="0.25">
      <c r="E828" s="139"/>
      <c r="J828" s="139"/>
    </row>
    <row r="829" spans="5:10" ht="15.75" customHeight="1" x14ac:dyDescent="0.25">
      <c r="E829" s="139"/>
      <c r="J829" s="139"/>
    </row>
    <row r="830" spans="5:10" ht="15.75" customHeight="1" x14ac:dyDescent="0.25">
      <c r="E830" s="139"/>
      <c r="J830" s="139"/>
    </row>
    <row r="831" spans="5:10" ht="15.75" customHeight="1" x14ac:dyDescent="0.25">
      <c r="E831" s="139"/>
      <c r="J831" s="139"/>
    </row>
    <row r="832" spans="5:10" ht="15.75" customHeight="1" x14ac:dyDescent="0.25">
      <c r="E832" s="139"/>
      <c r="J832" s="139"/>
    </row>
    <row r="833" spans="5:10" ht="15.75" customHeight="1" x14ac:dyDescent="0.25">
      <c r="E833" s="139"/>
      <c r="J833" s="139"/>
    </row>
    <row r="834" spans="5:10" ht="15.75" customHeight="1" x14ac:dyDescent="0.25">
      <c r="E834" s="139"/>
      <c r="J834" s="139"/>
    </row>
    <row r="835" spans="5:10" ht="15.75" customHeight="1" x14ac:dyDescent="0.25">
      <c r="E835" s="139"/>
      <c r="J835" s="139"/>
    </row>
    <row r="836" spans="5:10" ht="15.75" customHeight="1" x14ac:dyDescent="0.25">
      <c r="E836" s="139"/>
      <c r="J836" s="139"/>
    </row>
    <row r="837" spans="5:10" ht="15.75" customHeight="1" x14ac:dyDescent="0.25">
      <c r="E837" s="139"/>
      <c r="J837" s="139"/>
    </row>
    <row r="838" spans="5:10" ht="15.75" customHeight="1" x14ac:dyDescent="0.25">
      <c r="E838" s="139"/>
      <c r="J838" s="139"/>
    </row>
    <row r="839" spans="5:10" ht="15.75" customHeight="1" x14ac:dyDescent="0.25">
      <c r="E839" s="139"/>
      <c r="J839" s="139"/>
    </row>
    <row r="840" spans="5:10" ht="15.75" customHeight="1" x14ac:dyDescent="0.25">
      <c r="E840" s="139"/>
      <c r="J840" s="139"/>
    </row>
    <row r="841" spans="5:10" ht="15.75" customHeight="1" x14ac:dyDescent="0.25">
      <c r="E841" s="139"/>
      <c r="J841" s="139"/>
    </row>
    <row r="842" spans="5:10" ht="15.75" customHeight="1" x14ac:dyDescent="0.25">
      <c r="E842" s="139"/>
      <c r="J842" s="139"/>
    </row>
    <row r="843" spans="5:10" ht="15.75" customHeight="1" x14ac:dyDescent="0.25">
      <c r="E843" s="139"/>
      <c r="J843" s="139"/>
    </row>
    <row r="844" spans="5:10" ht="15.75" customHeight="1" x14ac:dyDescent="0.25">
      <c r="E844" s="139"/>
      <c r="J844" s="139"/>
    </row>
    <row r="845" spans="5:10" ht="15.75" customHeight="1" x14ac:dyDescent="0.25">
      <c r="E845" s="139"/>
      <c r="J845" s="139"/>
    </row>
    <row r="846" spans="5:10" ht="15.75" customHeight="1" x14ac:dyDescent="0.25">
      <c r="E846" s="139"/>
      <c r="J846" s="139"/>
    </row>
    <row r="847" spans="5:10" ht="15.75" customHeight="1" x14ac:dyDescent="0.25">
      <c r="E847" s="139"/>
      <c r="J847" s="139"/>
    </row>
    <row r="848" spans="5:10" ht="15.75" customHeight="1" x14ac:dyDescent="0.25">
      <c r="E848" s="139"/>
      <c r="J848" s="139"/>
    </row>
    <row r="849" spans="5:10" ht="15.75" customHeight="1" x14ac:dyDescent="0.25">
      <c r="E849" s="139"/>
      <c r="J849" s="139"/>
    </row>
    <row r="850" spans="5:10" ht="15.75" customHeight="1" x14ac:dyDescent="0.25">
      <c r="E850" s="139"/>
      <c r="J850" s="139"/>
    </row>
    <row r="851" spans="5:10" ht="15.75" customHeight="1" x14ac:dyDescent="0.25">
      <c r="E851" s="139"/>
      <c r="J851" s="139"/>
    </row>
    <row r="852" spans="5:10" ht="15.75" customHeight="1" x14ac:dyDescent="0.25">
      <c r="E852" s="139"/>
      <c r="J852" s="139"/>
    </row>
    <row r="853" spans="5:10" ht="15.75" customHeight="1" x14ac:dyDescent="0.25">
      <c r="E853" s="139"/>
      <c r="J853" s="139"/>
    </row>
    <row r="854" spans="5:10" ht="15.75" customHeight="1" x14ac:dyDescent="0.25">
      <c r="E854" s="139"/>
      <c r="J854" s="139"/>
    </row>
    <row r="855" spans="5:10" ht="15.75" customHeight="1" x14ac:dyDescent="0.25">
      <c r="E855" s="139"/>
      <c r="J855" s="139"/>
    </row>
    <row r="856" spans="5:10" ht="15.75" customHeight="1" x14ac:dyDescent="0.25">
      <c r="E856" s="139"/>
      <c r="J856" s="139"/>
    </row>
    <row r="857" spans="5:10" ht="15.75" customHeight="1" x14ac:dyDescent="0.25">
      <c r="E857" s="139"/>
      <c r="J857" s="139"/>
    </row>
    <row r="858" spans="5:10" ht="15.75" customHeight="1" x14ac:dyDescent="0.25">
      <c r="E858" s="139"/>
      <c r="J858" s="139"/>
    </row>
    <row r="859" spans="5:10" ht="15.75" customHeight="1" x14ac:dyDescent="0.25">
      <c r="E859" s="139"/>
      <c r="J859" s="139"/>
    </row>
    <row r="860" spans="5:10" ht="15.75" customHeight="1" x14ac:dyDescent="0.25">
      <c r="E860" s="139"/>
      <c r="J860" s="139"/>
    </row>
    <row r="861" spans="5:10" ht="15.75" customHeight="1" x14ac:dyDescent="0.25">
      <c r="E861" s="139"/>
      <c r="J861" s="139"/>
    </row>
    <row r="862" spans="5:10" ht="15.75" customHeight="1" x14ac:dyDescent="0.25">
      <c r="E862" s="139"/>
      <c r="J862" s="139"/>
    </row>
    <row r="863" spans="5:10" ht="15.75" customHeight="1" x14ac:dyDescent="0.25">
      <c r="E863" s="139"/>
      <c r="J863" s="139"/>
    </row>
    <row r="864" spans="5:10" ht="15.75" customHeight="1" x14ac:dyDescent="0.25">
      <c r="E864" s="139"/>
      <c r="J864" s="139"/>
    </row>
    <row r="865" spans="5:10" ht="15.75" customHeight="1" x14ac:dyDescent="0.25">
      <c r="E865" s="139"/>
      <c r="J865" s="139"/>
    </row>
    <row r="866" spans="5:10" ht="15.75" customHeight="1" x14ac:dyDescent="0.25">
      <c r="E866" s="139"/>
      <c r="J866" s="139"/>
    </row>
    <row r="867" spans="5:10" ht="15.75" customHeight="1" x14ac:dyDescent="0.25">
      <c r="E867" s="139"/>
      <c r="J867" s="139"/>
    </row>
    <row r="868" spans="5:10" ht="15.75" customHeight="1" x14ac:dyDescent="0.25">
      <c r="E868" s="139"/>
      <c r="J868" s="139"/>
    </row>
    <row r="869" spans="5:10" ht="15.75" customHeight="1" x14ac:dyDescent="0.25">
      <c r="E869" s="139"/>
      <c r="J869" s="139"/>
    </row>
    <row r="870" spans="5:10" ht="15.75" customHeight="1" x14ac:dyDescent="0.25">
      <c r="E870" s="139"/>
      <c r="J870" s="139"/>
    </row>
    <row r="871" spans="5:10" ht="15.75" customHeight="1" x14ac:dyDescent="0.25">
      <c r="E871" s="139"/>
      <c r="J871" s="139"/>
    </row>
    <row r="872" spans="5:10" ht="15.75" customHeight="1" x14ac:dyDescent="0.25">
      <c r="E872" s="139"/>
      <c r="J872" s="139"/>
    </row>
    <row r="873" spans="5:10" ht="15.75" customHeight="1" x14ac:dyDescent="0.25">
      <c r="E873" s="139"/>
      <c r="J873" s="139"/>
    </row>
    <row r="874" spans="5:10" ht="15.75" customHeight="1" x14ac:dyDescent="0.25">
      <c r="E874" s="139"/>
      <c r="J874" s="139"/>
    </row>
    <row r="875" spans="5:10" ht="15.75" customHeight="1" x14ac:dyDescent="0.25">
      <c r="E875" s="139"/>
      <c r="J875" s="139"/>
    </row>
    <row r="876" spans="5:10" ht="15.75" customHeight="1" x14ac:dyDescent="0.25">
      <c r="E876" s="139"/>
      <c r="J876" s="139"/>
    </row>
    <row r="877" spans="5:10" ht="15.75" customHeight="1" x14ac:dyDescent="0.25">
      <c r="E877" s="139"/>
      <c r="J877" s="139"/>
    </row>
    <row r="878" spans="5:10" ht="15.75" customHeight="1" x14ac:dyDescent="0.25">
      <c r="E878" s="139"/>
      <c r="J878" s="139"/>
    </row>
    <row r="879" spans="5:10" ht="15.75" customHeight="1" x14ac:dyDescent="0.25">
      <c r="E879" s="139"/>
      <c r="J879" s="139"/>
    </row>
    <row r="880" spans="5:10" ht="15.75" customHeight="1" x14ac:dyDescent="0.25">
      <c r="E880" s="139"/>
      <c r="J880" s="139"/>
    </row>
    <row r="881" spans="5:10" ht="15.75" customHeight="1" x14ac:dyDescent="0.25">
      <c r="E881" s="139"/>
      <c r="J881" s="139"/>
    </row>
    <row r="882" spans="5:10" ht="15.75" customHeight="1" x14ac:dyDescent="0.25">
      <c r="E882" s="139"/>
      <c r="J882" s="139"/>
    </row>
    <row r="883" spans="5:10" ht="15.75" customHeight="1" x14ac:dyDescent="0.25">
      <c r="E883" s="139"/>
      <c r="J883" s="139"/>
    </row>
    <row r="884" spans="5:10" ht="15.75" customHeight="1" x14ac:dyDescent="0.25">
      <c r="E884" s="139"/>
      <c r="J884" s="139"/>
    </row>
    <row r="885" spans="5:10" ht="15.75" customHeight="1" x14ac:dyDescent="0.25">
      <c r="E885" s="139"/>
      <c r="J885" s="139"/>
    </row>
    <row r="886" spans="5:10" ht="15.75" customHeight="1" x14ac:dyDescent="0.25">
      <c r="E886" s="139"/>
      <c r="J886" s="139"/>
    </row>
    <row r="887" spans="5:10" ht="15.75" customHeight="1" x14ac:dyDescent="0.25">
      <c r="E887" s="139"/>
      <c r="J887" s="139"/>
    </row>
    <row r="888" spans="5:10" ht="15.75" customHeight="1" x14ac:dyDescent="0.25">
      <c r="E888" s="139"/>
      <c r="J888" s="139"/>
    </row>
    <row r="889" spans="5:10" ht="15.75" customHeight="1" x14ac:dyDescent="0.25">
      <c r="E889" s="139"/>
      <c r="J889" s="139"/>
    </row>
    <row r="890" spans="5:10" ht="15.75" customHeight="1" x14ac:dyDescent="0.25">
      <c r="E890" s="139"/>
      <c r="J890" s="139"/>
    </row>
    <row r="891" spans="5:10" ht="15.75" customHeight="1" x14ac:dyDescent="0.25">
      <c r="E891" s="139"/>
      <c r="J891" s="139"/>
    </row>
    <row r="892" spans="5:10" ht="15.75" customHeight="1" x14ac:dyDescent="0.25">
      <c r="E892" s="139"/>
      <c r="J892" s="139"/>
    </row>
    <row r="893" spans="5:10" ht="15.75" customHeight="1" x14ac:dyDescent="0.25">
      <c r="E893" s="139"/>
      <c r="J893" s="139"/>
    </row>
    <row r="894" spans="5:10" ht="15.75" customHeight="1" x14ac:dyDescent="0.25">
      <c r="E894" s="139"/>
      <c r="J894" s="139"/>
    </row>
    <row r="895" spans="5:10" ht="15.75" customHeight="1" x14ac:dyDescent="0.25">
      <c r="E895" s="139"/>
      <c r="J895" s="139"/>
    </row>
    <row r="896" spans="5:10" ht="15.75" customHeight="1" x14ac:dyDescent="0.25">
      <c r="E896" s="139"/>
      <c r="J896" s="139"/>
    </row>
    <row r="897" spans="5:10" ht="15.75" customHeight="1" x14ac:dyDescent="0.25">
      <c r="E897" s="139"/>
      <c r="J897" s="139"/>
    </row>
    <row r="898" spans="5:10" ht="15.75" customHeight="1" x14ac:dyDescent="0.25">
      <c r="E898" s="139"/>
      <c r="J898" s="139"/>
    </row>
    <row r="899" spans="5:10" ht="15.75" customHeight="1" x14ac:dyDescent="0.25">
      <c r="E899" s="139"/>
      <c r="J899" s="139"/>
    </row>
    <row r="900" spans="5:10" ht="15.75" customHeight="1" x14ac:dyDescent="0.25">
      <c r="E900" s="139"/>
      <c r="J900" s="139"/>
    </row>
    <row r="901" spans="5:10" ht="15.75" customHeight="1" x14ac:dyDescent="0.25">
      <c r="E901" s="139"/>
      <c r="J901" s="139"/>
    </row>
    <row r="902" spans="5:10" ht="15.75" customHeight="1" x14ac:dyDescent="0.25">
      <c r="E902" s="139"/>
      <c r="J902" s="139"/>
    </row>
    <row r="903" spans="5:10" ht="15.75" customHeight="1" x14ac:dyDescent="0.25">
      <c r="E903" s="139"/>
      <c r="J903" s="139"/>
    </row>
    <row r="904" spans="5:10" ht="15.75" customHeight="1" x14ac:dyDescent="0.25">
      <c r="E904" s="139"/>
      <c r="J904" s="139"/>
    </row>
    <row r="905" spans="5:10" ht="15.75" customHeight="1" x14ac:dyDescent="0.25">
      <c r="E905" s="139"/>
      <c r="J905" s="139"/>
    </row>
    <row r="906" spans="5:10" ht="15.75" customHeight="1" x14ac:dyDescent="0.25">
      <c r="E906" s="139"/>
      <c r="J906" s="139"/>
    </row>
    <row r="907" spans="5:10" ht="15.75" customHeight="1" x14ac:dyDescent="0.25">
      <c r="E907" s="139"/>
      <c r="J907" s="139"/>
    </row>
    <row r="908" spans="5:10" ht="15.75" customHeight="1" x14ac:dyDescent="0.25">
      <c r="E908" s="139"/>
      <c r="J908" s="139"/>
    </row>
    <row r="909" spans="5:10" ht="15.75" customHeight="1" x14ac:dyDescent="0.25">
      <c r="E909" s="139"/>
      <c r="J909" s="139"/>
    </row>
    <row r="910" spans="5:10" ht="15.75" customHeight="1" x14ac:dyDescent="0.25">
      <c r="E910" s="139"/>
      <c r="J910" s="139"/>
    </row>
    <row r="911" spans="5:10" ht="15.75" customHeight="1" x14ac:dyDescent="0.25">
      <c r="E911" s="139"/>
      <c r="J911" s="139"/>
    </row>
    <row r="912" spans="5:10" ht="15.75" customHeight="1" x14ac:dyDescent="0.25">
      <c r="E912" s="139"/>
      <c r="J912" s="139"/>
    </row>
    <row r="913" spans="5:10" ht="15.75" customHeight="1" x14ac:dyDescent="0.25">
      <c r="E913" s="139"/>
      <c r="J913" s="139"/>
    </row>
    <row r="914" spans="5:10" ht="15.75" customHeight="1" x14ac:dyDescent="0.25">
      <c r="E914" s="139"/>
      <c r="J914" s="139"/>
    </row>
    <row r="915" spans="5:10" ht="15.75" customHeight="1" x14ac:dyDescent="0.25">
      <c r="E915" s="139"/>
      <c r="J915" s="139"/>
    </row>
    <row r="916" spans="5:10" ht="15.75" customHeight="1" x14ac:dyDescent="0.25">
      <c r="E916" s="139"/>
      <c r="J916" s="139"/>
    </row>
    <row r="917" spans="5:10" ht="15.75" customHeight="1" x14ac:dyDescent="0.25">
      <c r="E917" s="139"/>
      <c r="J917" s="139"/>
    </row>
    <row r="918" spans="5:10" ht="15.75" customHeight="1" x14ac:dyDescent="0.25">
      <c r="E918" s="139"/>
      <c r="J918" s="139"/>
    </row>
    <row r="919" spans="5:10" ht="15.75" customHeight="1" x14ac:dyDescent="0.25">
      <c r="E919" s="139"/>
      <c r="J919" s="139"/>
    </row>
    <row r="920" spans="5:10" ht="15.75" customHeight="1" x14ac:dyDescent="0.25">
      <c r="E920" s="139"/>
      <c r="J920" s="139"/>
    </row>
    <row r="921" spans="5:10" ht="15.75" customHeight="1" x14ac:dyDescent="0.25">
      <c r="E921" s="139"/>
      <c r="J921" s="139"/>
    </row>
    <row r="922" spans="5:10" ht="15.75" customHeight="1" x14ac:dyDescent="0.25">
      <c r="E922" s="139"/>
      <c r="J922" s="139"/>
    </row>
    <row r="923" spans="5:10" ht="15.75" customHeight="1" x14ac:dyDescent="0.25">
      <c r="E923" s="139"/>
      <c r="J923" s="139"/>
    </row>
    <row r="924" spans="5:10" ht="15.75" customHeight="1" x14ac:dyDescent="0.25">
      <c r="E924" s="139"/>
      <c r="J924" s="139"/>
    </row>
    <row r="925" spans="5:10" ht="15.75" customHeight="1" x14ac:dyDescent="0.25">
      <c r="E925" s="139"/>
      <c r="J925" s="139"/>
    </row>
    <row r="926" spans="5:10" ht="15.75" customHeight="1" x14ac:dyDescent="0.25">
      <c r="E926" s="139"/>
      <c r="J926" s="139"/>
    </row>
    <row r="927" spans="5:10" ht="15.75" customHeight="1" x14ac:dyDescent="0.25">
      <c r="E927" s="139"/>
      <c r="J927" s="139"/>
    </row>
    <row r="928" spans="5:10" ht="15.75" customHeight="1" x14ac:dyDescent="0.25">
      <c r="E928" s="139"/>
      <c r="J928" s="139"/>
    </row>
    <row r="929" spans="5:10" ht="15.75" customHeight="1" x14ac:dyDescent="0.25">
      <c r="E929" s="139"/>
      <c r="J929" s="139"/>
    </row>
    <row r="930" spans="5:10" ht="15.75" customHeight="1" x14ac:dyDescent="0.25">
      <c r="E930" s="139"/>
      <c r="J930" s="139"/>
    </row>
    <row r="931" spans="5:10" ht="15.75" customHeight="1" x14ac:dyDescent="0.25">
      <c r="E931" s="139"/>
      <c r="J931" s="139"/>
    </row>
    <row r="932" spans="5:10" ht="15.75" customHeight="1" x14ac:dyDescent="0.25">
      <c r="E932" s="139"/>
      <c r="J932" s="139"/>
    </row>
    <row r="933" spans="5:10" ht="15.75" customHeight="1" x14ac:dyDescent="0.25">
      <c r="E933" s="139"/>
      <c r="J933" s="139"/>
    </row>
    <row r="934" spans="5:10" ht="15.75" customHeight="1" x14ac:dyDescent="0.25">
      <c r="E934" s="139"/>
      <c r="J934" s="139"/>
    </row>
    <row r="935" spans="5:10" ht="15.75" customHeight="1" x14ac:dyDescent="0.25">
      <c r="E935" s="139"/>
      <c r="J935" s="139"/>
    </row>
    <row r="936" spans="5:10" ht="15.75" customHeight="1" x14ac:dyDescent="0.25">
      <c r="E936" s="139"/>
      <c r="J936" s="139"/>
    </row>
    <row r="937" spans="5:10" ht="15.75" customHeight="1" x14ac:dyDescent="0.25">
      <c r="E937" s="139"/>
      <c r="J937" s="139"/>
    </row>
    <row r="938" spans="5:10" ht="15.75" customHeight="1" x14ac:dyDescent="0.25">
      <c r="E938" s="139"/>
      <c r="J938" s="139"/>
    </row>
    <row r="939" spans="5:10" ht="15.75" customHeight="1" x14ac:dyDescent="0.25">
      <c r="E939" s="139"/>
      <c r="J939" s="139"/>
    </row>
    <row r="940" spans="5:10" ht="15.75" customHeight="1" x14ac:dyDescent="0.25">
      <c r="E940" s="139"/>
      <c r="J940" s="139"/>
    </row>
    <row r="941" spans="5:10" ht="15.75" customHeight="1" x14ac:dyDescent="0.25">
      <c r="E941" s="139"/>
      <c r="J941" s="139"/>
    </row>
    <row r="942" spans="5:10" ht="15.75" customHeight="1" x14ac:dyDescent="0.25">
      <c r="E942" s="139"/>
      <c r="J942" s="139"/>
    </row>
    <row r="943" spans="5:10" ht="15.75" customHeight="1" x14ac:dyDescent="0.25">
      <c r="E943" s="139"/>
      <c r="J943" s="139"/>
    </row>
    <row r="944" spans="5:10" ht="15.75" customHeight="1" x14ac:dyDescent="0.25">
      <c r="E944" s="139"/>
      <c r="J944" s="139"/>
    </row>
    <row r="945" spans="5:10" ht="15.75" customHeight="1" x14ac:dyDescent="0.25">
      <c r="E945" s="139"/>
      <c r="J945" s="139"/>
    </row>
    <row r="946" spans="5:10" ht="15.75" customHeight="1" x14ac:dyDescent="0.25">
      <c r="E946" s="139"/>
      <c r="J946" s="139"/>
    </row>
    <row r="947" spans="5:10" ht="15.75" customHeight="1" x14ac:dyDescent="0.25">
      <c r="E947" s="139"/>
      <c r="J947" s="139"/>
    </row>
    <row r="948" spans="5:10" ht="15.75" customHeight="1" x14ac:dyDescent="0.25">
      <c r="E948" s="139"/>
      <c r="J948" s="139"/>
    </row>
    <row r="949" spans="5:10" ht="15.75" customHeight="1" x14ac:dyDescent="0.25">
      <c r="E949" s="139"/>
      <c r="J949" s="139"/>
    </row>
    <row r="950" spans="5:10" ht="15.75" customHeight="1" x14ac:dyDescent="0.25">
      <c r="E950" s="139"/>
      <c r="J950" s="139"/>
    </row>
    <row r="951" spans="5:10" ht="15.75" customHeight="1" x14ac:dyDescent="0.25">
      <c r="E951" s="139"/>
      <c r="J951" s="139"/>
    </row>
    <row r="952" spans="5:10" ht="15.75" customHeight="1" x14ac:dyDescent="0.25">
      <c r="E952" s="139"/>
      <c r="J952" s="139"/>
    </row>
    <row r="953" spans="5:10" ht="15.75" customHeight="1" x14ac:dyDescent="0.25">
      <c r="E953" s="139"/>
      <c r="J953" s="139"/>
    </row>
    <row r="954" spans="5:10" ht="15.75" customHeight="1" x14ac:dyDescent="0.25">
      <c r="E954" s="139"/>
      <c r="J954" s="139"/>
    </row>
    <row r="955" spans="5:10" ht="15.75" customHeight="1" x14ac:dyDescent="0.25">
      <c r="E955" s="139"/>
      <c r="J955" s="139"/>
    </row>
    <row r="956" spans="5:10" ht="15.75" customHeight="1" x14ac:dyDescent="0.25">
      <c r="E956" s="139"/>
      <c r="J956" s="139"/>
    </row>
    <row r="957" spans="5:10" ht="15.75" customHeight="1" x14ac:dyDescent="0.25">
      <c r="E957" s="139"/>
      <c r="J957" s="139"/>
    </row>
    <row r="958" spans="5:10" ht="15.75" customHeight="1" x14ac:dyDescent="0.25">
      <c r="E958" s="139"/>
      <c r="J958" s="139"/>
    </row>
    <row r="959" spans="5:10" ht="15.75" customHeight="1" x14ac:dyDescent="0.25">
      <c r="E959" s="139"/>
      <c r="J959" s="139"/>
    </row>
    <row r="960" spans="5:10" ht="15.75" customHeight="1" x14ac:dyDescent="0.25">
      <c r="E960" s="139"/>
      <c r="J960" s="139"/>
    </row>
    <row r="961" spans="5:10" ht="15.75" customHeight="1" x14ac:dyDescent="0.25">
      <c r="E961" s="139"/>
      <c r="J961" s="139"/>
    </row>
    <row r="962" spans="5:10" ht="15.75" customHeight="1" x14ac:dyDescent="0.25">
      <c r="E962" s="139"/>
      <c r="J962" s="139"/>
    </row>
    <row r="963" spans="5:10" ht="15.75" customHeight="1" x14ac:dyDescent="0.25">
      <c r="E963" s="139"/>
      <c r="J963" s="139"/>
    </row>
    <row r="964" spans="5:10" ht="15.75" customHeight="1" x14ac:dyDescent="0.25">
      <c r="E964" s="139"/>
      <c r="J964" s="139"/>
    </row>
    <row r="965" spans="5:10" ht="15.75" customHeight="1" x14ac:dyDescent="0.25">
      <c r="E965" s="139"/>
      <c r="J965" s="139"/>
    </row>
    <row r="966" spans="5:10" ht="15.75" customHeight="1" x14ac:dyDescent="0.25">
      <c r="E966" s="139"/>
      <c r="J966" s="139"/>
    </row>
    <row r="967" spans="5:10" ht="15.75" customHeight="1" x14ac:dyDescent="0.25">
      <c r="E967" s="139"/>
      <c r="J967" s="139"/>
    </row>
    <row r="968" spans="5:10" ht="15.75" customHeight="1" x14ac:dyDescent="0.25">
      <c r="E968" s="139"/>
      <c r="J968" s="139"/>
    </row>
    <row r="969" spans="5:10" ht="15.75" customHeight="1" x14ac:dyDescent="0.25">
      <c r="E969" s="139"/>
      <c r="J969" s="139"/>
    </row>
    <row r="970" spans="5:10" ht="15.75" customHeight="1" x14ac:dyDescent="0.25">
      <c r="E970" s="139"/>
      <c r="J970" s="139"/>
    </row>
    <row r="971" spans="5:10" ht="15.75" customHeight="1" x14ac:dyDescent="0.25">
      <c r="E971" s="139"/>
      <c r="J971" s="139"/>
    </row>
    <row r="972" spans="5:10" ht="15.75" customHeight="1" x14ac:dyDescent="0.25">
      <c r="E972" s="139"/>
      <c r="J972" s="139"/>
    </row>
    <row r="973" spans="5:10" ht="15.75" customHeight="1" x14ac:dyDescent="0.25">
      <c r="E973" s="139"/>
      <c r="J973" s="139"/>
    </row>
    <row r="974" spans="5:10" ht="15.75" customHeight="1" x14ac:dyDescent="0.25">
      <c r="E974" s="139"/>
      <c r="J974" s="139"/>
    </row>
    <row r="975" spans="5:10" ht="15.75" customHeight="1" x14ac:dyDescent="0.25">
      <c r="E975" s="139"/>
      <c r="J975" s="139"/>
    </row>
    <row r="976" spans="5:10" ht="15.75" customHeight="1" x14ac:dyDescent="0.25">
      <c r="E976" s="139"/>
      <c r="J976" s="139"/>
    </row>
    <row r="977" spans="5:10" ht="15.75" customHeight="1" x14ac:dyDescent="0.25">
      <c r="E977" s="139"/>
      <c r="J977" s="139"/>
    </row>
    <row r="978" spans="5:10" ht="15.75" customHeight="1" x14ac:dyDescent="0.25">
      <c r="E978" s="139"/>
      <c r="J978" s="139"/>
    </row>
    <row r="979" spans="5:10" ht="15.75" customHeight="1" x14ac:dyDescent="0.25">
      <c r="E979" s="139"/>
      <c r="J979" s="139"/>
    </row>
    <row r="980" spans="5:10" ht="15.75" customHeight="1" x14ac:dyDescent="0.25">
      <c r="E980" s="139"/>
      <c r="J980" s="139"/>
    </row>
    <row r="981" spans="5:10" ht="15.75" customHeight="1" x14ac:dyDescent="0.25">
      <c r="E981" s="139"/>
      <c r="J981" s="139"/>
    </row>
    <row r="982" spans="5:10" ht="15.75" customHeight="1" x14ac:dyDescent="0.25">
      <c r="E982" s="139"/>
      <c r="J982" s="139"/>
    </row>
    <row r="983" spans="5:10" ht="15.75" customHeight="1" x14ac:dyDescent="0.25">
      <c r="E983" s="139"/>
      <c r="J983" s="139"/>
    </row>
    <row r="984" spans="5:10" ht="15.75" customHeight="1" x14ac:dyDescent="0.25">
      <c r="E984" s="139"/>
      <c r="J984" s="139"/>
    </row>
    <row r="985" spans="5:10" ht="15.75" customHeight="1" x14ac:dyDescent="0.25">
      <c r="E985" s="139"/>
      <c r="J985" s="139"/>
    </row>
    <row r="986" spans="5:10" ht="15.75" customHeight="1" x14ac:dyDescent="0.25">
      <c r="E986" s="139"/>
      <c r="J986" s="139"/>
    </row>
    <row r="987" spans="5:10" ht="15.75" customHeight="1" x14ac:dyDescent="0.25">
      <c r="E987" s="139"/>
      <c r="J987" s="139"/>
    </row>
    <row r="988" spans="5:10" ht="15.75" customHeight="1" x14ac:dyDescent="0.25">
      <c r="E988" s="139"/>
      <c r="J988" s="139"/>
    </row>
    <row r="989" spans="5:10" ht="15.75" customHeight="1" x14ac:dyDescent="0.25">
      <c r="E989" s="139"/>
      <c r="J989" s="139"/>
    </row>
    <row r="990" spans="5:10" ht="15.75" customHeight="1" x14ac:dyDescent="0.25">
      <c r="E990" s="139"/>
      <c r="J990" s="139"/>
    </row>
    <row r="991" spans="5:10" ht="15.75" customHeight="1" x14ac:dyDescent="0.25">
      <c r="E991" s="139"/>
      <c r="J991" s="139"/>
    </row>
    <row r="992" spans="5:10" ht="15.75" customHeight="1" x14ac:dyDescent="0.25">
      <c r="E992" s="139"/>
      <c r="J992" s="139"/>
    </row>
    <row r="993" spans="5:10" ht="15.75" customHeight="1" x14ac:dyDescent="0.25">
      <c r="E993" s="139"/>
      <c r="J993" s="139"/>
    </row>
    <row r="994" spans="5:10" ht="15.75" customHeight="1" x14ac:dyDescent="0.25">
      <c r="E994" s="139"/>
      <c r="J994" s="139"/>
    </row>
    <row r="995" spans="5:10" ht="15.75" customHeight="1" x14ac:dyDescent="0.25">
      <c r="E995" s="139"/>
      <c r="J995" s="139"/>
    </row>
    <row r="996" spans="5:10" ht="15.75" customHeight="1" x14ac:dyDescent="0.25">
      <c r="E996" s="139"/>
      <c r="J996" s="139"/>
    </row>
    <row r="997" spans="5:10" ht="15.75" customHeight="1" x14ac:dyDescent="0.25">
      <c r="E997" s="139"/>
      <c r="J997" s="139"/>
    </row>
    <row r="998" spans="5:10" ht="15.75" customHeight="1" x14ac:dyDescent="0.25">
      <c r="E998" s="139"/>
      <c r="J998" s="139"/>
    </row>
    <row r="999" spans="5:10" ht="15.75" customHeight="1" x14ac:dyDescent="0.25">
      <c r="E999" s="139"/>
      <c r="J999" s="139"/>
    </row>
    <row r="1000" spans="5:10" ht="15.75" customHeight="1" x14ac:dyDescent="0.25">
      <c r="E1000" s="139"/>
      <c r="J1000" s="139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B00-000000000000}">
          <x14:formula1>
            <xm:f>January!$B$27:$C$44</xm:f>
          </x14:formula1>
          <xm:sqref>E5:E1000</xm:sqref>
        </x14:dataValidation>
        <x14:dataValidation type="list" allowBlank="1" xr:uid="{00000000-0002-0000-0B00-000001000000}">
          <x14:formula1>
            <xm:f>January!$H$27:$I$44</xm:f>
          </x14:formula1>
          <xm:sqref>J5:J1000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1000"/>
  <sheetViews>
    <sheetView showGridLines="0" workbookViewId="0"/>
  </sheetViews>
  <sheetFormatPr defaultColWidth="12.6640625" defaultRowHeight="15" customHeight="1" x14ac:dyDescent="0.25"/>
  <cols>
    <col min="1" max="1" width="6.109375" customWidth="1"/>
    <col min="2" max="3" width="8.88671875" customWidth="1"/>
    <col min="4" max="4" width="16.77734375" customWidth="1"/>
    <col min="5" max="5" width="14.88671875" customWidth="1"/>
    <col min="6" max="6" width="11" customWidth="1"/>
    <col min="7" max="7" width="16.21875" customWidth="1"/>
    <col min="8" max="8" width="8.88671875" customWidth="1"/>
    <col min="9" max="9" width="17" customWidth="1"/>
    <col min="10" max="10" width="12.6640625" customWidth="1"/>
    <col min="11" max="11" width="12.33203125" customWidth="1"/>
    <col min="12" max="12" width="13.77734375" customWidth="1"/>
    <col min="13" max="13" width="6.109375" customWidth="1"/>
  </cols>
  <sheetData>
    <row r="1" spans="1:13" ht="12" customHeight="1" x14ac:dyDescent="0.3">
      <c r="A1" s="142"/>
      <c r="B1" s="142"/>
      <c r="C1" s="142"/>
      <c r="D1" s="142"/>
      <c r="E1" s="142"/>
      <c r="F1" s="142"/>
      <c r="G1" s="143"/>
      <c r="H1" s="142"/>
      <c r="I1" s="142"/>
      <c r="J1" s="142"/>
      <c r="K1" s="142"/>
      <c r="L1" s="142"/>
      <c r="M1" s="142"/>
    </row>
    <row r="2" spans="1:13" ht="21" customHeight="1" x14ac:dyDescent="0.25">
      <c r="A2" s="144"/>
      <c r="B2" s="269" t="s">
        <v>28</v>
      </c>
      <c r="C2" s="266"/>
      <c r="D2" s="266"/>
      <c r="E2" s="266"/>
      <c r="F2" s="266"/>
      <c r="G2" s="266"/>
      <c r="H2" s="266"/>
      <c r="I2" s="270" t="s">
        <v>1</v>
      </c>
      <c r="J2" s="266"/>
      <c r="K2" s="266"/>
      <c r="L2" s="266"/>
      <c r="M2" s="144"/>
    </row>
    <row r="3" spans="1:13" ht="16.5" customHeight="1" x14ac:dyDescent="0.25">
      <c r="A3" s="145"/>
      <c r="B3" s="271" t="s">
        <v>29</v>
      </c>
      <c r="C3" s="266"/>
      <c r="D3" s="266"/>
      <c r="E3" s="266"/>
      <c r="F3" s="266"/>
      <c r="G3" s="266"/>
      <c r="H3" s="146"/>
      <c r="I3" s="272" t="s">
        <v>30</v>
      </c>
      <c r="J3" s="266"/>
      <c r="K3" s="266"/>
      <c r="L3" s="266"/>
      <c r="M3" s="147"/>
    </row>
    <row r="4" spans="1:13" ht="10.5" customHeight="1" x14ac:dyDescent="0.25">
      <c r="A4" s="145"/>
      <c r="B4" s="266"/>
      <c r="C4" s="266"/>
      <c r="D4" s="266"/>
      <c r="E4" s="266"/>
      <c r="F4" s="266"/>
      <c r="G4" s="266"/>
      <c r="H4" s="146"/>
      <c r="I4" s="273" t="s">
        <v>31</v>
      </c>
      <c r="J4" s="266"/>
      <c r="K4" s="266"/>
      <c r="L4" s="266"/>
      <c r="M4" s="266"/>
    </row>
    <row r="5" spans="1:13" ht="15.75" customHeight="1" x14ac:dyDescent="0.25">
      <c r="A5" s="145"/>
      <c r="B5" s="271" t="s">
        <v>32</v>
      </c>
      <c r="C5" s="266"/>
      <c r="D5" s="266"/>
      <c r="E5" s="266"/>
      <c r="F5" s="266"/>
      <c r="G5" s="266"/>
      <c r="H5" s="146"/>
      <c r="I5" s="266"/>
      <c r="J5" s="266"/>
      <c r="K5" s="266"/>
      <c r="L5" s="266"/>
      <c r="M5" s="266"/>
    </row>
    <row r="6" spans="1:13" ht="23.25" customHeight="1" x14ac:dyDescent="0.3">
      <c r="A6" s="148"/>
      <c r="B6" s="266"/>
      <c r="C6" s="266"/>
      <c r="D6" s="266"/>
      <c r="E6" s="266"/>
      <c r="F6" s="266"/>
      <c r="G6" s="266"/>
      <c r="H6" s="149"/>
      <c r="I6" s="142"/>
      <c r="J6" s="142"/>
      <c r="K6" s="142"/>
      <c r="L6" s="142"/>
      <c r="M6" s="142"/>
    </row>
    <row r="7" spans="1:13" ht="30" customHeight="1" x14ac:dyDescent="0.3">
      <c r="A7" s="150"/>
      <c r="B7" s="151"/>
      <c r="C7" s="151"/>
      <c r="D7" s="151"/>
      <c r="E7" s="152"/>
      <c r="F7" s="155"/>
      <c r="G7" s="155"/>
      <c r="H7" s="155"/>
      <c r="I7" s="155"/>
      <c r="J7" s="153"/>
      <c r="K7" s="153"/>
      <c r="L7" s="153"/>
      <c r="M7" s="153"/>
    </row>
    <row r="8" spans="1:13" ht="18" customHeight="1" x14ac:dyDescent="0.3">
      <c r="A8" s="156"/>
      <c r="B8" s="275" t="s">
        <v>65</v>
      </c>
      <c r="C8" s="266"/>
      <c r="D8" s="266"/>
      <c r="E8" s="266"/>
      <c r="F8" s="153"/>
      <c r="G8" s="157"/>
      <c r="H8" s="153"/>
      <c r="I8" s="158"/>
      <c r="J8" s="274" t="s">
        <v>34</v>
      </c>
      <c r="K8" s="266"/>
      <c r="L8" s="159">
        <f>April!E17</f>
        <v>3000000</v>
      </c>
      <c r="M8" s="153"/>
    </row>
    <row r="9" spans="1:13" ht="18" customHeight="1" x14ac:dyDescent="0.25">
      <c r="A9" s="156"/>
      <c r="B9" s="266"/>
      <c r="C9" s="266"/>
      <c r="D9" s="266"/>
      <c r="E9" s="266"/>
      <c r="F9" s="153"/>
      <c r="G9" s="157"/>
      <c r="H9" s="153"/>
      <c r="I9" s="160"/>
      <c r="J9" s="153"/>
      <c r="K9" s="153"/>
      <c r="M9" s="153"/>
    </row>
    <row r="10" spans="1:13" ht="18" customHeight="1" x14ac:dyDescent="0.25">
      <c r="A10" s="153"/>
      <c r="B10" s="161"/>
      <c r="C10" s="161"/>
      <c r="D10" s="161"/>
      <c r="E10" s="161"/>
      <c r="F10" s="153"/>
      <c r="G10" s="157"/>
      <c r="H10" s="153"/>
      <c r="I10" s="160"/>
      <c r="J10" s="153"/>
      <c r="K10" s="153"/>
      <c r="L10" s="157"/>
      <c r="M10" s="153"/>
    </row>
    <row r="11" spans="1:13" ht="12" customHeight="1" x14ac:dyDescent="0.3">
      <c r="A11" s="150"/>
      <c r="B11" s="162"/>
      <c r="C11" s="162"/>
      <c r="D11" s="163"/>
      <c r="E11" s="150"/>
      <c r="F11" s="150"/>
      <c r="G11" s="158"/>
      <c r="H11" s="164"/>
      <c r="I11" s="165"/>
      <c r="J11" s="165"/>
      <c r="K11" s="165"/>
      <c r="L11" s="166"/>
      <c r="M11" s="150"/>
    </row>
    <row r="12" spans="1:13" ht="18" customHeight="1" x14ac:dyDescent="0.3">
      <c r="A12" s="158"/>
      <c r="B12" s="150"/>
      <c r="C12" s="158"/>
      <c r="D12" s="276" t="str">
        <f ca="1">IFERROR(__xludf.DUMMYFUNCTION("SPARKLINE(D17,{""charttype"",""column"";""ymin"", 0; ""ymax"",MAX(D17:E17);""firstcolor"",""#334960""})"),"")</f>
        <v/>
      </c>
      <c r="E12" s="278" t="str">
        <f ca="1">IFERROR(__xludf.DUMMYFUNCTION("SPARKLINE(E17,{""charttype"",""column"";""ymin"", 0; ""ymax"",max(D17:E17);""firstcolor"",""#f46524""})"),"")</f>
        <v/>
      </c>
      <c r="F12" s="150"/>
      <c r="G12" s="150"/>
      <c r="H12" s="167"/>
      <c r="I12" s="168"/>
      <c r="J12" s="168"/>
      <c r="K12" s="168"/>
      <c r="L12" s="169"/>
      <c r="M12" s="158"/>
    </row>
    <row r="13" spans="1:13" ht="18" customHeight="1" x14ac:dyDescent="0.6">
      <c r="A13" s="158"/>
      <c r="B13" s="150"/>
      <c r="C13" s="150"/>
      <c r="D13" s="277"/>
      <c r="E13" s="266"/>
      <c r="F13" s="150"/>
      <c r="G13" s="150"/>
      <c r="H13" s="167"/>
      <c r="I13" s="279">
        <f>IFERROR(E17/D17-1, "")</f>
        <v>0</v>
      </c>
      <c r="J13" s="266"/>
      <c r="K13" s="266"/>
      <c r="L13" s="169"/>
      <c r="M13" s="170"/>
    </row>
    <row r="14" spans="1:13" ht="24" customHeight="1" x14ac:dyDescent="0.6">
      <c r="A14" s="150"/>
      <c r="B14" s="150"/>
      <c r="C14" s="150"/>
      <c r="D14" s="277"/>
      <c r="E14" s="266"/>
      <c r="F14" s="150"/>
      <c r="G14" s="150"/>
      <c r="H14" s="167"/>
      <c r="I14" s="280" t="str">
        <f>IF(I13 &lt; 0, "Decrease in total savings", "Increase in total savings")</f>
        <v>Increase in total savings</v>
      </c>
      <c r="J14" s="281"/>
      <c r="K14" s="281"/>
      <c r="L14" s="169"/>
      <c r="M14" s="170"/>
    </row>
    <row r="15" spans="1:13" ht="39.75" customHeight="1" x14ac:dyDescent="0.6">
      <c r="A15" s="150"/>
      <c r="B15" s="150"/>
      <c r="C15" s="150"/>
      <c r="D15" s="277"/>
      <c r="E15" s="266"/>
      <c r="F15" s="150"/>
      <c r="G15" s="150"/>
      <c r="H15" s="167"/>
      <c r="I15" s="279">
        <f>IFERROR(E17-D17, 0)</f>
        <v>0</v>
      </c>
      <c r="J15" s="266"/>
      <c r="K15" s="266"/>
      <c r="L15" s="169"/>
      <c r="M15" s="170"/>
    </row>
    <row r="16" spans="1:13" ht="18" customHeight="1" x14ac:dyDescent="0.35">
      <c r="A16" s="150"/>
      <c r="B16" s="162"/>
      <c r="C16" s="171"/>
      <c r="D16" s="172" t="s">
        <v>35</v>
      </c>
      <c r="E16" s="173" t="s">
        <v>36</v>
      </c>
      <c r="F16" s="171"/>
      <c r="G16" s="162"/>
      <c r="H16" s="167"/>
      <c r="I16" s="282" t="str">
        <f>IF(J15&lt;0, "Spent this month", "Saved this month")</f>
        <v>Saved this month</v>
      </c>
      <c r="J16" s="266"/>
      <c r="K16" s="266"/>
      <c r="L16" s="169"/>
      <c r="M16" s="174"/>
    </row>
    <row r="17" spans="1:13" ht="18" customHeight="1" x14ac:dyDescent="0.3">
      <c r="A17" s="158"/>
      <c r="B17" s="150"/>
      <c r="C17" s="158"/>
      <c r="D17" s="175">
        <f>IF(ISBLANK(L8),0,L8)</f>
        <v>3000000</v>
      </c>
      <c r="E17" s="176">
        <f>D17+(I22-C22)</f>
        <v>3000000</v>
      </c>
      <c r="F17" s="158"/>
      <c r="G17" s="150"/>
      <c r="H17" s="167"/>
      <c r="I17" s="283"/>
      <c r="J17" s="266"/>
      <c r="K17" s="266"/>
      <c r="L17" s="169"/>
      <c r="M17" s="158"/>
    </row>
    <row r="18" spans="1:13" ht="12" customHeight="1" x14ac:dyDescent="0.3">
      <c r="A18" s="158"/>
      <c r="B18" s="177"/>
      <c r="C18" s="177"/>
      <c r="D18" s="177"/>
      <c r="E18" s="157">
        <f>SUM(I7:I10)+SUM(G7:G10)</f>
        <v>0</v>
      </c>
      <c r="F18" s="177"/>
      <c r="G18" s="158"/>
      <c r="H18" s="178"/>
      <c r="I18" s="179"/>
      <c r="J18" s="180"/>
      <c r="K18" s="179"/>
      <c r="L18" s="181"/>
      <c r="M18" s="158"/>
    </row>
    <row r="19" spans="1:13" ht="24" customHeight="1" x14ac:dyDescent="0.3">
      <c r="A19" s="158"/>
      <c r="B19" s="177"/>
      <c r="C19" s="177"/>
      <c r="D19" s="177"/>
      <c r="E19" s="177"/>
      <c r="F19" s="177"/>
      <c r="G19" s="158"/>
      <c r="H19" s="158"/>
      <c r="I19" s="158"/>
      <c r="J19" s="151"/>
      <c r="K19" s="158"/>
      <c r="L19" s="158"/>
      <c r="M19" s="158"/>
    </row>
    <row r="20" spans="1:13" ht="24" customHeight="1" x14ac:dyDescent="0.25">
      <c r="A20" s="182"/>
      <c r="B20" s="284" t="s">
        <v>10</v>
      </c>
      <c r="C20" s="266"/>
      <c r="D20" s="266"/>
      <c r="E20" s="266"/>
      <c r="F20" s="266"/>
      <c r="G20" s="182"/>
      <c r="H20" s="183" t="s">
        <v>9</v>
      </c>
      <c r="I20" s="183"/>
      <c r="J20" s="184"/>
      <c r="K20" s="182"/>
      <c r="L20" s="182"/>
      <c r="M20" s="182"/>
    </row>
    <row r="21" spans="1:13" ht="19.5" customHeight="1" x14ac:dyDescent="0.25">
      <c r="A21" s="185"/>
      <c r="B21" s="186" t="s">
        <v>37</v>
      </c>
      <c r="C21" s="187">
        <f>D26</f>
        <v>22450000</v>
      </c>
      <c r="D21" s="285" t="str">
        <f ca="1">IFERROR(__xludf.DUMMYFUNCTION("SPARKLINE(C21,{""charttype"",""bar"";""max"",max(C21:C22);""color1"",""#AEB7C0""})"),"")</f>
        <v/>
      </c>
      <c r="E21" s="266"/>
      <c r="F21" s="266"/>
      <c r="G21" s="185"/>
      <c r="H21" s="186" t="s">
        <v>37</v>
      </c>
      <c r="I21" s="187">
        <f>J26</f>
        <v>0</v>
      </c>
      <c r="J21" s="285" t="str">
        <f ca="1">IFERROR(__xludf.DUMMYFUNCTION("SPARKLINE(I21,{""charttype"",""bar"";""max"",max(I21:I22);""color1"",""#AEB7C0""})"),"")</f>
        <v/>
      </c>
      <c r="K21" s="266"/>
      <c r="L21" s="266"/>
      <c r="M21" s="185"/>
    </row>
    <row r="22" spans="1:13" ht="19.5" customHeight="1" x14ac:dyDescent="0.25">
      <c r="A22" s="188"/>
      <c r="B22" s="189" t="s">
        <v>38</v>
      </c>
      <c r="C22" s="190">
        <f>E26</f>
        <v>0</v>
      </c>
      <c r="D22" s="286" t="str">
        <f ca="1">IFERROR(__xludf.DUMMYFUNCTION("SPARKLINE(C22,{""charttype"",""bar"";""max"",max(C21:C22);""color1"",""#334960""})"),"")</f>
        <v/>
      </c>
      <c r="E22" s="266"/>
      <c r="F22" s="266"/>
      <c r="G22" s="177"/>
      <c r="H22" s="189" t="s">
        <v>38</v>
      </c>
      <c r="I22" s="190">
        <f>K26</f>
        <v>0</v>
      </c>
      <c r="J22" s="286" t="str">
        <f ca="1">IFERROR(__xludf.DUMMYFUNCTION("SPARKLINE(I22,{""charttype"",""bar"";""max"",max(I21:I22);""color1"",""#334960""})"),"")</f>
        <v/>
      </c>
      <c r="K22" s="266"/>
      <c r="L22" s="266"/>
      <c r="M22" s="188"/>
    </row>
    <row r="23" spans="1:13" ht="30" customHeight="1" x14ac:dyDescent="0.3">
      <c r="A23" s="150"/>
      <c r="B23" s="191"/>
      <c r="C23" s="192"/>
      <c r="D23" s="287"/>
      <c r="E23" s="266"/>
      <c r="F23" s="266"/>
      <c r="G23" s="150"/>
      <c r="H23" s="191"/>
      <c r="I23" s="192"/>
      <c r="J23" s="287"/>
      <c r="K23" s="266"/>
      <c r="L23" s="266"/>
      <c r="M23" s="188"/>
    </row>
    <row r="24" spans="1:13" ht="29.25" customHeight="1" x14ac:dyDescent="0.25">
      <c r="A24" s="193"/>
      <c r="B24" s="288" t="s">
        <v>10</v>
      </c>
      <c r="C24" s="266"/>
      <c r="D24" s="194"/>
      <c r="E24" s="194"/>
      <c r="F24" s="194"/>
      <c r="G24" s="195"/>
      <c r="H24" s="196" t="s">
        <v>9</v>
      </c>
      <c r="I24" s="197"/>
      <c r="J24" s="194"/>
      <c r="K24" s="194"/>
      <c r="L24" s="194"/>
      <c r="M24" s="193"/>
    </row>
    <row r="25" spans="1:13" ht="19.5" customHeight="1" x14ac:dyDescent="0.45">
      <c r="A25" s="198"/>
      <c r="B25" s="199"/>
      <c r="C25" s="200"/>
      <c r="D25" s="199" t="s">
        <v>37</v>
      </c>
      <c r="E25" s="199" t="s">
        <v>38</v>
      </c>
      <c r="F25" s="199" t="s">
        <v>39</v>
      </c>
      <c r="G25" s="201"/>
      <c r="H25" s="202"/>
      <c r="I25" s="203"/>
      <c r="J25" s="199" t="s">
        <v>37</v>
      </c>
      <c r="K25" s="199" t="s">
        <v>38</v>
      </c>
      <c r="L25" s="199" t="s">
        <v>39</v>
      </c>
      <c r="M25" s="198"/>
    </row>
    <row r="26" spans="1:13" ht="17.25" customHeight="1" x14ac:dyDescent="0.25">
      <c r="A26" s="204"/>
      <c r="B26" s="205" t="s">
        <v>40</v>
      </c>
      <c r="C26" s="205"/>
      <c r="D26" s="206">
        <f t="shared" ref="D26:F26" si="0">SUM(D27:D1044)</f>
        <v>22450000</v>
      </c>
      <c r="E26" s="206">
        <f t="shared" si="0"/>
        <v>0</v>
      </c>
      <c r="F26" s="206">
        <f t="shared" si="0"/>
        <v>22450000</v>
      </c>
      <c r="G26" s="207"/>
      <c r="H26" s="208" t="s">
        <v>40</v>
      </c>
      <c r="I26" s="206"/>
      <c r="J26" s="206">
        <f t="shared" ref="J26:L26" si="1">SUM(J27:J44)</f>
        <v>0</v>
      </c>
      <c r="K26" s="206">
        <f t="shared" si="1"/>
        <v>0</v>
      </c>
      <c r="L26" s="206">
        <f t="shared" si="1"/>
        <v>0</v>
      </c>
      <c r="M26" s="204"/>
    </row>
    <row r="27" spans="1:13" ht="18" hidden="1" customHeight="1" x14ac:dyDescent="0.25">
      <c r="A27" s="209"/>
      <c r="B27" s="289"/>
      <c r="C27" s="290"/>
      <c r="D27" s="210"/>
      <c r="E27" s="211" t="str">
        <f>IF(ISBLANK($B27), "", SUMIF('Trans Mei'!$E:$E,$B27,'Trans Mei'!$C:$C))</f>
        <v/>
      </c>
      <c r="F27" s="211" t="str">
        <f t="shared" ref="F27:F43" si="2">IF(ISBLANK($B27), "", D27-E27)</f>
        <v/>
      </c>
      <c r="G27" s="190"/>
      <c r="H27" s="291"/>
      <c r="I27" s="292"/>
      <c r="J27" s="212"/>
      <c r="K27" s="211" t="str">
        <f>IF(ISBLANK($H27), "", SUMIF('Trans Mei'!$J:$J,$H27,'Trans Mei'!$H:$H))</f>
        <v/>
      </c>
      <c r="L27" s="211" t="str">
        <f t="shared" ref="L27:L44" si="3">IF(ISBLANK($H27), "", K27-J27)</f>
        <v/>
      </c>
      <c r="M27" s="209"/>
    </row>
    <row r="28" spans="1:13" ht="18" customHeight="1" x14ac:dyDescent="0.25">
      <c r="A28" s="209"/>
      <c r="B28" s="267" t="s">
        <v>15</v>
      </c>
      <c r="C28" s="268"/>
      <c r="D28" s="213">
        <v>7000000</v>
      </c>
      <c r="E28" s="214">
        <f>IF(ISBLANK($B28), "", SUMIF('Trans Mei'!$E:$E,$B28,'Trans Mei'!$C:$C))</f>
        <v>0</v>
      </c>
      <c r="F28" s="214">
        <f t="shared" si="2"/>
        <v>7000000</v>
      </c>
      <c r="G28" s="215"/>
      <c r="H28" s="267" t="s">
        <v>41</v>
      </c>
      <c r="I28" s="268"/>
      <c r="J28" s="213"/>
      <c r="K28" s="211">
        <f>IF(ISBLANK($H28), "", SUMIF('Trans Mei'!$J:$J,$H28,'Trans Mei'!$H:$H))</f>
        <v>0</v>
      </c>
      <c r="L28" s="214">
        <f t="shared" si="3"/>
        <v>0</v>
      </c>
      <c r="M28" s="209"/>
    </row>
    <row r="29" spans="1:13" ht="18" customHeight="1" x14ac:dyDescent="0.25">
      <c r="A29" s="209"/>
      <c r="B29" s="267" t="s">
        <v>23</v>
      </c>
      <c r="C29" s="268"/>
      <c r="D29" s="213">
        <v>500000</v>
      </c>
      <c r="E29" s="214">
        <f>IF(ISBLANK($B29), "", SUMIF('Trans Mei'!$E:$E,$B29,'Trans Mei'!$C:$C))</f>
        <v>0</v>
      </c>
      <c r="F29" s="214">
        <f t="shared" si="2"/>
        <v>500000</v>
      </c>
      <c r="G29" s="217"/>
      <c r="H29" s="267" t="s">
        <v>42</v>
      </c>
      <c r="I29" s="268"/>
      <c r="J29" s="213"/>
      <c r="K29" s="211">
        <f>IF(ISBLANK($H29), "", SUMIF('Trans Mei'!$J:$J,$H29,'Trans Mei'!$H:$H))</f>
        <v>0</v>
      </c>
      <c r="L29" s="214">
        <f t="shared" si="3"/>
        <v>0</v>
      </c>
      <c r="M29" s="209"/>
    </row>
    <row r="30" spans="1:13" ht="18" customHeight="1" x14ac:dyDescent="0.25">
      <c r="A30" s="188"/>
      <c r="B30" s="267" t="s">
        <v>24</v>
      </c>
      <c r="C30" s="268"/>
      <c r="D30" s="213">
        <v>600000</v>
      </c>
      <c r="E30" s="214">
        <f>IF(ISBLANK($B30), "", SUMIF('Trans Mei'!$E:$E,$B30,'Trans Mei'!$C:$C))</f>
        <v>0</v>
      </c>
      <c r="F30" s="214">
        <f t="shared" si="2"/>
        <v>600000</v>
      </c>
      <c r="G30" s="217"/>
      <c r="H30" s="267" t="s">
        <v>43</v>
      </c>
      <c r="I30" s="268"/>
      <c r="J30" s="213"/>
      <c r="K30" s="211">
        <f>IF(ISBLANK($H30), "", SUMIF('Trans Mei'!$J:$J,$H30,'Trans Mei'!$H:$H))</f>
        <v>0</v>
      </c>
      <c r="L30" s="214">
        <f t="shared" si="3"/>
        <v>0</v>
      </c>
      <c r="M30" s="188"/>
    </row>
    <row r="31" spans="1:13" ht="18" customHeight="1" x14ac:dyDescent="0.25">
      <c r="A31" s="188"/>
      <c r="B31" s="267" t="s">
        <v>44</v>
      </c>
      <c r="C31" s="268"/>
      <c r="D31" s="213">
        <v>5000000</v>
      </c>
      <c r="E31" s="214">
        <f>IF(ISBLANK($B31), "", SUMIF('Trans Mei'!$E:$E,$B31,'Trans Mei'!$C:$C))</f>
        <v>0</v>
      </c>
      <c r="F31" s="214">
        <f t="shared" si="2"/>
        <v>5000000</v>
      </c>
      <c r="G31" s="217"/>
      <c r="H31" s="267" t="s">
        <v>45</v>
      </c>
      <c r="I31" s="268"/>
      <c r="J31" s="213"/>
      <c r="K31" s="211">
        <f>IF(ISBLANK($H31), "", SUMIF('Trans Mei'!$J:$J,$H31,'Trans Mei'!$H:$H))</f>
        <v>0</v>
      </c>
      <c r="L31" s="214">
        <f t="shared" si="3"/>
        <v>0</v>
      </c>
      <c r="M31" s="188"/>
    </row>
    <row r="32" spans="1:13" ht="18" customHeight="1" x14ac:dyDescent="0.25">
      <c r="A32" s="188"/>
      <c r="B32" s="267" t="s">
        <v>46</v>
      </c>
      <c r="C32" s="268"/>
      <c r="D32" s="213">
        <v>4000000</v>
      </c>
      <c r="E32" s="214">
        <f>IF(ISBLANK($B32), "", SUMIF('Trans Mei'!$E:$E,$B32,'Trans Mei'!$C:$C))</f>
        <v>0</v>
      </c>
      <c r="F32" s="214">
        <f t="shared" si="2"/>
        <v>4000000</v>
      </c>
      <c r="G32" s="216"/>
      <c r="H32" s="267" t="s">
        <v>47</v>
      </c>
      <c r="I32" s="268"/>
      <c r="J32" s="213"/>
      <c r="K32" s="211">
        <f>IF(ISBLANK($H32), "", SUMIF('Trans Mei'!$J:$J,$H32,'Trans Mei'!$H:$H))</f>
        <v>0</v>
      </c>
      <c r="L32" s="214">
        <f t="shared" si="3"/>
        <v>0</v>
      </c>
      <c r="M32" s="188"/>
    </row>
    <row r="33" spans="1:13" ht="18" customHeight="1" x14ac:dyDescent="0.25">
      <c r="A33" s="188"/>
      <c r="B33" s="267" t="s">
        <v>48</v>
      </c>
      <c r="C33" s="268"/>
      <c r="D33" s="213">
        <v>1500000</v>
      </c>
      <c r="E33" s="214">
        <f>IF(ISBLANK($B33), "", SUMIF('Trans Mei'!$E:$E,$B33,'Trans Mei'!$C:$C))</f>
        <v>0</v>
      </c>
      <c r="F33" s="214">
        <f t="shared" si="2"/>
        <v>1500000</v>
      </c>
      <c r="G33" s="217"/>
      <c r="H33" s="267" t="s">
        <v>49</v>
      </c>
      <c r="I33" s="268"/>
      <c r="J33" s="218"/>
      <c r="K33" s="211">
        <f>IF(ISBLANK($H33), "", SUMIF('Trans Mei'!$J:$J,$H33,'Trans Mei'!$H:$H))</f>
        <v>0</v>
      </c>
      <c r="L33" s="214">
        <f t="shared" si="3"/>
        <v>0</v>
      </c>
      <c r="M33" s="188"/>
    </row>
    <row r="34" spans="1:13" ht="18" customHeight="1" x14ac:dyDescent="0.25">
      <c r="A34" s="188"/>
      <c r="B34" s="267" t="s">
        <v>50</v>
      </c>
      <c r="C34" s="268"/>
      <c r="D34" s="213">
        <v>500000</v>
      </c>
      <c r="E34" s="214">
        <f>IF(ISBLANK($B34), "", SUMIF('Trans Mei'!$E:$E,$B34,'Trans Mei'!$C:$C))</f>
        <v>0</v>
      </c>
      <c r="F34" s="214">
        <f t="shared" si="2"/>
        <v>500000</v>
      </c>
      <c r="G34" s="217"/>
      <c r="H34" s="267" t="s">
        <v>51</v>
      </c>
      <c r="I34" s="268"/>
      <c r="J34" s="218"/>
      <c r="K34" s="211">
        <f>IF(ISBLANK($H34), "", SUMIF('Trans Mei'!$J:$J,$H34,'Trans Mei'!$H:$H))</f>
        <v>0</v>
      </c>
      <c r="L34" s="214">
        <f t="shared" si="3"/>
        <v>0</v>
      </c>
      <c r="M34" s="188"/>
    </row>
    <row r="35" spans="1:13" ht="18" customHeight="1" x14ac:dyDescent="0.3">
      <c r="A35" s="188"/>
      <c r="B35" s="267" t="s">
        <v>52</v>
      </c>
      <c r="C35" s="268"/>
      <c r="D35" s="213">
        <v>500000</v>
      </c>
      <c r="E35" s="214">
        <f>IF(ISBLANK($B35), "", SUMIF('Trans Mei'!$E:$E,$B35,'Trans Mei'!$C:$C))</f>
        <v>0</v>
      </c>
      <c r="F35" s="214">
        <f t="shared" si="2"/>
        <v>500000</v>
      </c>
      <c r="G35" s="217"/>
      <c r="H35" s="293"/>
      <c r="I35" s="268"/>
      <c r="J35" s="219"/>
      <c r="K35" s="211" t="str">
        <f>IF(ISBLANK($H35), "", SUMIF('Trans Mei'!$J:$J,$H35,'Trans Mei'!$H:$H))</f>
        <v/>
      </c>
      <c r="L35" s="214" t="str">
        <f t="shared" si="3"/>
        <v/>
      </c>
      <c r="M35" s="188"/>
    </row>
    <row r="36" spans="1:13" ht="18" customHeight="1" x14ac:dyDescent="0.3">
      <c r="A36" s="188"/>
      <c r="B36" s="267" t="s">
        <v>53</v>
      </c>
      <c r="C36" s="268"/>
      <c r="D36" s="213">
        <v>500000</v>
      </c>
      <c r="E36" s="214">
        <f>IF(ISBLANK($B36), "", SUMIF('Trans Mei'!$E:$E,$B36,'Trans Mei'!$C:$C))</f>
        <v>0</v>
      </c>
      <c r="F36" s="214">
        <f t="shared" si="2"/>
        <v>500000</v>
      </c>
      <c r="G36" s="216"/>
      <c r="H36" s="293"/>
      <c r="I36" s="268"/>
      <c r="J36" s="219"/>
      <c r="K36" s="211" t="str">
        <f>IF(ISBLANK($H36), "", SUMIF('Trans Mei'!$J:$J,$H36,'Trans Mei'!$H:$H))</f>
        <v/>
      </c>
      <c r="L36" s="214" t="str">
        <f t="shared" si="3"/>
        <v/>
      </c>
      <c r="M36" s="188"/>
    </row>
    <row r="37" spans="1:13" ht="18" customHeight="1" x14ac:dyDescent="0.3">
      <c r="A37" s="188"/>
      <c r="B37" s="267" t="s">
        <v>54</v>
      </c>
      <c r="C37" s="268"/>
      <c r="D37" s="213">
        <v>500000</v>
      </c>
      <c r="E37" s="214">
        <f>IF(ISBLANK($B37), "", SUMIF('Trans Mei'!$E:$E,$B37,'Trans Mei'!$C:$C))</f>
        <v>0</v>
      </c>
      <c r="F37" s="214">
        <f t="shared" si="2"/>
        <v>500000</v>
      </c>
      <c r="G37" s="216"/>
      <c r="H37" s="293"/>
      <c r="I37" s="268"/>
      <c r="J37" s="219"/>
      <c r="K37" s="211" t="str">
        <f>IF(ISBLANK($H37), "", SUMIF('Trans Mei'!$J:$J,$H37,'Trans Mei'!$H:$H))</f>
        <v/>
      </c>
      <c r="L37" s="214" t="str">
        <f t="shared" si="3"/>
        <v/>
      </c>
      <c r="M37" s="188"/>
    </row>
    <row r="38" spans="1:13" ht="18" customHeight="1" x14ac:dyDescent="0.3">
      <c r="A38" s="188"/>
      <c r="B38" s="267" t="s">
        <v>55</v>
      </c>
      <c r="C38" s="268"/>
      <c r="D38" s="213">
        <v>200000</v>
      </c>
      <c r="E38" s="214">
        <f>IF(ISBLANK($B38), "", SUMIF('Trans Mei'!$E:$E,$B38,'Trans Mei'!$C:$C))</f>
        <v>0</v>
      </c>
      <c r="F38" s="214">
        <f t="shared" si="2"/>
        <v>200000</v>
      </c>
      <c r="G38" s="217"/>
      <c r="H38" s="293"/>
      <c r="I38" s="268"/>
      <c r="J38" s="219"/>
      <c r="K38" s="211" t="str">
        <f>IF(ISBLANK($H38), "", SUMIF('Trans Mei'!$J:$J,$H38,'Trans Mei'!$H:$H))</f>
        <v/>
      </c>
      <c r="L38" s="214" t="str">
        <f t="shared" si="3"/>
        <v/>
      </c>
      <c r="M38" s="188"/>
    </row>
    <row r="39" spans="1:13" ht="18" customHeight="1" x14ac:dyDescent="0.3">
      <c r="A39" s="188"/>
      <c r="B39" s="267" t="s">
        <v>56</v>
      </c>
      <c r="C39" s="268"/>
      <c r="D39" s="213">
        <v>150000</v>
      </c>
      <c r="E39" s="214">
        <f>IF(ISBLANK($B39), "", SUMIF('Trans Mei'!$E:$E,$B39,'Trans Mei'!$C:$C))</f>
        <v>0</v>
      </c>
      <c r="F39" s="214">
        <f t="shared" si="2"/>
        <v>150000</v>
      </c>
      <c r="G39" s="216"/>
      <c r="H39" s="293"/>
      <c r="I39" s="268"/>
      <c r="J39" s="219"/>
      <c r="K39" s="211" t="str">
        <f>IF(ISBLANK($H39), "", SUMIF('Trans Mei'!$J:$J,$H39,'Trans Mei'!$H:$H))</f>
        <v/>
      </c>
      <c r="L39" s="214" t="str">
        <f t="shared" si="3"/>
        <v/>
      </c>
      <c r="M39" s="188"/>
    </row>
    <row r="40" spans="1:13" ht="18" customHeight="1" x14ac:dyDescent="0.3">
      <c r="A40" s="188"/>
      <c r="B40" s="267" t="s">
        <v>57</v>
      </c>
      <c r="C40" s="268"/>
      <c r="D40" s="213">
        <v>1500000</v>
      </c>
      <c r="E40" s="214">
        <f>IF(ISBLANK($B40), "", SUMIF('Trans Mei'!$E:$E,$B40,'Trans Mei'!$C:$C))</f>
        <v>0</v>
      </c>
      <c r="F40" s="214">
        <f t="shared" si="2"/>
        <v>1500000</v>
      </c>
      <c r="G40" s="249"/>
      <c r="H40" s="293"/>
      <c r="I40" s="268"/>
      <c r="J40" s="219"/>
      <c r="K40" s="211" t="str">
        <f>IF(ISBLANK($H40), "", SUMIF('Trans Mei'!$J:$J,$H40,'Trans Mei'!$H:$H))</f>
        <v/>
      </c>
      <c r="L40" s="214" t="str">
        <f t="shared" si="3"/>
        <v/>
      </c>
      <c r="M40" s="188"/>
    </row>
    <row r="41" spans="1:13" ht="18" customHeight="1" x14ac:dyDescent="0.3">
      <c r="A41" s="188"/>
      <c r="B41" s="267" t="s">
        <v>58</v>
      </c>
      <c r="C41" s="268"/>
      <c r="D41" s="220">
        <v>0</v>
      </c>
      <c r="E41" s="214">
        <f>IF(ISBLANK($B41), "", SUMIF('Trans Mei'!$E:$E,$B41,'Trans Mei'!$C:$C))</f>
        <v>0</v>
      </c>
      <c r="F41" s="214">
        <f t="shared" si="2"/>
        <v>0</v>
      </c>
      <c r="G41" s="217"/>
      <c r="H41" s="293"/>
      <c r="I41" s="268"/>
      <c r="J41" s="219"/>
      <c r="K41" s="211" t="str">
        <f>IF(ISBLANK($H41), "", SUMIF('Trans Mei'!$J:$J,$H41,'Trans Mei'!$H:$H))</f>
        <v/>
      </c>
      <c r="L41" s="214" t="str">
        <f t="shared" si="3"/>
        <v/>
      </c>
      <c r="M41" s="188"/>
    </row>
    <row r="42" spans="1:13" ht="19.5" customHeight="1" x14ac:dyDescent="0.3">
      <c r="A42" s="188"/>
      <c r="B42" s="267" t="s">
        <v>59</v>
      </c>
      <c r="C42" s="268"/>
      <c r="D42" s="213">
        <v>0</v>
      </c>
      <c r="E42" s="214">
        <f>IF(ISBLANK($B42), "", SUMIF('Trans Mei'!$E:$E,$B42,'Trans Mei'!$C:$C))</f>
        <v>0</v>
      </c>
      <c r="F42" s="214">
        <f t="shared" si="2"/>
        <v>0</v>
      </c>
      <c r="G42" s="216"/>
      <c r="H42" s="293"/>
      <c r="I42" s="268"/>
      <c r="J42" s="219"/>
      <c r="K42" s="211" t="str">
        <f>IF(ISBLANK($H42), "", SUMIF('Trans Mei'!$J:$J,$H42,'Trans Mei'!$H:$H))</f>
        <v/>
      </c>
      <c r="L42" s="214" t="str">
        <f t="shared" si="3"/>
        <v/>
      </c>
      <c r="M42" s="188"/>
    </row>
    <row r="43" spans="1:13" ht="18" customHeight="1" x14ac:dyDescent="0.3">
      <c r="A43" s="188"/>
      <c r="B43" s="267"/>
      <c r="C43" s="268"/>
      <c r="D43" s="220"/>
      <c r="E43" s="211"/>
      <c r="F43" s="214" t="str">
        <f t="shared" si="2"/>
        <v/>
      </c>
      <c r="G43" s="216"/>
      <c r="H43" s="267"/>
      <c r="I43" s="268"/>
      <c r="J43" s="218"/>
      <c r="K43" s="211" t="str">
        <f>IF(ISBLANK($H43), "", SUMIF('Trans Mei'!$J:$J,$H43,'Trans Mei'!$H:$H))</f>
        <v/>
      </c>
      <c r="L43" s="214" t="str">
        <f t="shared" si="3"/>
        <v/>
      </c>
      <c r="M43" s="188"/>
    </row>
    <row r="44" spans="1:13" ht="18" customHeight="1" x14ac:dyDescent="0.25">
      <c r="A44" s="188"/>
      <c r="B44" s="267"/>
      <c r="C44" s="268"/>
      <c r="D44" s="218"/>
      <c r="E44" s="211" t="str">
        <f>IF(ISBLANK($B44), "", SUMIF('Trans Mei'!$E:$E,$B44,'Trans Mei'!$C:$C))</f>
        <v/>
      </c>
      <c r="F44" s="214"/>
      <c r="G44" s="216"/>
      <c r="H44" s="267"/>
      <c r="I44" s="268"/>
      <c r="J44" s="218"/>
      <c r="K44" s="211" t="str">
        <f>IF(ISBLANK($H44), "", SUMIF('Trans Mei'!$J:$J,$H44,'Trans Mei'!$H:$H))</f>
        <v/>
      </c>
      <c r="L44" s="214" t="str">
        <f t="shared" si="3"/>
        <v/>
      </c>
      <c r="M44" s="188"/>
    </row>
    <row r="45" spans="1:13" ht="18" customHeight="1" x14ac:dyDescent="0.25">
      <c r="A45" s="188"/>
      <c r="B45" s="221"/>
      <c r="C45" s="221"/>
      <c r="D45" s="222"/>
      <c r="E45" s="211"/>
      <c r="F45" s="214"/>
      <c r="G45" s="216"/>
      <c r="H45" s="221"/>
      <c r="I45" s="221"/>
      <c r="J45" s="222"/>
      <c r="K45" s="211"/>
      <c r="L45" s="214"/>
      <c r="M45" s="188"/>
    </row>
    <row r="46" spans="1:13" ht="18" customHeight="1" x14ac:dyDescent="0.25">
      <c r="A46" s="188"/>
      <c r="B46" s="221"/>
      <c r="C46" s="221"/>
      <c r="D46" s="222"/>
      <c r="E46" s="211"/>
      <c r="F46" s="214"/>
      <c r="G46" s="216"/>
      <c r="H46" s="221"/>
      <c r="I46" s="221"/>
      <c r="J46" s="222"/>
      <c r="K46" s="211"/>
      <c r="L46" s="214"/>
      <c r="M46" s="188"/>
    </row>
    <row r="47" spans="1:13" ht="18" customHeight="1" x14ac:dyDescent="0.25">
      <c r="A47" s="188"/>
      <c r="B47" s="221"/>
      <c r="C47" s="221"/>
      <c r="D47" s="222"/>
      <c r="E47" s="211"/>
      <c r="F47" s="214"/>
      <c r="G47" s="216"/>
      <c r="H47" s="221"/>
      <c r="I47" s="221"/>
      <c r="J47" s="222"/>
      <c r="K47" s="211"/>
      <c r="L47" s="214"/>
      <c r="M47" s="188"/>
    </row>
    <row r="48" spans="1:13" ht="18" customHeight="1" x14ac:dyDescent="0.25">
      <c r="A48" s="188"/>
      <c r="B48" s="221"/>
      <c r="C48" s="221"/>
      <c r="D48" s="222"/>
      <c r="E48" s="211"/>
      <c r="F48" s="214"/>
      <c r="G48" s="216"/>
      <c r="H48" s="221"/>
      <c r="I48" s="221"/>
      <c r="J48" s="222"/>
      <c r="K48" s="211"/>
      <c r="L48" s="214"/>
      <c r="M48" s="188"/>
    </row>
    <row r="49" spans="1:13" ht="18" customHeight="1" x14ac:dyDescent="0.25">
      <c r="A49" s="188"/>
      <c r="B49" s="221"/>
      <c r="C49" s="221"/>
      <c r="D49" s="222"/>
      <c r="E49" s="211"/>
      <c r="F49" s="214"/>
      <c r="G49" s="216"/>
      <c r="H49" s="221"/>
      <c r="I49" s="221"/>
      <c r="J49" s="222"/>
      <c r="K49" s="211"/>
      <c r="L49" s="214"/>
      <c r="M49" s="188"/>
    </row>
    <row r="50" spans="1:13" ht="18" customHeight="1" x14ac:dyDescent="0.25">
      <c r="A50" s="188"/>
      <c r="B50" s="221"/>
      <c r="C50" s="221"/>
      <c r="D50" s="222"/>
      <c r="E50" s="211"/>
      <c r="F50" s="214"/>
      <c r="G50" s="216"/>
      <c r="H50" s="221"/>
      <c r="I50" s="221"/>
      <c r="J50" s="222"/>
      <c r="K50" s="211"/>
      <c r="L50" s="214"/>
      <c r="M50" s="188"/>
    </row>
    <row r="51" spans="1:13" ht="18" customHeight="1" x14ac:dyDescent="0.25">
      <c r="A51" s="188"/>
      <c r="B51" s="221"/>
      <c r="C51" s="221"/>
      <c r="D51" s="222"/>
      <c r="E51" s="211"/>
      <c r="F51" s="214"/>
      <c r="G51" s="216"/>
      <c r="H51" s="221"/>
      <c r="I51" s="221"/>
      <c r="J51" s="222"/>
      <c r="K51" s="211"/>
      <c r="L51" s="214"/>
      <c r="M51" s="188"/>
    </row>
    <row r="52" spans="1:13" ht="18" customHeight="1" x14ac:dyDescent="0.25">
      <c r="A52" s="188"/>
      <c r="B52" s="221"/>
      <c r="C52" s="221"/>
      <c r="D52" s="222"/>
      <c r="E52" s="211"/>
      <c r="F52" s="214"/>
      <c r="G52" s="216"/>
      <c r="H52" s="221"/>
      <c r="I52" s="221"/>
      <c r="J52" s="222"/>
      <c r="K52" s="211"/>
      <c r="L52" s="214"/>
      <c r="M52" s="188"/>
    </row>
    <row r="53" spans="1:13" ht="18" customHeight="1" x14ac:dyDescent="0.25">
      <c r="A53" s="188"/>
      <c r="B53" s="221"/>
      <c r="C53" s="221"/>
      <c r="D53" s="222"/>
      <c r="E53" s="211"/>
      <c r="F53" s="214"/>
      <c r="G53" s="216"/>
      <c r="H53" s="221"/>
      <c r="I53" s="221"/>
      <c r="J53" s="222"/>
      <c r="K53" s="211"/>
      <c r="L53" s="214"/>
      <c r="M53" s="188"/>
    </row>
    <row r="54" spans="1:13" ht="18" customHeight="1" x14ac:dyDescent="0.25">
      <c r="A54" s="188"/>
      <c r="B54" s="221"/>
      <c r="C54" s="221"/>
      <c r="D54" s="222"/>
      <c r="E54" s="211"/>
      <c r="F54" s="214"/>
      <c r="G54" s="216"/>
      <c r="H54" s="221"/>
      <c r="I54" s="221"/>
      <c r="J54" s="222"/>
      <c r="K54" s="211"/>
      <c r="L54" s="214"/>
      <c r="M54" s="188"/>
    </row>
    <row r="55" spans="1:13" ht="18" customHeight="1" x14ac:dyDescent="0.25">
      <c r="A55" s="188"/>
      <c r="B55" s="221"/>
      <c r="C55" s="221"/>
      <c r="D55" s="222"/>
      <c r="E55" s="211"/>
      <c r="F55" s="214"/>
      <c r="G55" s="216"/>
      <c r="H55" s="221"/>
      <c r="I55" s="221"/>
      <c r="J55" s="222"/>
      <c r="K55" s="211"/>
      <c r="L55" s="214"/>
      <c r="M55" s="188"/>
    </row>
    <row r="56" spans="1:13" ht="18" customHeight="1" x14ac:dyDescent="0.25">
      <c r="A56" s="188"/>
      <c r="B56" s="221"/>
      <c r="C56" s="221"/>
      <c r="D56" s="222"/>
      <c r="E56" s="211"/>
      <c r="F56" s="214"/>
      <c r="G56" s="216"/>
      <c r="H56" s="221"/>
      <c r="I56" s="221"/>
      <c r="J56" s="222"/>
      <c r="K56" s="211"/>
      <c r="L56" s="214"/>
      <c r="M56" s="188"/>
    </row>
    <row r="57" spans="1:13" ht="18" customHeight="1" x14ac:dyDescent="0.25">
      <c r="A57" s="188"/>
      <c r="B57" s="221"/>
      <c r="C57" s="221"/>
      <c r="D57" s="222"/>
      <c r="E57" s="211"/>
      <c r="F57" s="214"/>
      <c r="G57" s="216"/>
      <c r="H57" s="221"/>
      <c r="I57" s="221"/>
      <c r="J57" s="222"/>
      <c r="K57" s="211"/>
      <c r="L57" s="214"/>
      <c r="M57" s="188"/>
    </row>
    <row r="58" spans="1:13" ht="18" customHeight="1" x14ac:dyDescent="0.25">
      <c r="A58" s="188"/>
      <c r="B58" s="221"/>
      <c r="C58" s="221"/>
      <c r="D58" s="222"/>
      <c r="E58" s="211"/>
      <c r="F58" s="214"/>
      <c r="G58" s="216"/>
      <c r="H58" s="221"/>
      <c r="I58" s="221"/>
      <c r="J58" s="222"/>
      <c r="K58" s="211"/>
      <c r="L58" s="214"/>
      <c r="M58" s="188"/>
    </row>
    <row r="59" spans="1:13" ht="18" customHeight="1" x14ac:dyDescent="0.25">
      <c r="A59" s="188"/>
      <c r="B59" s="221"/>
      <c r="C59" s="221"/>
      <c r="D59" s="222"/>
      <c r="E59" s="211"/>
      <c r="F59" s="214"/>
      <c r="G59" s="216"/>
      <c r="H59" s="221"/>
      <c r="I59" s="221"/>
      <c r="J59" s="222"/>
      <c r="K59" s="211"/>
      <c r="L59" s="214"/>
      <c r="M59" s="188"/>
    </row>
    <row r="60" spans="1:13" ht="18" customHeight="1" x14ac:dyDescent="0.25">
      <c r="A60" s="188"/>
      <c r="B60" s="221"/>
      <c r="C60" s="221"/>
      <c r="D60" s="222"/>
      <c r="E60" s="211"/>
      <c r="F60" s="214"/>
      <c r="G60" s="216"/>
      <c r="H60" s="221"/>
      <c r="I60" s="221"/>
      <c r="J60" s="222"/>
      <c r="K60" s="211"/>
      <c r="L60" s="214"/>
      <c r="M60" s="188"/>
    </row>
    <row r="61" spans="1:13" ht="18" customHeight="1" x14ac:dyDescent="0.25">
      <c r="A61" s="188"/>
      <c r="B61" s="221"/>
      <c r="C61" s="221"/>
      <c r="D61" s="222"/>
      <c r="E61" s="211"/>
      <c r="F61" s="214"/>
      <c r="G61" s="216"/>
      <c r="H61" s="221"/>
      <c r="I61" s="221"/>
      <c r="J61" s="222"/>
      <c r="K61" s="211"/>
      <c r="L61" s="214"/>
      <c r="M61" s="188"/>
    </row>
    <row r="62" spans="1:13" ht="18" customHeight="1" x14ac:dyDescent="0.25">
      <c r="A62" s="188"/>
      <c r="B62" s="221"/>
      <c r="C62" s="221"/>
      <c r="D62" s="222"/>
      <c r="E62" s="211"/>
      <c r="F62" s="214"/>
      <c r="G62" s="216"/>
      <c r="H62" s="221"/>
      <c r="I62" s="221"/>
      <c r="J62" s="222"/>
      <c r="K62" s="211"/>
      <c r="L62" s="214"/>
      <c r="M62" s="188"/>
    </row>
    <row r="63" spans="1:13" ht="18" customHeight="1" x14ac:dyDescent="0.25">
      <c r="A63" s="188"/>
      <c r="B63" s="221"/>
      <c r="C63" s="221"/>
      <c r="D63" s="222"/>
      <c r="E63" s="211"/>
      <c r="F63" s="214"/>
      <c r="G63" s="216"/>
      <c r="H63" s="221"/>
      <c r="I63" s="221"/>
      <c r="J63" s="222"/>
      <c r="K63" s="211"/>
      <c r="L63" s="214"/>
      <c r="M63" s="188"/>
    </row>
    <row r="64" spans="1:13" ht="18" customHeight="1" x14ac:dyDescent="0.25">
      <c r="A64" s="188"/>
      <c r="B64" s="221"/>
      <c r="C64" s="221"/>
      <c r="D64" s="222"/>
      <c r="E64" s="211"/>
      <c r="F64" s="214"/>
      <c r="G64" s="216"/>
      <c r="H64" s="221"/>
      <c r="I64" s="221"/>
      <c r="J64" s="222"/>
      <c r="K64" s="211"/>
      <c r="L64" s="214"/>
      <c r="M64" s="188"/>
    </row>
    <row r="65" spans="1:13" ht="18" customHeight="1" x14ac:dyDescent="0.25">
      <c r="A65" s="188"/>
      <c r="B65" s="221"/>
      <c r="C65" s="221"/>
      <c r="D65" s="222"/>
      <c r="E65" s="211"/>
      <c r="F65" s="214"/>
      <c r="G65" s="216"/>
      <c r="H65" s="221"/>
      <c r="I65" s="221"/>
      <c r="J65" s="222"/>
      <c r="K65" s="211"/>
      <c r="L65" s="214"/>
      <c r="M65" s="188"/>
    </row>
    <row r="66" spans="1:13" ht="18" customHeight="1" x14ac:dyDescent="0.25">
      <c r="A66" s="188"/>
      <c r="B66" s="221"/>
      <c r="C66" s="221"/>
      <c r="D66" s="222"/>
      <c r="E66" s="211"/>
      <c r="F66" s="214"/>
      <c r="G66" s="216"/>
      <c r="H66" s="221"/>
      <c r="I66" s="221"/>
      <c r="J66" s="222"/>
      <c r="K66" s="211"/>
      <c r="L66" s="214"/>
      <c r="M66" s="188"/>
    </row>
    <row r="67" spans="1:13" ht="18" customHeight="1" x14ac:dyDescent="0.25">
      <c r="A67" s="188"/>
      <c r="B67" s="221"/>
      <c r="C67" s="221"/>
      <c r="D67" s="222"/>
      <c r="E67" s="211"/>
      <c r="F67" s="214"/>
      <c r="G67" s="216"/>
      <c r="H67" s="221"/>
      <c r="I67" s="221"/>
      <c r="J67" s="222"/>
      <c r="K67" s="211"/>
      <c r="L67" s="214"/>
      <c r="M67" s="188"/>
    </row>
    <row r="68" spans="1:13" ht="18" customHeight="1" x14ac:dyDescent="0.25">
      <c r="A68" s="188"/>
      <c r="B68" s="221"/>
      <c r="C68" s="221"/>
      <c r="D68" s="222"/>
      <c r="E68" s="211"/>
      <c r="F68" s="214"/>
      <c r="G68" s="216"/>
      <c r="H68" s="221"/>
      <c r="I68" s="221"/>
      <c r="J68" s="222"/>
      <c r="K68" s="211"/>
      <c r="L68" s="214"/>
      <c r="M68" s="188"/>
    </row>
    <row r="69" spans="1:13" ht="18" customHeight="1" x14ac:dyDescent="0.25">
      <c r="A69" s="188"/>
      <c r="B69" s="221"/>
      <c r="C69" s="221"/>
      <c r="D69" s="222"/>
      <c r="E69" s="211"/>
      <c r="F69" s="214"/>
      <c r="G69" s="216"/>
      <c r="H69" s="221"/>
      <c r="I69" s="221"/>
      <c r="J69" s="222"/>
      <c r="K69" s="211"/>
      <c r="L69" s="214"/>
      <c r="M69" s="188"/>
    </row>
    <row r="70" spans="1:13" ht="18" customHeight="1" x14ac:dyDescent="0.25">
      <c r="A70" s="188"/>
      <c r="B70" s="221"/>
      <c r="C70" s="221"/>
      <c r="D70" s="222"/>
      <c r="E70" s="211"/>
      <c r="F70" s="214"/>
      <c r="G70" s="216"/>
      <c r="H70" s="221"/>
      <c r="I70" s="221"/>
      <c r="J70" s="222"/>
      <c r="K70" s="211"/>
      <c r="L70" s="214"/>
      <c r="M70" s="188"/>
    </row>
    <row r="71" spans="1:13" ht="18" customHeight="1" x14ac:dyDescent="0.25">
      <c r="A71" s="188"/>
      <c r="B71" s="221"/>
      <c r="C71" s="221"/>
      <c r="D71" s="222"/>
      <c r="E71" s="211"/>
      <c r="F71" s="214"/>
      <c r="G71" s="216"/>
      <c r="H71" s="221"/>
      <c r="I71" s="221"/>
      <c r="J71" s="222"/>
      <c r="K71" s="211"/>
      <c r="L71" s="214"/>
      <c r="M71" s="188"/>
    </row>
    <row r="72" spans="1:13" ht="18" customHeight="1" x14ac:dyDescent="0.25">
      <c r="A72" s="188"/>
      <c r="B72" s="221"/>
      <c r="C72" s="221"/>
      <c r="D72" s="222"/>
      <c r="E72" s="211"/>
      <c r="F72" s="214"/>
      <c r="G72" s="216"/>
      <c r="H72" s="221"/>
      <c r="I72" s="221"/>
      <c r="J72" s="222"/>
      <c r="K72" s="211"/>
      <c r="L72" s="214"/>
      <c r="M72" s="188"/>
    </row>
    <row r="73" spans="1:13" ht="18" customHeight="1" x14ac:dyDescent="0.25">
      <c r="A73" s="188"/>
      <c r="B73" s="221"/>
      <c r="C73" s="221"/>
      <c r="D73" s="222"/>
      <c r="E73" s="211"/>
      <c r="F73" s="214"/>
      <c r="G73" s="216"/>
      <c r="H73" s="221"/>
      <c r="I73" s="221"/>
      <c r="J73" s="222"/>
      <c r="K73" s="211"/>
      <c r="L73" s="214"/>
      <c r="M73" s="188"/>
    </row>
    <row r="74" spans="1:13" ht="18" customHeight="1" x14ac:dyDescent="0.25">
      <c r="A74" s="188"/>
      <c r="B74" s="221"/>
      <c r="C74" s="221"/>
      <c r="D74" s="222"/>
      <c r="E74" s="211"/>
      <c r="F74" s="214"/>
      <c r="G74" s="216"/>
      <c r="H74" s="221"/>
      <c r="I74" s="221"/>
      <c r="J74" s="222"/>
      <c r="K74" s="211"/>
      <c r="L74" s="214"/>
      <c r="M74" s="188"/>
    </row>
    <row r="75" spans="1:13" ht="18" customHeight="1" x14ac:dyDescent="0.25">
      <c r="A75" s="188"/>
      <c r="B75" s="221"/>
      <c r="C75" s="221"/>
      <c r="D75" s="222"/>
      <c r="E75" s="211"/>
      <c r="F75" s="214"/>
      <c r="G75" s="216"/>
      <c r="H75" s="221"/>
      <c r="I75" s="221"/>
      <c r="J75" s="222"/>
      <c r="K75" s="211"/>
      <c r="L75" s="214"/>
      <c r="M75" s="188"/>
    </row>
    <row r="76" spans="1:13" ht="18" customHeight="1" x14ac:dyDescent="0.25">
      <c r="A76" s="188"/>
      <c r="B76" s="221"/>
      <c r="C76" s="221"/>
      <c r="D76" s="222"/>
      <c r="E76" s="211"/>
      <c r="F76" s="214"/>
      <c r="G76" s="216"/>
      <c r="H76" s="221"/>
      <c r="I76" s="221"/>
      <c r="J76" s="222"/>
      <c r="K76" s="211"/>
      <c r="L76" s="214"/>
      <c r="M76" s="188"/>
    </row>
    <row r="77" spans="1:13" ht="18" customHeight="1" x14ac:dyDescent="0.25">
      <c r="A77" s="188"/>
      <c r="B77" s="221"/>
      <c r="C77" s="221"/>
      <c r="D77" s="222"/>
      <c r="E77" s="211"/>
      <c r="F77" s="214"/>
      <c r="G77" s="216"/>
      <c r="H77" s="221"/>
      <c r="I77" s="221"/>
      <c r="J77" s="222"/>
      <c r="K77" s="211"/>
      <c r="L77" s="214"/>
      <c r="M77" s="188"/>
    </row>
    <row r="78" spans="1:13" ht="18" customHeight="1" x14ac:dyDescent="0.25">
      <c r="A78" s="188"/>
      <c r="B78" s="221"/>
      <c r="C78" s="221"/>
      <c r="D78" s="222"/>
      <c r="E78" s="211"/>
      <c r="F78" s="214"/>
      <c r="G78" s="216"/>
      <c r="H78" s="221"/>
      <c r="I78" s="221"/>
      <c r="J78" s="222"/>
      <c r="K78" s="211"/>
      <c r="L78" s="214"/>
      <c r="M78" s="188"/>
    </row>
    <row r="79" spans="1:13" ht="18" customHeight="1" x14ac:dyDescent="0.25">
      <c r="A79" s="188"/>
      <c r="B79" s="221"/>
      <c r="C79" s="221"/>
      <c r="D79" s="222"/>
      <c r="E79" s="211"/>
      <c r="F79" s="214"/>
      <c r="G79" s="216"/>
      <c r="H79" s="221"/>
      <c r="I79" s="221"/>
      <c r="J79" s="222"/>
      <c r="K79" s="211"/>
      <c r="L79" s="214"/>
      <c r="M79" s="188"/>
    </row>
    <row r="80" spans="1:13" ht="18" customHeight="1" x14ac:dyDescent="0.25">
      <c r="A80" s="188"/>
      <c r="B80" s="221"/>
      <c r="C80" s="221"/>
      <c r="D80" s="222"/>
      <c r="E80" s="211"/>
      <c r="F80" s="214"/>
      <c r="G80" s="216"/>
      <c r="H80" s="221"/>
      <c r="I80" s="221"/>
      <c r="J80" s="222"/>
      <c r="K80" s="211"/>
      <c r="L80" s="214"/>
      <c r="M80" s="188"/>
    </row>
    <row r="81" spans="1:13" ht="18" customHeight="1" x14ac:dyDescent="0.25">
      <c r="A81" s="188"/>
      <c r="B81" s="221"/>
      <c r="C81" s="221"/>
      <c r="D81" s="222"/>
      <c r="E81" s="211"/>
      <c r="F81" s="214"/>
      <c r="G81" s="216"/>
      <c r="H81" s="221"/>
      <c r="I81" s="221"/>
      <c r="J81" s="222"/>
      <c r="K81" s="211"/>
      <c r="L81" s="214"/>
      <c r="M81" s="188"/>
    </row>
    <row r="82" spans="1:13" ht="18" customHeight="1" x14ac:dyDescent="0.25">
      <c r="A82" s="188"/>
      <c r="B82" s="221"/>
      <c r="C82" s="221"/>
      <c r="D82" s="222"/>
      <c r="E82" s="211"/>
      <c r="F82" s="214"/>
      <c r="G82" s="216"/>
      <c r="H82" s="221"/>
      <c r="I82" s="221"/>
      <c r="J82" s="222"/>
      <c r="K82" s="211"/>
      <c r="L82" s="214"/>
      <c r="M82" s="188"/>
    </row>
    <row r="83" spans="1:13" ht="18" customHeight="1" x14ac:dyDescent="0.25">
      <c r="A83" s="188"/>
      <c r="B83" s="221"/>
      <c r="C83" s="221"/>
      <c r="D83" s="222"/>
      <c r="E83" s="211"/>
      <c r="F83" s="214"/>
      <c r="G83" s="216"/>
      <c r="H83" s="221"/>
      <c r="I83" s="221"/>
      <c r="J83" s="222"/>
      <c r="K83" s="211"/>
      <c r="L83" s="214"/>
      <c r="M83" s="188"/>
    </row>
    <row r="84" spans="1:13" ht="18" customHeight="1" x14ac:dyDescent="0.25">
      <c r="A84" s="188"/>
      <c r="B84" s="221"/>
      <c r="C84" s="221"/>
      <c r="D84" s="222"/>
      <c r="E84" s="211"/>
      <c r="F84" s="214"/>
      <c r="G84" s="216"/>
      <c r="H84" s="221"/>
      <c r="I84" s="221"/>
      <c r="J84" s="222"/>
      <c r="K84" s="211"/>
      <c r="L84" s="214"/>
      <c r="M84" s="188"/>
    </row>
    <row r="85" spans="1:13" ht="18" customHeight="1" x14ac:dyDescent="0.25">
      <c r="A85" s="188"/>
      <c r="B85" s="221"/>
      <c r="C85" s="221"/>
      <c r="D85" s="222"/>
      <c r="E85" s="211"/>
      <c r="F85" s="214"/>
      <c r="G85" s="216"/>
      <c r="H85" s="221"/>
      <c r="I85" s="221"/>
      <c r="J85" s="222"/>
      <c r="K85" s="211"/>
      <c r="L85" s="214"/>
      <c r="M85" s="188"/>
    </row>
    <row r="86" spans="1:13" ht="18" customHeight="1" x14ac:dyDescent="0.25">
      <c r="A86" s="188"/>
      <c r="B86" s="221"/>
      <c r="C86" s="221"/>
      <c r="D86" s="222"/>
      <c r="E86" s="211"/>
      <c r="F86" s="214"/>
      <c r="G86" s="216"/>
      <c r="H86" s="221"/>
      <c r="I86" s="221"/>
      <c r="J86" s="222"/>
      <c r="K86" s="211"/>
      <c r="L86" s="214"/>
      <c r="M86" s="188"/>
    </row>
    <row r="87" spans="1:13" ht="18" customHeight="1" x14ac:dyDescent="0.25">
      <c r="A87" s="188"/>
      <c r="B87" s="221"/>
      <c r="C87" s="221"/>
      <c r="D87" s="222"/>
      <c r="E87" s="211"/>
      <c r="F87" s="214"/>
      <c r="G87" s="216"/>
      <c r="H87" s="221"/>
      <c r="I87" s="221"/>
      <c r="J87" s="222"/>
      <c r="K87" s="211"/>
      <c r="L87" s="214"/>
      <c r="M87" s="188"/>
    </row>
    <row r="88" spans="1:13" ht="18" customHeight="1" x14ac:dyDescent="0.25">
      <c r="A88" s="188"/>
      <c r="B88" s="221"/>
      <c r="C88" s="221"/>
      <c r="D88" s="222"/>
      <c r="E88" s="211"/>
      <c r="F88" s="214"/>
      <c r="G88" s="216"/>
      <c r="H88" s="221"/>
      <c r="I88" s="221"/>
      <c r="J88" s="222"/>
      <c r="K88" s="211"/>
      <c r="L88" s="214"/>
      <c r="M88" s="188"/>
    </row>
    <row r="89" spans="1:13" ht="18" customHeight="1" x14ac:dyDescent="0.25">
      <c r="A89" s="188"/>
      <c r="B89" s="221"/>
      <c r="C89" s="221"/>
      <c r="D89" s="222"/>
      <c r="E89" s="211"/>
      <c r="F89" s="214"/>
      <c r="G89" s="216"/>
      <c r="H89" s="221"/>
      <c r="I89" s="221"/>
      <c r="J89" s="222"/>
      <c r="K89" s="211"/>
      <c r="L89" s="214"/>
      <c r="M89" s="188"/>
    </row>
    <row r="90" spans="1:13" ht="18" customHeight="1" x14ac:dyDescent="0.25">
      <c r="A90" s="188"/>
      <c r="B90" s="221"/>
      <c r="C90" s="221"/>
      <c r="D90" s="222"/>
      <c r="E90" s="211"/>
      <c r="F90" s="214"/>
      <c r="G90" s="216"/>
      <c r="H90" s="221"/>
      <c r="I90" s="221"/>
      <c r="J90" s="222"/>
      <c r="K90" s="211"/>
      <c r="L90" s="214"/>
      <c r="M90" s="188"/>
    </row>
    <row r="91" spans="1:13" ht="18" customHeight="1" x14ac:dyDescent="0.25">
      <c r="A91" s="188"/>
      <c r="B91" s="221"/>
      <c r="C91" s="221"/>
      <c r="D91" s="222"/>
      <c r="E91" s="211"/>
      <c r="F91" s="214"/>
      <c r="G91" s="216"/>
      <c r="H91" s="221"/>
      <c r="I91" s="221"/>
      <c r="J91" s="222"/>
      <c r="K91" s="211"/>
      <c r="L91" s="214"/>
      <c r="M91" s="188"/>
    </row>
    <row r="92" spans="1:13" ht="18" customHeight="1" x14ac:dyDescent="0.25">
      <c r="A92" s="188"/>
      <c r="B92" s="221"/>
      <c r="C92" s="221"/>
      <c r="D92" s="222"/>
      <c r="E92" s="211"/>
      <c r="F92" s="214"/>
      <c r="G92" s="216"/>
      <c r="H92" s="221"/>
      <c r="I92" s="221"/>
      <c r="J92" s="222"/>
      <c r="K92" s="211"/>
      <c r="L92" s="214"/>
      <c r="M92" s="188"/>
    </row>
    <row r="93" spans="1:13" ht="18" customHeight="1" x14ac:dyDescent="0.25">
      <c r="A93" s="188"/>
      <c r="B93" s="221"/>
      <c r="C93" s="221"/>
      <c r="D93" s="222"/>
      <c r="E93" s="211"/>
      <c r="F93" s="214"/>
      <c r="G93" s="216"/>
      <c r="H93" s="221"/>
      <c r="I93" s="221"/>
      <c r="J93" s="222"/>
      <c r="K93" s="211"/>
      <c r="L93" s="214"/>
      <c r="M93" s="188"/>
    </row>
    <row r="94" spans="1:13" ht="18" customHeight="1" x14ac:dyDescent="0.25">
      <c r="A94" s="188"/>
      <c r="B94" s="221"/>
      <c r="C94" s="221"/>
      <c r="D94" s="222"/>
      <c r="E94" s="211"/>
      <c r="F94" s="214"/>
      <c r="G94" s="216"/>
      <c r="H94" s="221"/>
      <c r="I94" s="221"/>
      <c r="J94" s="222"/>
      <c r="K94" s="211"/>
      <c r="L94" s="214"/>
      <c r="M94" s="188"/>
    </row>
    <row r="95" spans="1:13" ht="18" customHeight="1" x14ac:dyDescent="0.25">
      <c r="A95" s="188"/>
      <c r="B95" s="221"/>
      <c r="C95" s="221"/>
      <c r="D95" s="222"/>
      <c r="E95" s="211"/>
      <c r="F95" s="214"/>
      <c r="G95" s="216"/>
      <c r="H95" s="221"/>
      <c r="I95" s="221"/>
      <c r="J95" s="222"/>
      <c r="K95" s="211"/>
      <c r="L95" s="214"/>
      <c r="M95" s="188"/>
    </row>
    <row r="96" spans="1:13" ht="18" customHeight="1" x14ac:dyDescent="0.25">
      <c r="A96" s="188"/>
      <c r="B96" s="221"/>
      <c r="C96" s="221"/>
      <c r="D96" s="222"/>
      <c r="E96" s="211"/>
      <c r="F96" s="214"/>
      <c r="G96" s="216"/>
      <c r="H96" s="221"/>
      <c r="I96" s="221"/>
      <c r="J96" s="222"/>
      <c r="K96" s="211"/>
      <c r="L96" s="214"/>
      <c r="M96" s="188"/>
    </row>
    <row r="97" spans="1:13" ht="18" customHeight="1" x14ac:dyDescent="0.25">
      <c r="A97" s="188"/>
      <c r="B97" s="221"/>
      <c r="C97" s="221"/>
      <c r="D97" s="222"/>
      <c r="E97" s="211"/>
      <c r="F97" s="214"/>
      <c r="G97" s="216"/>
      <c r="H97" s="221"/>
      <c r="I97" s="221"/>
      <c r="J97" s="222"/>
      <c r="K97" s="211"/>
      <c r="L97" s="214"/>
      <c r="M97" s="188"/>
    </row>
    <row r="98" spans="1:13" ht="18" customHeight="1" x14ac:dyDescent="0.25">
      <c r="A98" s="188"/>
      <c r="B98" s="221"/>
      <c r="C98" s="221"/>
      <c r="D98" s="222"/>
      <c r="E98" s="211"/>
      <c r="F98" s="214"/>
      <c r="G98" s="216"/>
      <c r="H98" s="221"/>
      <c r="I98" s="221"/>
      <c r="J98" s="222"/>
      <c r="K98" s="211"/>
      <c r="L98" s="214"/>
      <c r="M98" s="188"/>
    </row>
    <row r="99" spans="1:13" ht="18" customHeight="1" x14ac:dyDescent="0.25">
      <c r="A99" s="188"/>
      <c r="B99" s="221"/>
      <c r="C99" s="221"/>
      <c r="D99" s="222"/>
      <c r="E99" s="211"/>
      <c r="F99" s="214"/>
      <c r="G99" s="216"/>
      <c r="H99" s="221"/>
      <c r="I99" s="221"/>
      <c r="J99" s="222"/>
      <c r="K99" s="211"/>
      <c r="L99" s="214"/>
      <c r="M99" s="188"/>
    </row>
    <row r="100" spans="1:13" ht="18" customHeight="1" x14ac:dyDescent="0.25">
      <c r="A100" s="188"/>
      <c r="B100" s="221"/>
      <c r="C100" s="221"/>
      <c r="D100" s="222"/>
      <c r="E100" s="211"/>
      <c r="F100" s="214"/>
      <c r="G100" s="216"/>
      <c r="H100" s="221"/>
      <c r="I100" s="221"/>
      <c r="J100" s="222"/>
      <c r="K100" s="211"/>
      <c r="L100" s="214"/>
      <c r="M100" s="188"/>
    </row>
    <row r="101" spans="1:13" ht="18" customHeight="1" x14ac:dyDescent="0.25">
      <c r="A101" s="188"/>
      <c r="B101" s="221"/>
      <c r="C101" s="221"/>
      <c r="D101" s="222"/>
      <c r="E101" s="211"/>
      <c r="F101" s="214"/>
      <c r="G101" s="216"/>
      <c r="H101" s="221"/>
      <c r="I101" s="221"/>
      <c r="J101" s="222"/>
      <c r="K101" s="211"/>
      <c r="L101" s="214"/>
      <c r="M101" s="188"/>
    </row>
    <row r="102" spans="1:13" ht="18" customHeight="1" x14ac:dyDescent="0.25">
      <c r="A102" s="188"/>
      <c r="B102" s="221"/>
      <c r="C102" s="221"/>
      <c r="D102" s="222"/>
      <c r="E102" s="211"/>
      <c r="F102" s="214"/>
      <c r="G102" s="216"/>
      <c r="H102" s="221"/>
      <c r="I102" s="221"/>
      <c r="J102" s="222"/>
      <c r="K102" s="211"/>
      <c r="L102" s="214"/>
      <c r="M102" s="188"/>
    </row>
    <row r="103" spans="1:13" ht="18" customHeight="1" x14ac:dyDescent="0.25">
      <c r="A103" s="188"/>
      <c r="B103" s="221"/>
      <c r="C103" s="221"/>
      <c r="D103" s="222"/>
      <c r="E103" s="211"/>
      <c r="F103" s="214"/>
      <c r="G103" s="216"/>
      <c r="H103" s="221"/>
      <c r="I103" s="221"/>
      <c r="J103" s="222"/>
      <c r="K103" s="211"/>
      <c r="L103" s="214"/>
      <c r="M103" s="188"/>
    </row>
    <row r="104" spans="1:13" ht="18" customHeight="1" x14ac:dyDescent="0.25">
      <c r="A104" s="188"/>
      <c r="B104" s="221"/>
      <c r="C104" s="221"/>
      <c r="D104" s="222"/>
      <c r="E104" s="211"/>
      <c r="F104" s="214"/>
      <c r="G104" s="216"/>
      <c r="H104" s="221"/>
      <c r="I104" s="221"/>
      <c r="J104" s="222"/>
      <c r="K104" s="211"/>
      <c r="L104" s="214"/>
      <c r="M104" s="188"/>
    </row>
    <row r="105" spans="1:13" ht="18" customHeight="1" x14ac:dyDescent="0.25">
      <c r="A105" s="188"/>
      <c r="B105" s="221"/>
      <c r="C105" s="221"/>
      <c r="D105" s="222"/>
      <c r="E105" s="211"/>
      <c r="F105" s="214"/>
      <c r="G105" s="216"/>
      <c r="H105" s="221"/>
      <c r="I105" s="221"/>
      <c r="J105" s="222"/>
      <c r="K105" s="211"/>
      <c r="L105" s="214"/>
      <c r="M105" s="188"/>
    </row>
    <row r="106" spans="1:13" ht="18" customHeight="1" x14ac:dyDescent="0.25">
      <c r="A106" s="188"/>
      <c r="B106" s="221"/>
      <c r="C106" s="221"/>
      <c r="D106" s="222"/>
      <c r="E106" s="211"/>
      <c r="F106" s="214"/>
      <c r="G106" s="216"/>
      <c r="H106" s="221"/>
      <c r="I106" s="221"/>
      <c r="J106" s="222"/>
      <c r="K106" s="211"/>
      <c r="L106" s="214"/>
      <c r="M106" s="188"/>
    </row>
    <row r="107" spans="1:13" ht="18" customHeight="1" x14ac:dyDescent="0.25">
      <c r="A107" s="188"/>
      <c r="B107" s="221"/>
      <c r="C107" s="221"/>
      <c r="D107" s="222"/>
      <c r="E107" s="211"/>
      <c r="F107" s="214"/>
      <c r="G107" s="216"/>
      <c r="H107" s="221"/>
      <c r="I107" s="221"/>
      <c r="J107" s="222"/>
      <c r="K107" s="211"/>
      <c r="L107" s="214"/>
      <c r="M107" s="188"/>
    </row>
    <row r="108" spans="1:13" ht="18" customHeight="1" x14ac:dyDescent="0.25">
      <c r="A108" s="188"/>
      <c r="B108" s="221"/>
      <c r="C108" s="221"/>
      <c r="D108" s="222"/>
      <c r="E108" s="211"/>
      <c r="F108" s="214"/>
      <c r="G108" s="216"/>
      <c r="H108" s="221"/>
      <c r="I108" s="221"/>
      <c r="J108" s="222"/>
      <c r="K108" s="211"/>
      <c r="L108" s="214"/>
      <c r="M108" s="188"/>
    </row>
    <row r="109" spans="1:13" ht="18" customHeight="1" x14ac:dyDescent="0.25">
      <c r="A109" s="188"/>
      <c r="B109" s="221"/>
      <c r="C109" s="221"/>
      <c r="D109" s="222"/>
      <c r="E109" s="211"/>
      <c r="F109" s="214"/>
      <c r="G109" s="216"/>
      <c r="H109" s="221"/>
      <c r="I109" s="221"/>
      <c r="J109" s="222"/>
      <c r="K109" s="211"/>
      <c r="L109" s="214"/>
      <c r="M109" s="188"/>
    </row>
    <row r="110" spans="1:13" ht="18" customHeight="1" x14ac:dyDescent="0.25">
      <c r="A110" s="188"/>
      <c r="B110" s="221"/>
      <c r="C110" s="221"/>
      <c r="D110" s="222"/>
      <c r="E110" s="211"/>
      <c r="F110" s="214"/>
      <c r="G110" s="216"/>
      <c r="H110" s="221"/>
      <c r="I110" s="221"/>
      <c r="J110" s="222"/>
      <c r="K110" s="211"/>
      <c r="L110" s="214"/>
      <c r="M110" s="188"/>
    </row>
    <row r="111" spans="1:13" ht="18" customHeight="1" x14ac:dyDescent="0.25">
      <c r="A111" s="188"/>
      <c r="B111" s="221"/>
      <c r="C111" s="221"/>
      <c r="D111" s="222"/>
      <c r="E111" s="211"/>
      <c r="F111" s="214"/>
      <c r="G111" s="216"/>
      <c r="H111" s="221"/>
      <c r="I111" s="221"/>
      <c r="J111" s="222"/>
      <c r="K111" s="211"/>
      <c r="L111" s="214"/>
      <c r="M111" s="188"/>
    </row>
    <row r="112" spans="1:13" ht="18" customHeight="1" x14ac:dyDescent="0.25">
      <c r="A112" s="188"/>
      <c r="B112" s="221"/>
      <c r="C112" s="221"/>
      <c r="D112" s="222"/>
      <c r="E112" s="211"/>
      <c r="F112" s="214"/>
      <c r="G112" s="216"/>
      <c r="H112" s="221"/>
      <c r="I112" s="221"/>
      <c r="J112" s="222"/>
      <c r="K112" s="211"/>
      <c r="L112" s="214"/>
      <c r="M112" s="188"/>
    </row>
    <row r="113" spans="1:13" ht="18" customHeight="1" x14ac:dyDescent="0.25">
      <c r="A113" s="188"/>
      <c r="B113" s="221"/>
      <c r="C113" s="221"/>
      <c r="D113" s="222"/>
      <c r="E113" s="211"/>
      <c r="F113" s="214"/>
      <c r="G113" s="216"/>
      <c r="H113" s="221"/>
      <c r="I113" s="221"/>
      <c r="J113" s="222"/>
      <c r="K113" s="211"/>
      <c r="L113" s="214"/>
      <c r="M113" s="188"/>
    </row>
    <row r="114" spans="1:13" ht="18" customHeight="1" x14ac:dyDescent="0.25">
      <c r="A114" s="188"/>
      <c r="B114" s="221"/>
      <c r="C114" s="221"/>
      <c r="D114" s="222"/>
      <c r="E114" s="211"/>
      <c r="F114" s="214"/>
      <c r="G114" s="216"/>
      <c r="H114" s="221"/>
      <c r="I114" s="221"/>
      <c r="J114" s="222"/>
      <c r="K114" s="211"/>
      <c r="L114" s="214"/>
      <c r="M114" s="188"/>
    </row>
    <row r="115" spans="1:13" ht="18" customHeight="1" x14ac:dyDescent="0.25">
      <c r="A115" s="188"/>
      <c r="B115" s="221"/>
      <c r="C115" s="221"/>
      <c r="D115" s="222"/>
      <c r="E115" s="211"/>
      <c r="F115" s="214"/>
      <c r="G115" s="216"/>
      <c r="H115" s="221"/>
      <c r="I115" s="221"/>
      <c r="J115" s="222"/>
      <c r="K115" s="211"/>
      <c r="L115" s="214"/>
      <c r="M115" s="188"/>
    </row>
    <row r="116" spans="1:13" ht="18" customHeight="1" x14ac:dyDescent="0.25">
      <c r="A116" s="188"/>
      <c r="B116" s="221"/>
      <c r="C116" s="221"/>
      <c r="D116" s="222"/>
      <c r="E116" s="211"/>
      <c r="F116" s="214"/>
      <c r="G116" s="216"/>
      <c r="H116" s="221"/>
      <c r="I116" s="221"/>
      <c r="J116" s="222"/>
      <c r="K116" s="211"/>
      <c r="L116" s="214"/>
      <c r="M116" s="188"/>
    </row>
    <row r="117" spans="1:13" ht="18" customHeight="1" x14ac:dyDescent="0.25">
      <c r="A117" s="188"/>
      <c r="B117" s="221"/>
      <c r="C117" s="221"/>
      <c r="D117" s="222"/>
      <c r="E117" s="211"/>
      <c r="F117" s="214"/>
      <c r="G117" s="216"/>
      <c r="H117" s="221"/>
      <c r="I117" s="221"/>
      <c r="J117" s="222"/>
      <c r="K117" s="211"/>
      <c r="L117" s="214"/>
      <c r="M117" s="188"/>
    </row>
    <row r="118" spans="1:13" ht="18" customHeight="1" x14ac:dyDescent="0.25">
      <c r="A118" s="188"/>
      <c r="B118" s="221"/>
      <c r="C118" s="221"/>
      <c r="D118" s="222"/>
      <c r="E118" s="211"/>
      <c r="F118" s="214"/>
      <c r="G118" s="216"/>
      <c r="H118" s="221"/>
      <c r="I118" s="221"/>
      <c r="J118" s="222"/>
      <c r="K118" s="211"/>
      <c r="L118" s="214"/>
      <c r="M118" s="188"/>
    </row>
    <row r="119" spans="1:13" ht="18" customHeight="1" x14ac:dyDescent="0.25">
      <c r="A119" s="188"/>
      <c r="B119" s="221"/>
      <c r="C119" s="221"/>
      <c r="D119" s="222"/>
      <c r="E119" s="211"/>
      <c r="F119" s="214"/>
      <c r="G119" s="216"/>
      <c r="H119" s="221"/>
      <c r="I119" s="221"/>
      <c r="J119" s="222"/>
      <c r="K119" s="211"/>
      <c r="L119" s="214"/>
      <c r="M119" s="188"/>
    </row>
    <row r="120" spans="1:13" ht="18" customHeight="1" x14ac:dyDescent="0.25">
      <c r="A120" s="188"/>
      <c r="B120" s="221"/>
      <c r="C120" s="221"/>
      <c r="D120" s="222"/>
      <c r="E120" s="211"/>
      <c r="F120" s="214"/>
      <c r="G120" s="216"/>
      <c r="H120" s="221"/>
      <c r="I120" s="221"/>
      <c r="J120" s="222"/>
      <c r="K120" s="211"/>
      <c r="L120" s="214"/>
      <c r="M120" s="188"/>
    </row>
    <row r="121" spans="1:13" ht="18" customHeight="1" x14ac:dyDescent="0.25">
      <c r="A121" s="188"/>
      <c r="B121" s="221"/>
      <c r="C121" s="221"/>
      <c r="D121" s="222"/>
      <c r="E121" s="211"/>
      <c r="F121" s="214"/>
      <c r="G121" s="216"/>
      <c r="H121" s="221"/>
      <c r="I121" s="221"/>
      <c r="J121" s="222"/>
      <c r="K121" s="211"/>
      <c r="L121" s="214"/>
      <c r="M121" s="188"/>
    </row>
    <row r="122" spans="1:13" ht="18" customHeight="1" x14ac:dyDescent="0.25">
      <c r="A122" s="188"/>
      <c r="B122" s="221"/>
      <c r="C122" s="221"/>
      <c r="D122" s="222"/>
      <c r="E122" s="211"/>
      <c r="F122" s="214"/>
      <c r="G122" s="216"/>
      <c r="H122" s="221"/>
      <c r="I122" s="221"/>
      <c r="J122" s="222"/>
      <c r="K122" s="211"/>
      <c r="L122" s="214"/>
      <c r="M122" s="188"/>
    </row>
    <row r="123" spans="1:13" ht="18" customHeight="1" x14ac:dyDescent="0.25">
      <c r="A123" s="188"/>
      <c r="B123" s="221"/>
      <c r="C123" s="221"/>
      <c r="D123" s="222"/>
      <c r="E123" s="211"/>
      <c r="F123" s="214"/>
      <c r="G123" s="216"/>
      <c r="H123" s="221"/>
      <c r="I123" s="221"/>
      <c r="J123" s="222"/>
      <c r="K123" s="211"/>
      <c r="L123" s="214"/>
      <c r="M123" s="188"/>
    </row>
    <row r="124" spans="1:13" ht="18" customHeight="1" x14ac:dyDescent="0.25">
      <c r="A124" s="188"/>
      <c r="B124" s="221"/>
      <c r="C124" s="221"/>
      <c r="D124" s="222"/>
      <c r="E124" s="211"/>
      <c r="F124" s="214"/>
      <c r="G124" s="216"/>
      <c r="H124" s="221"/>
      <c r="I124" s="221"/>
      <c r="J124" s="222"/>
      <c r="K124" s="211"/>
      <c r="L124" s="214"/>
      <c r="M124" s="188"/>
    </row>
    <row r="125" spans="1:13" ht="18" customHeight="1" x14ac:dyDescent="0.25">
      <c r="A125" s="188"/>
      <c r="B125" s="221"/>
      <c r="C125" s="221"/>
      <c r="D125" s="222"/>
      <c r="E125" s="211"/>
      <c r="F125" s="214"/>
      <c r="G125" s="216"/>
      <c r="H125" s="221"/>
      <c r="I125" s="221"/>
      <c r="J125" s="222"/>
      <c r="K125" s="211"/>
      <c r="L125" s="214"/>
      <c r="M125" s="188"/>
    </row>
    <row r="126" spans="1:13" ht="18" customHeight="1" x14ac:dyDescent="0.25">
      <c r="A126" s="188"/>
      <c r="B126" s="221"/>
      <c r="C126" s="221"/>
      <c r="D126" s="222"/>
      <c r="E126" s="211"/>
      <c r="F126" s="214"/>
      <c r="G126" s="216"/>
      <c r="H126" s="221"/>
      <c r="I126" s="221"/>
      <c r="J126" s="222"/>
      <c r="K126" s="211"/>
      <c r="L126" s="214"/>
      <c r="M126" s="188"/>
    </row>
    <row r="127" spans="1:13" ht="18" customHeight="1" x14ac:dyDescent="0.25">
      <c r="A127" s="188"/>
      <c r="B127" s="221"/>
      <c r="C127" s="221"/>
      <c r="D127" s="222"/>
      <c r="E127" s="211"/>
      <c r="F127" s="214"/>
      <c r="G127" s="216"/>
      <c r="H127" s="221"/>
      <c r="I127" s="221"/>
      <c r="J127" s="222"/>
      <c r="K127" s="211"/>
      <c r="L127" s="214"/>
      <c r="M127" s="188"/>
    </row>
    <row r="128" spans="1:13" ht="18" customHeight="1" x14ac:dyDescent="0.25">
      <c r="A128" s="188"/>
      <c r="B128" s="221"/>
      <c r="C128" s="221"/>
      <c r="D128" s="222"/>
      <c r="E128" s="211"/>
      <c r="F128" s="214"/>
      <c r="G128" s="216"/>
      <c r="H128" s="221"/>
      <c r="I128" s="221"/>
      <c r="J128" s="222"/>
      <c r="K128" s="211"/>
      <c r="L128" s="214"/>
      <c r="M128" s="188"/>
    </row>
    <row r="129" spans="1:13" ht="18" customHeight="1" x14ac:dyDescent="0.25">
      <c r="A129" s="188"/>
      <c r="B129" s="221"/>
      <c r="C129" s="221"/>
      <c r="D129" s="222"/>
      <c r="E129" s="211"/>
      <c r="F129" s="214"/>
      <c r="G129" s="216"/>
      <c r="H129" s="221"/>
      <c r="I129" s="221"/>
      <c r="J129" s="222"/>
      <c r="K129" s="211"/>
      <c r="L129" s="214"/>
      <c r="M129" s="188"/>
    </row>
    <row r="130" spans="1:13" ht="18" customHeight="1" x14ac:dyDescent="0.25">
      <c r="A130" s="188"/>
      <c r="B130" s="221"/>
      <c r="C130" s="221"/>
      <c r="D130" s="222"/>
      <c r="E130" s="211"/>
      <c r="F130" s="214"/>
      <c r="G130" s="216"/>
      <c r="H130" s="221"/>
      <c r="I130" s="221"/>
      <c r="J130" s="222"/>
      <c r="K130" s="211"/>
      <c r="L130" s="214"/>
      <c r="M130" s="188"/>
    </row>
    <row r="131" spans="1:13" ht="18" customHeight="1" x14ac:dyDescent="0.25">
      <c r="A131" s="188"/>
      <c r="B131" s="221"/>
      <c r="C131" s="221"/>
      <c r="D131" s="222"/>
      <c r="E131" s="211"/>
      <c r="F131" s="214"/>
      <c r="G131" s="216"/>
      <c r="H131" s="221"/>
      <c r="I131" s="221"/>
      <c r="J131" s="222"/>
      <c r="K131" s="211"/>
      <c r="L131" s="214"/>
      <c r="M131" s="188"/>
    </row>
    <row r="132" spans="1:13" ht="18" customHeight="1" x14ac:dyDescent="0.25">
      <c r="A132" s="188"/>
      <c r="B132" s="221"/>
      <c r="C132" s="221"/>
      <c r="D132" s="222"/>
      <c r="E132" s="211"/>
      <c r="F132" s="214"/>
      <c r="G132" s="216"/>
      <c r="H132" s="221"/>
      <c r="I132" s="221"/>
      <c r="J132" s="222"/>
      <c r="K132" s="211"/>
      <c r="L132" s="214"/>
      <c r="M132" s="188"/>
    </row>
    <row r="133" spans="1:13" ht="18" customHeight="1" x14ac:dyDescent="0.25">
      <c r="A133" s="188"/>
      <c r="B133" s="221"/>
      <c r="C133" s="221"/>
      <c r="D133" s="222"/>
      <c r="E133" s="211"/>
      <c r="F133" s="214"/>
      <c r="G133" s="216"/>
      <c r="H133" s="221"/>
      <c r="I133" s="221"/>
      <c r="J133" s="222"/>
      <c r="K133" s="211"/>
      <c r="L133" s="214"/>
      <c r="M133" s="188"/>
    </row>
    <row r="134" spans="1:13" ht="18" customHeight="1" x14ac:dyDescent="0.25">
      <c r="A134" s="188"/>
      <c r="B134" s="221"/>
      <c r="C134" s="221"/>
      <c r="D134" s="222"/>
      <c r="E134" s="211"/>
      <c r="F134" s="214"/>
      <c r="G134" s="216"/>
      <c r="H134" s="221"/>
      <c r="I134" s="221"/>
      <c r="J134" s="222"/>
      <c r="K134" s="211"/>
      <c r="L134" s="214"/>
      <c r="M134" s="188"/>
    </row>
    <row r="135" spans="1:13" ht="18" customHeight="1" x14ac:dyDescent="0.25">
      <c r="A135" s="188"/>
      <c r="B135" s="221"/>
      <c r="C135" s="221"/>
      <c r="D135" s="222"/>
      <c r="E135" s="211"/>
      <c r="F135" s="214"/>
      <c r="G135" s="216"/>
      <c r="H135" s="221"/>
      <c r="I135" s="221"/>
      <c r="J135" s="222"/>
      <c r="K135" s="211"/>
      <c r="L135" s="214"/>
      <c r="M135" s="188"/>
    </row>
    <row r="136" spans="1:13" ht="18" customHeight="1" x14ac:dyDescent="0.25">
      <c r="A136" s="188"/>
      <c r="B136" s="221"/>
      <c r="C136" s="221"/>
      <c r="D136" s="222"/>
      <c r="E136" s="211"/>
      <c r="F136" s="214"/>
      <c r="G136" s="216"/>
      <c r="H136" s="221"/>
      <c r="I136" s="221"/>
      <c r="J136" s="222"/>
      <c r="K136" s="211"/>
      <c r="L136" s="214"/>
      <c r="M136" s="188"/>
    </row>
    <row r="137" spans="1:13" ht="18" customHeight="1" x14ac:dyDescent="0.25">
      <c r="A137" s="188"/>
      <c r="B137" s="221"/>
      <c r="C137" s="221"/>
      <c r="D137" s="222"/>
      <c r="E137" s="211"/>
      <c r="F137" s="214"/>
      <c r="G137" s="216"/>
      <c r="H137" s="221"/>
      <c r="I137" s="221"/>
      <c r="J137" s="222"/>
      <c r="K137" s="211"/>
      <c r="L137" s="214"/>
      <c r="M137" s="188"/>
    </row>
    <row r="138" spans="1:13" ht="18" customHeight="1" x14ac:dyDescent="0.25">
      <c r="A138" s="188"/>
      <c r="B138" s="221"/>
      <c r="C138" s="221"/>
      <c r="D138" s="222"/>
      <c r="E138" s="211"/>
      <c r="F138" s="214"/>
      <c r="G138" s="216"/>
      <c r="H138" s="221"/>
      <c r="I138" s="221"/>
      <c r="J138" s="222"/>
      <c r="K138" s="211"/>
      <c r="L138" s="214"/>
      <c r="M138" s="188"/>
    </row>
    <row r="139" spans="1:13" ht="18" customHeight="1" x14ac:dyDescent="0.25">
      <c r="A139" s="188"/>
      <c r="B139" s="221"/>
      <c r="C139" s="221"/>
      <c r="D139" s="222"/>
      <c r="E139" s="211"/>
      <c r="F139" s="214"/>
      <c r="G139" s="216"/>
      <c r="H139" s="221"/>
      <c r="I139" s="221"/>
      <c r="J139" s="222"/>
      <c r="K139" s="211"/>
      <c r="L139" s="214"/>
      <c r="M139" s="188"/>
    </row>
    <row r="140" spans="1:13" ht="18" customHeight="1" x14ac:dyDescent="0.25">
      <c r="A140" s="188"/>
      <c r="B140" s="221"/>
      <c r="C140" s="221"/>
      <c r="D140" s="222"/>
      <c r="E140" s="211"/>
      <c r="F140" s="214"/>
      <c r="G140" s="216"/>
      <c r="H140" s="221"/>
      <c r="I140" s="221"/>
      <c r="J140" s="222"/>
      <c r="K140" s="211"/>
      <c r="L140" s="214"/>
      <c r="M140" s="188"/>
    </row>
    <row r="141" spans="1:13" ht="18" customHeight="1" x14ac:dyDescent="0.25">
      <c r="A141" s="188"/>
      <c r="B141" s="221"/>
      <c r="C141" s="221"/>
      <c r="D141" s="222"/>
      <c r="E141" s="211"/>
      <c r="F141" s="214"/>
      <c r="G141" s="216"/>
      <c r="H141" s="221"/>
      <c r="I141" s="221"/>
      <c r="J141" s="222"/>
      <c r="K141" s="211"/>
      <c r="L141" s="214"/>
      <c r="M141" s="188"/>
    </row>
    <row r="142" spans="1:13" ht="18" customHeight="1" x14ac:dyDescent="0.25">
      <c r="A142" s="188"/>
      <c r="B142" s="221"/>
      <c r="C142" s="221"/>
      <c r="D142" s="222"/>
      <c r="E142" s="211"/>
      <c r="F142" s="214"/>
      <c r="G142" s="216"/>
      <c r="H142" s="221"/>
      <c r="I142" s="221"/>
      <c r="J142" s="222"/>
      <c r="K142" s="211"/>
      <c r="L142" s="214"/>
      <c r="M142" s="188"/>
    </row>
    <row r="143" spans="1:13" ht="18" customHeight="1" x14ac:dyDescent="0.25">
      <c r="A143" s="188"/>
      <c r="B143" s="221"/>
      <c r="C143" s="221"/>
      <c r="D143" s="222"/>
      <c r="E143" s="211"/>
      <c r="F143" s="214"/>
      <c r="G143" s="216"/>
      <c r="H143" s="221"/>
      <c r="I143" s="221"/>
      <c r="J143" s="222"/>
      <c r="K143" s="211"/>
      <c r="L143" s="214"/>
      <c r="M143" s="188"/>
    </row>
    <row r="144" spans="1:13" ht="18" customHeight="1" x14ac:dyDescent="0.25">
      <c r="A144" s="188"/>
      <c r="B144" s="221"/>
      <c r="C144" s="221"/>
      <c r="D144" s="222"/>
      <c r="E144" s="211"/>
      <c r="F144" s="214"/>
      <c r="G144" s="216"/>
      <c r="H144" s="221"/>
      <c r="I144" s="221"/>
      <c r="J144" s="222"/>
      <c r="K144" s="211"/>
      <c r="L144" s="214"/>
      <c r="M144" s="188"/>
    </row>
    <row r="145" spans="1:13" ht="18" customHeight="1" x14ac:dyDescent="0.25">
      <c r="A145" s="188"/>
      <c r="B145" s="221"/>
      <c r="C145" s="221"/>
      <c r="D145" s="222"/>
      <c r="E145" s="211"/>
      <c r="F145" s="214"/>
      <c r="G145" s="216"/>
      <c r="H145" s="221"/>
      <c r="I145" s="221"/>
      <c r="J145" s="222"/>
      <c r="K145" s="211"/>
      <c r="L145" s="214"/>
      <c r="M145" s="188"/>
    </row>
    <row r="146" spans="1:13" ht="18" customHeight="1" x14ac:dyDescent="0.25">
      <c r="A146" s="188"/>
      <c r="B146" s="221"/>
      <c r="C146" s="221"/>
      <c r="D146" s="222"/>
      <c r="E146" s="211"/>
      <c r="F146" s="214"/>
      <c r="G146" s="216"/>
      <c r="H146" s="221"/>
      <c r="I146" s="221"/>
      <c r="J146" s="222"/>
      <c r="K146" s="211"/>
      <c r="L146" s="214"/>
      <c r="M146" s="188"/>
    </row>
    <row r="147" spans="1:13" ht="18" customHeight="1" x14ac:dyDescent="0.25">
      <c r="A147" s="188"/>
      <c r="B147" s="221"/>
      <c r="C147" s="221"/>
      <c r="D147" s="222"/>
      <c r="E147" s="211"/>
      <c r="F147" s="214"/>
      <c r="G147" s="216"/>
      <c r="H147" s="221"/>
      <c r="I147" s="221"/>
      <c r="J147" s="222"/>
      <c r="K147" s="211"/>
      <c r="L147" s="214"/>
      <c r="M147" s="188"/>
    </row>
    <row r="148" spans="1:13" ht="18" customHeight="1" x14ac:dyDescent="0.25">
      <c r="A148" s="188"/>
      <c r="B148" s="221"/>
      <c r="C148" s="221"/>
      <c r="D148" s="222"/>
      <c r="E148" s="211"/>
      <c r="F148" s="214"/>
      <c r="G148" s="216"/>
      <c r="H148" s="221"/>
      <c r="I148" s="221"/>
      <c r="J148" s="222"/>
      <c r="K148" s="211"/>
      <c r="L148" s="214"/>
      <c r="M148" s="188"/>
    </row>
    <row r="149" spans="1:13" ht="18" customHeight="1" x14ac:dyDescent="0.25">
      <c r="A149" s="188"/>
      <c r="B149" s="221"/>
      <c r="C149" s="221"/>
      <c r="D149" s="222"/>
      <c r="E149" s="211"/>
      <c r="F149" s="214"/>
      <c r="G149" s="216"/>
      <c r="H149" s="221"/>
      <c r="I149" s="221"/>
      <c r="J149" s="222"/>
      <c r="K149" s="211"/>
      <c r="L149" s="214"/>
      <c r="M149" s="188"/>
    </row>
    <row r="150" spans="1:13" ht="18" customHeight="1" x14ac:dyDescent="0.25">
      <c r="A150" s="188"/>
      <c r="B150" s="221"/>
      <c r="C150" s="221"/>
      <c r="D150" s="222"/>
      <c r="E150" s="211"/>
      <c r="F150" s="214"/>
      <c r="G150" s="216"/>
      <c r="H150" s="221"/>
      <c r="I150" s="221"/>
      <c r="J150" s="222"/>
      <c r="K150" s="211"/>
      <c r="L150" s="214"/>
      <c r="M150" s="188"/>
    </row>
    <row r="151" spans="1:13" ht="18" customHeight="1" x14ac:dyDescent="0.25">
      <c r="A151" s="188"/>
      <c r="B151" s="221"/>
      <c r="C151" s="221"/>
      <c r="D151" s="222"/>
      <c r="E151" s="211"/>
      <c r="F151" s="214"/>
      <c r="G151" s="216"/>
      <c r="H151" s="221"/>
      <c r="I151" s="221"/>
      <c r="J151" s="222"/>
      <c r="K151" s="211"/>
      <c r="L151" s="214"/>
      <c r="M151" s="188"/>
    </row>
    <row r="152" spans="1:13" ht="18" customHeight="1" x14ac:dyDescent="0.25">
      <c r="A152" s="188"/>
      <c r="B152" s="221"/>
      <c r="C152" s="221"/>
      <c r="D152" s="222"/>
      <c r="E152" s="211"/>
      <c r="F152" s="214"/>
      <c r="G152" s="216"/>
      <c r="H152" s="221"/>
      <c r="I152" s="221"/>
      <c r="J152" s="222"/>
      <c r="K152" s="211"/>
      <c r="L152" s="214"/>
      <c r="M152" s="188"/>
    </row>
    <row r="153" spans="1:13" ht="18" customHeight="1" x14ac:dyDescent="0.25">
      <c r="A153" s="188"/>
      <c r="B153" s="221"/>
      <c r="C153" s="221"/>
      <c r="D153" s="222"/>
      <c r="E153" s="211"/>
      <c r="F153" s="214"/>
      <c r="G153" s="216"/>
      <c r="H153" s="221"/>
      <c r="I153" s="221"/>
      <c r="J153" s="222"/>
      <c r="K153" s="211"/>
      <c r="L153" s="214"/>
      <c r="M153" s="188"/>
    </row>
    <row r="154" spans="1:13" ht="18" customHeight="1" x14ac:dyDescent="0.25">
      <c r="A154" s="188"/>
      <c r="B154" s="221"/>
      <c r="C154" s="221"/>
      <c r="D154" s="222"/>
      <c r="E154" s="211"/>
      <c r="F154" s="214"/>
      <c r="G154" s="216"/>
      <c r="H154" s="221"/>
      <c r="I154" s="221"/>
      <c r="J154" s="222"/>
      <c r="K154" s="211"/>
      <c r="L154" s="214"/>
      <c r="M154" s="188"/>
    </row>
    <row r="155" spans="1:13" ht="18" customHeight="1" x14ac:dyDescent="0.25">
      <c r="A155" s="188"/>
      <c r="B155" s="221"/>
      <c r="C155" s="221"/>
      <c r="D155" s="222"/>
      <c r="E155" s="211"/>
      <c r="F155" s="214"/>
      <c r="G155" s="216"/>
      <c r="H155" s="221"/>
      <c r="I155" s="221"/>
      <c r="J155" s="222"/>
      <c r="K155" s="211"/>
      <c r="L155" s="214"/>
      <c r="M155" s="188"/>
    </row>
    <row r="156" spans="1:13" ht="18" customHeight="1" x14ac:dyDescent="0.25">
      <c r="A156" s="188"/>
      <c r="B156" s="221"/>
      <c r="C156" s="221"/>
      <c r="D156" s="222"/>
      <c r="E156" s="211"/>
      <c r="F156" s="214"/>
      <c r="G156" s="216"/>
      <c r="H156" s="221"/>
      <c r="I156" s="221"/>
      <c r="J156" s="222"/>
      <c r="K156" s="211"/>
      <c r="L156" s="214"/>
      <c r="M156" s="188"/>
    </row>
    <row r="157" spans="1:13" ht="18" customHeight="1" x14ac:dyDescent="0.25">
      <c r="A157" s="188"/>
      <c r="B157" s="221"/>
      <c r="C157" s="221"/>
      <c r="D157" s="222"/>
      <c r="E157" s="211"/>
      <c r="F157" s="214"/>
      <c r="G157" s="216"/>
      <c r="H157" s="221"/>
      <c r="I157" s="221"/>
      <c r="J157" s="222"/>
      <c r="K157" s="211"/>
      <c r="L157" s="214"/>
      <c r="M157" s="188"/>
    </row>
    <row r="158" spans="1:13" ht="18" customHeight="1" x14ac:dyDescent="0.25">
      <c r="A158" s="188"/>
      <c r="B158" s="221"/>
      <c r="C158" s="221"/>
      <c r="D158" s="222"/>
      <c r="E158" s="211"/>
      <c r="F158" s="214"/>
      <c r="G158" s="216"/>
      <c r="H158" s="221"/>
      <c r="I158" s="221"/>
      <c r="J158" s="222"/>
      <c r="K158" s="211"/>
      <c r="L158" s="214"/>
      <c r="M158" s="188"/>
    </row>
    <row r="159" spans="1:13" ht="18" customHeight="1" x14ac:dyDescent="0.25">
      <c r="A159" s="188"/>
      <c r="B159" s="221"/>
      <c r="C159" s="221"/>
      <c r="D159" s="222"/>
      <c r="E159" s="211"/>
      <c r="F159" s="214"/>
      <c r="G159" s="216"/>
      <c r="H159" s="221"/>
      <c r="I159" s="221"/>
      <c r="J159" s="222"/>
      <c r="K159" s="211"/>
      <c r="L159" s="214"/>
      <c r="M159" s="188"/>
    </row>
    <row r="160" spans="1:13" ht="18" customHeight="1" x14ac:dyDescent="0.25">
      <c r="A160" s="188"/>
      <c r="B160" s="221"/>
      <c r="C160" s="221"/>
      <c r="D160" s="222"/>
      <c r="E160" s="211"/>
      <c r="F160" s="214"/>
      <c r="G160" s="216"/>
      <c r="H160" s="221"/>
      <c r="I160" s="221"/>
      <c r="J160" s="222"/>
      <c r="K160" s="211"/>
      <c r="L160" s="214"/>
      <c r="M160" s="188"/>
    </row>
    <row r="161" spans="1:13" ht="18" customHeight="1" x14ac:dyDescent="0.25">
      <c r="A161" s="188"/>
      <c r="B161" s="221"/>
      <c r="C161" s="221"/>
      <c r="D161" s="222"/>
      <c r="E161" s="211"/>
      <c r="F161" s="214"/>
      <c r="G161" s="216"/>
      <c r="H161" s="221"/>
      <c r="I161" s="221"/>
      <c r="J161" s="222"/>
      <c r="K161" s="211"/>
      <c r="L161" s="214"/>
      <c r="M161" s="188"/>
    </row>
    <row r="162" spans="1:13" ht="18" customHeight="1" x14ac:dyDescent="0.25">
      <c r="A162" s="188"/>
      <c r="B162" s="221"/>
      <c r="C162" s="221"/>
      <c r="D162" s="222"/>
      <c r="E162" s="211"/>
      <c r="F162" s="214"/>
      <c r="G162" s="216"/>
      <c r="H162" s="221"/>
      <c r="I162" s="221"/>
      <c r="J162" s="222"/>
      <c r="K162" s="211"/>
      <c r="L162" s="214"/>
      <c r="M162" s="188"/>
    </row>
    <row r="163" spans="1:13" ht="18" customHeight="1" x14ac:dyDescent="0.25">
      <c r="A163" s="188"/>
      <c r="B163" s="221"/>
      <c r="C163" s="221"/>
      <c r="D163" s="222"/>
      <c r="E163" s="211"/>
      <c r="F163" s="214"/>
      <c r="G163" s="216"/>
      <c r="H163" s="221"/>
      <c r="I163" s="221"/>
      <c r="J163" s="222"/>
      <c r="K163" s="211"/>
      <c r="L163" s="214"/>
      <c r="M163" s="188"/>
    </row>
    <row r="164" spans="1:13" ht="18" customHeight="1" x14ac:dyDescent="0.25">
      <c r="A164" s="188"/>
      <c r="B164" s="221"/>
      <c r="C164" s="221"/>
      <c r="D164" s="222"/>
      <c r="E164" s="211"/>
      <c r="F164" s="214"/>
      <c r="G164" s="216"/>
      <c r="H164" s="221"/>
      <c r="I164" s="221"/>
      <c r="J164" s="222"/>
      <c r="K164" s="211"/>
      <c r="L164" s="214"/>
      <c r="M164" s="188"/>
    </row>
    <row r="165" spans="1:13" ht="18" customHeight="1" x14ac:dyDescent="0.25">
      <c r="A165" s="188"/>
      <c r="B165" s="221"/>
      <c r="C165" s="221"/>
      <c r="D165" s="222"/>
      <c r="E165" s="211"/>
      <c r="F165" s="214"/>
      <c r="G165" s="216"/>
      <c r="H165" s="221"/>
      <c r="I165" s="221"/>
      <c r="J165" s="222"/>
      <c r="K165" s="211"/>
      <c r="L165" s="214"/>
      <c r="M165" s="188"/>
    </row>
    <row r="166" spans="1:13" ht="18" customHeight="1" x14ac:dyDescent="0.25">
      <c r="A166" s="188"/>
      <c r="B166" s="221"/>
      <c r="C166" s="221"/>
      <c r="D166" s="222"/>
      <c r="E166" s="211"/>
      <c r="F166" s="214"/>
      <c r="G166" s="216"/>
      <c r="H166" s="221"/>
      <c r="I166" s="221"/>
      <c r="J166" s="222"/>
      <c r="K166" s="211"/>
      <c r="L166" s="214"/>
      <c r="M166" s="188"/>
    </row>
    <row r="167" spans="1:13" ht="18" customHeight="1" x14ac:dyDescent="0.25">
      <c r="A167" s="188"/>
      <c r="B167" s="221"/>
      <c r="C167" s="221"/>
      <c r="D167" s="222"/>
      <c r="E167" s="211"/>
      <c r="F167" s="214"/>
      <c r="G167" s="216"/>
      <c r="H167" s="221"/>
      <c r="I167" s="221"/>
      <c r="J167" s="222"/>
      <c r="K167" s="211"/>
      <c r="L167" s="214"/>
      <c r="M167" s="188"/>
    </row>
    <row r="168" spans="1:13" ht="18" customHeight="1" x14ac:dyDescent="0.25">
      <c r="A168" s="188"/>
      <c r="B168" s="221"/>
      <c r="C168" s="221"/>
      <c r="D168" s="222"/>
      <c r="E168" s="211"/>
      <c r="F168" s="214"/>
      <c r="G168" s="216"/>
      <c r="H168" s="221"/>
      <c r="I168" s="221"/>
      <c r="J168" s="222"/>
      <c r="K168" s="211"/>
      <c r="L168" s="214"/>
      <c r="M168" s="188"/>
    </row>
    <row r="169" spans="1:13" ht="18" customHeight="1" x14ac:dyDescent="0.25">
      <c r="A169" s="188"/>
      <c r="B169" s="221"/>
      <c r="C169" s="221"/>
      <c r="D169" s="222"/>
      <c r="E169" s="211"/>
      <c r="F169" s="214"/>
      <c r="G169" s="216"/>
      <c r="H169" s="221"/>
      <c r="I169" s="221"/>
      <c r="J169" s="222"/>
      <c r="K169" s="211"/>
      <c r="L169" s="214"/>
      <c r="M169" s="188"/>
    </row>
    <row r="170" spans="1:13" ht="18" customHeight="1" x14ac:dyDescent="0.25">
      <c r="A170" s="188"/>
      <c r="B170" s="221"/>
      <c r="C170" s="221"/>
      <c r="D170" s="222"/>
      <c r="E170" s="211"/>
      <c r="F170" s="214"/>
      <c r="G170" s="216"/>
      <c r="H170" s="221"/>
      <c r="I170" s="221"/>
      <c r="J170" s="222"/>
      <c r="K170" s="211"/>
      <c r="L170" s="214"/>
      <c r="M170" s="188"/>
    </row>
    <row r="171" spans="1:13" ht="18" customHeight="1" x14ac:dyDescent="0.25">
      <c r="A171" s="188"/>
      <c r="B171" s="221"/>
      <c r="C171" s="221"/>
      <c r="D171" s="222"/>
      <c r="E171" s="211"/>
      <c r="F171" s="214"/>
      <c r="G171" s="216"/>
      <c r="H171" s="221"/>
      <c r="I171" s="221"/>
      <c r="J171" s="222"/>
      <c r="K171" s="211"/>
      <c r="L171" s="214"/>
      <c r="M171" s="188"/>
    </row>
    <row r="172" spans="1:13" ht="18" customHeight="1" x14ac:dyDescent="0.25">
      <c r="A172" s="188"/>
      <c r="B172" s="221"/>
      <c r="C172" s="221"/>
      <c r="D172" s="222"/>
      <c r="E172" s="211"/>
      <c r="F172" s="214"/>
      <c r="G172" s="216"/>
      <c r="H172" s="221"/>
      <c r="I172" s="221"/>
      <c r="J172" s="222"/>
      <c r="K172" s="211"/>
      <c r="L172" s="214"/>
      <c r="M172" s="188"/>
    </row>
    <row r="173" spans="1:13" ht="18" customHeight="1" x14ac:dyDescent="0.25">
      <c r="A173" s="188"/>
      <c r="B173" s="221"/>
      <c r="C173" s="221"/>
      <c r="D173" s="222"/>
      <c r="E173" s="211"/>
      <c r="F173" s="214"/>
      <c r="G173" s="216"/>
      <c r="H173" s="221"/>
      <c r="I173" s="221"/>
      <c r="J173" s="222"/>
      <c r="K173" s="211"/>
      <c r="L173" s="214"/>
      <c r="M173" s="188"/>
    </row>
    <row r="174" spans="1:13" ht="18" customHeight="1" x14ac:dyDescent="0.25">
      <c r="A174" s="188"/>
      <c r="B174" s="221"/>
      <c r="C174" s="221"/>
      <c r="D174" s="222"/>
      <c r="E174" s="211"/>
      <c r="F174" s="214"/>
      <c r="G174" s="216"/>
      <c r="H174" s="221"/>
      <c r="I174" s="221"/>
      <c r="J174" s="222"/>
      <c r="K174" s="211"/>
      <c r="L174" s="214"/>
      <c r="M174" s="188"/>
    </row>
    <row r="175" spans="1:13" ht="18" customHeight="1" x14ac:dyDescent="0.25">
      <c r="A175" s="188"/>
      <c r="B175" s="221"/>
      <c r="C175" s="221"/>
      <c r="D175" s="222"/>
      <c r="E175" s="211"/>
      <c r="F175" s="214"/>
      <c r="G175" s="216"/>
      <c r="H175" s="221"/>
      <c r="I175" s="221"/>
      <c r="J175" s="222"/>
      <c r="K175" s="211"/>
      <c r="L175" s="214"/>
      <c r="M175" s="188"/>
    </row>
    <row r="176" spans="1:13" ht="18" customHeight="1" x14ac:dyDescent="0.25">
      <c r="A176" s="188"/>
      <c r="B176" s="221"/>
      <c r="C176" s="221"/>
      <c r="D176" s="222"/>
      <c r="E176" s="211"/>
      <c r="F176" s="214"/>
      <c r="G176" s="216"/>
      <c r="H176" s="221"/>
      <c r="I176" s="221"/>
      <c r="J176" s="222"/>
      <c r="K176" s="211"/>
      <c r="L176" s="214"/>
      <c r="M176" s="188"/>
    </row>
    <row r="177" spans="1:13" ht="18" customHeight="1" x14ac:dyDescent="0.25">
      <c r="A177" s="188"/>
      <c r="B177" s="221"/>
      <c r="C177" s="221"/>
      <c r="D177" s="222"/>
      <c r="E177" s="211"/>
      <c r="F177" s="214"/>
      <c r="G177" s="216"/>
      <c r="H177" s="221"/>
      <c r="I177" s="221"/>
      <c r="J177" s="222"/>
      <c r="K177" s="211"/>
      <c r="L177" s="214"/>
      <c r="M177" s="188"/>
    </row>
    <row r="178" spans="1:13" ht="18" customHeight="1" x14ac:dyDescent="0.25">
      <c r="A178" s="188"/>
      <c r="B178" s="221"/>
      <c r="C178" s="221"/>
      <c r="D178" s="222"/>
      <c r="E178" s="211"/>
      <c r="F178" s="214"/>
      <c r="G178" s="216"/>
      <c r="H178" s="221"/>
      <c r="I178" s="221"/>
      <c r="J178" s="222"/>
      <c r="K178" s="211"/>
      <c r="L178" s="214"/>
      <c r="M178" s="188"/>
    </row>
    <row r="179" spans="1:13" ht="18" customHeight="1" x14ac:dyDescent="0.25">
      <c r="A179" s="188"/>
      <c r="B179" s="221"/>
      <c r="C179" s="221"/>
      <c r="D179" s="222"/>
      <c r="E179" s="211"/>
      <c r="F179" s="214"/>
      <c r="G179" s="216"/>
      <c r="H179" s="221"/>
      <c r="I179" s="221"/>
      <c r="J179" s="222"/>
      <c r="K179" s="211"/>
      <c r="L179" s="214"/>
      <c r="M179" s="188"/>
    </row>
    <row r="180" spans="1:13" ht="18" customHeight="1" x14ac:dyDescent="0.25">
      <c r="A180" s="188"/>
      <c r="B180" s="221"/>
      <c r="C180" s="221"/>
      <c r="D180" s="222"/>
      <c r="E180" s="211"/>
      <c r="F180" s="214"/>
      <c r="G180" s="216"/>
      <c r="H180" s="221"/>
      <c r="I180" s="221"/>
      <c r="J180" s="222"/>
      <c r="K180" s="211"/>
      <c r="L180" s="214"/>
      <c r="M180" s="188"/>
    </row>
    <row r="181" spans="1:13" ht="18" customHeight="1" x14ac:dyDescent="0.25">
      <c r="A181" s="188"/>
      <c r="B181" s="221"/>
      <c r="C181" s="221"/>
      <c r="D181" s="222"/>
      <c r="E181" s="211"/>
      <c r="F181" s="214"/>
      <c r="G181" s="216"/>
      <c r="H181" s="221"/>
      <c r="I181" s="221"/>
      <c r="J181" s="222"/>
      <c r="K181" s="211"/>
      <c r="L181" s="214"/>
      <c r="M181" s="188"/>
    </row>
    <row r="182" spans="1:13" ht="18" customHeight="1" x14ac:dyDescent="0.25">
      <c r="A182" s="188"/>
      <c r="B182" s="221"/>
      <c r="C182" s="221"/>
      <c r="D182" s="222"/>
      <c r="E182" s="211"/>
      <c r="F182" s="214"/>
      <c r="G182" s="216"/>
      <c r="H182" s="221"/>
      <c r="I182" s="221"/>
      <c r="J182" s="222"/>
      <c r="K182" s="211"/>
      <c r="L182" s="214"/>
      <c r="M182" s="188"/>
    </row>
    <row r="183" spans="1:13" ht="18" customHeight="1" x14ac:dyDescent="0.25">
      <c r="A183" s="188"/>
      <c r="B183" s="221"/>
      <c r="C183" s="221"/>
      <c r="D183" s="222"/>
      <c r="E183" s="211"/>
      <c r="F183" s="214"/>
      <c r="G183" s="216"/>
      <c r="H183" s="221"/>
      <c r="I183" s="221"/>
      <c r="J183" s="222"/>
      <c r="K183" s="211"/>
      <c r="L183" s="214"/>
      <c r="M183" s="188"/>
    </row>
    <row r="184" spans="1:13" ht="18" customHeight="1" x14ac:dyDescent="0.25">
      <c r="A184" s="188"/>
      <c r="B184" s="221"/>
      <c r="C184" s="221"/>
      <c r="D184" s="222"/>
      <c r="E184" s="211"/>
      <c r="F184" s="214"/>
      <c r="G184" s="216"/>
      <c r="H184" s="221"/>
      <c r="I184" s="221"/>
      <c r="J184" s="222"/>
      <c r="K184" s="211"/>
      <c r="L184" s="214"/>
      <c r="M184" s="188"/>
    </row>
    <row r="185" spans="1:13" ht="18" customHeight="1" x14ac:dyDescent="0.25">
      <c r="A185" s="188"/>
      <c r="B185" s="221"/>
      <c r="C185" s="221"/>
      <c r="D185" s="222"/>
      <c r="E185" s="211"/>
      <c r="F185" s="214"/>
      <c r="G185" s="216"/>
      <c r="H185" s="221"/>
      <c r="I185" s="221"/>
      <c r="J185" s="222"/>
      <c r="K185" s="211"/>
      <c r="L185" s="214"/>
      <c r="M185" s="188"/>
    </row>
    <row r="186" spans="1:13" ht="18" customHeight="1" x14ac:dyDescent="0.25">
      <c r="A186" s="188"/>
      <c r="B186" s="221"/>
      <c r="C186" s="221"/>
      <c r="D186" s="222"/>
      <c r="E186" s="211"/>
      <c r="F186" s="214"/>
      <c r="G186" s="216"/>
      <c r="H186" s="221"/>
      <c r="I186" s="221"/>
      <c r="J186" s="222"/>
      <c r="K186" s="211"/>
      <c r="L186" s="214"/>
      <c r="M186" s="188"/>
    </row>
    <row r="187" spans="1:13" ht="18" customHeight="1" x14ac:dyDescent="0.25">
      <c r="A187" s="188"/>
      <c r="B187" s="221"/>
      <c r="C187" s="221"/>
      <c r="D187" s="222"/>
      <c r="E187" s="211"/>
      <c r="F187" s="214"/>
      <c r="G187" s="216"/>
      <c r="H187" s="221"/>
      <c r="I187" s="221"/>
      <c r="J187" s="222"/>
      <c r="K187" s="211"/>
      <c r="L187" s="214"/>
      <c r="M187" s="188"/>
    </row>
    <row r="188" spans="1:13" ht="18" customHeight="1" x14ac:dyDescent="0.25">
      <c r="A188" s="188"/>
      <c r="B188" s="221"/>
      <c r="C188" s="221"/>
      <c r="D188" s="222"/>
      <c r="E188" s="211"/>
      <c r="F188" s="214"/>
      <c r="G188" s="216"/>
      <c r="H188" s="221"/>
      <c r="I188" s="221"/>
      <c r="J188" s="222"/>
      <c r="K188" s="211"/>
      <c r="L188" s="214"/>
      <c r="M188" s="188"/>
    </row>
    <row r="189" spans="1:13" ht="18" customHeight="1" x14ac:dyDescent="0.25">
      <c r="A189" s="188"/>
      <c r="B189" s="221"/>
      <c r="C189" s="221"/>
      <c r="D189" s="222"/>
      <c r="E189" s="211"/>
      <c r="F189" s="214"/>
      <c r="G189" s="216"/>
      <c r="H189" s="221"/>
      <c r="I189" s="221"/>
      <c r="J189" s="222"/>
      <c r="K189" s="211"/>
      <c r="L189" s="214"/>
      <c r="M189" s="188"/>
    </row>
    <row r="190" spans="1:13" ht="18" customHeight="1" x14ac:dyDescent="0.25">
      <c r="A190" s="188"/>
      <c r="B190" s="221"/>
      <c r="C190" s="221"/>
      <c r="D190" s="222"/>
      <c r="E190" s="211"/>
      <c r="F190" s="214"/>
      <c r="G190" s="216"/>
      <c r="H190" s="221"/>
      <c r="I190" s="221"/>
      <c r="J190" s="222"/>
      <c r="K190" s="211"/>
      <c r="L190" s="214"/>
      <c r="M190" s="188"/>
    </row>
    <row r="191" spans="1:13" ht="18" customHeight="1" x14ac:dyDescent="0.25">
      <c r="A191" s="188"/>
      <c r="B191" s="221"/>
      <c r="C191" s="221"/>
      <c r="D191" s="222"/>
      <c r="E191" s="211"/>
      <c r="F191" s="214"/>
      <c r="G191" s="216"/>
      <c r="H191" s="221"/>
      <c r="I191" s="221"/>
      <c r="J191" s="222"/>
      <c r="K191" s="211"/>
      <c r="L191" s="214"/>
      <c r="M191" s="188"/>
    </row>
    <row r="192" spans="1:13" ht="18" customHeight="1" x14ac:dyDescent="0.25">
      <c r="A192" s="188"/>
      <c r="B192" s="221"/>
      <c r="C192" s="221"/>
      <c r="D192" s="222"/>
      <c r="E192" s="211"/>
      <c r="F192" s="214"/>
      <c r="G192" s="216"/>
      <c r="H192" s="221"/>
      <c r="I192" s="221"/>
      <c r="J192" s="222"/>
      <c r="K192" s="211"/>
      <c r="L192" s="214"/>
      <c r="M192" s="188"/>
    </row>
    <row r="193" spans="1:13" ht="18" customHeight="1" x14ac:dyDescent="0.25">
      <c r="A193" s="188"/>
      <c r="B193" s="221"/>
      <c r="C193" s="221"/>
      <c r="D193" s="222"/>
      <c r="E193" s="211"/>
      <c r="F193" s="214"/>
      <c r="G193" s="216"/>
      <c r="H193" s="221"/>
      <c r="I193" s="221"/>
      <c r="J193" s="222"/>
      <c r="K193" s="211"/>
      <c r="L193" s="214"/>
      <c r="M193" s="188"/>
    </row>
    <row r="194" spans="1:13" ht="18" customHeight="1" x14ac:dyDescent="0.25">
      <c r="A194" s="188"/>
      <c r="B194" s="221"/>
      <c r="C194" s="221"/>
      <c r="D194" s="222"/>
      <c r="E194" s="211"/>
      <c r="F194" s="214"/>
      <c r="G194" s="216"/>
      <c r="H194" s="221"/>
      <c r="I194" s="221"/>
      <c r="J194" s="222"/>
      <c r="K194" s="211"/>
      <c r="L194" s="214"/>
      <c r="M194" s="188"/>
    </row>
    <row r="195" spans="1:13" ht="18" customHeight="1" x14ac:dyDescent="0.25">
      <c r="A195" s="188"/>
      <c r="B195" s="221"/>
      <c r="C195" s="221"/>
      <c r="D195" s="222"/>
      <c r="E195" s="211"/>
      <c r="F195" s="214"/>
      <c r="G195" s="216"/>
      <c r="H195" s="221"/>
      <c r="I195" s="221"/>
      <c r="J195" s="222"/>
      <c r="K195" s="211"/>
      <c r="L195" s="214"/>
      <c r="M195" s="188"/>
    </row>
    <row r="196" spans="1:13" ht="18" customHeight="1" x14ac:dyDescent="0.25">
      <c r="A196" s="188"/>
      <c r="B196" s="221"/>
      <c r="C196" s="221"/>
      <c r="D196" s="222"/>
      <c r="E196" s="211"/>
      <c r="F196" s="214"/>
      <c r="G196" s="216"/>
      <c r="H196" s="221"/>
      <c r="I196" s="221"/>
      <c r="J196" s="222"/>
      <c r="K196" s="211"/>
      <c r="L196" s="214"/>
      <c r="M196" s="188"/>
    </row>
    <row r="197" spans="1:13" ht="18" customHeight="1" x14ac:dyDescent="0.25">
      <c r="A197" s="188"/>
      <c r="B197" s="221"/>
      <c r="C197" s="221"/>
      <c r="D197" s="222"/>
      <c r="E197" s="211"/>
      <c r="F197" s="214"/>
      <c r="G197" s="216"/>
      <c r="H197" s="221"/>
      <c r="I197" s="221"/>
      <c r="J197" s="222"/>
      <c r="K197" s="211"/>
      <c r="L197" s="214"/>
      <c r="M197" s="188"/>
    </row>
    <row r="198" spans="1:13" ht="18" customHeight="1" x14ac:dyDescent="0.25">
      <c r="A198" s="188"/>
      <c r="B198" s="221"/>
      <c r="C198" s="221"/>
      <c r="D198" s="222"/>
      <c r="E198" s="211"/>
      <c r="F198" s="214"/>
      <c r="G198" s="216"/>
      <c r="H198" s="221"/>
      <c r="I198" s="221"/>
      <c r="J198" s="222"/>
      <c r="K198" s="211"/>
      <c r="L198" s="214"/>
      <c r="M198" s="188"/>
    </row>
    <row r="199" spans="1:13" ht="18" customHeight="1" x14ac:dyDescent="0.25">
      <c r="A199" s="188"/>
      <c r="B199" s="221"/>
      <c r="C199" s="221"/>
      <c r="D199" s="222"/>
      <c r="E199" s="211"/>
      <c r="F199" s="214"/>
      <c r="G199" s="216"/>
      <c r="H199" s="221"/>
      <c r="I199" s="221"/>
      <c r="J199" s="222"/>
      <c r="K199" s="211"/>
      <c r="L199" s="214"/>
      <c r="M199" s="188"/>
    </row>
    <row r="200" spans="1:13" ht="18" customHeight="1" x14ac:dyDescent="0.25">
      <c r="A200" s="188"/>
      <c r="B200" s="221"/>
      <c r="C200" s="221"/>
      <c r="D200" s="222"/>
      <c r="E200" s="211"/>
      <c r="F200" s="214"/>
      <c r="G200" s="216"/>
      <c r="H200" s="221"/>
      <c r="I200" s="221"/>
      <c r="J200" s="222"/>
      <c r="K200" s="211"/>
      <c r="L200" s="214"/>
      <c r="M200" s="188"/>
    </row>
    <row r="201" spans="1:13" ht="18" customHeight="1" x14ac:dyDescent="0.25">
      <c r="A201" s="188"/>
      <c r="B201" s="221"/>
      <c r="C201" s="221"/>
      <c r="D201" s="222"/>
      <c r="E201" s="211"/>
      <c r="F201" s="214"/>
      <c r="G201" s="216"/>
      <c r="H201" s="221"/>
      <c r="I201" s="221"/>
      <c r="J201" s="222"/>
      <c r="K201" s="211"/>
      <c r="L201" s="214"/>
      <c r="M201" s="188"/>
    </row>
    <row r="202" spans="1:13" ht="18" customHeight="1" x14ac:dyDescent="0.25">
      <c r="A202" s="188"/>
      <c r="B202" s="221"/>
      <c r="C202" s="221"/>
      <c r="D202" s="222"/>
      <c r="E202" s="211"/>
      <c r="F202" s="214"/>
      <c r="G202" s="216"/>
      <c r="H202" s="221"/>
      <c r="I202" s="221"/>
      <c r="J202" s="222"/>
      <c r="K202" s="211"/>
      <c r="L202" s="214"/>
      <c r="M202" s="188"/>
    </row>
    <row r="203" spans="1:13" ht="18" customHeight="1" x14ac:dyDescent="0.25">
      <c r="A203" s="188"/>
      <c r="B203" s="221"/>
      <c r="C203" s="221"/>
      <c r="D203" s="222"/>
      <c r="E203" s="211"/>
      <c r="F203" s="214"/>
      <c r="G203" s="216"/>
      <c r="H203" s="221"/>
      <c r="I203" s="221"/>
      <c r="J203" s="222"/>
      <c r="K203" s="211"/>
      <c r="L203" s="214"/>
      <c r="M203" s="188"/>
    </row>
    <row r="204" spans="1:13" ht="18" customHeight="1" x14ac:dyDescent="0.25">
      <c r="A204" s="188"/>
      <c r="B204" s="221"/>
      <c r="C204" s="221"/>
      <c r="D204" s="222"/>
      <c r="E204" s="211"/>
      <c r="F204" s="214"/>
      <c r="G204" s="216"/>
      <c r="H204" s="221"/>
      <c r="I204" s="221"/>
      <c r="J204" s="222"/>
      <c r="K204" s="211"/>
      <c r="L204" s="214"/>
      <c r="M204" s="188"/>
    </row>
    <row r="205" spans="1:13" ht="18" customHeight="1" x14ac:dyDescent="0.25">
      <c r="A205" s="188"/>
      <c r="B205" s="221"/>
      <c r="C205" s="221"/>
      <c r="D205" s="222"/>
      <c r="E205" s="211"/>
      <c r="F205" s="214"/>
      <c r="G205" s="216"/>
      <c r="H205" s="221"/>
      <c r="I205" s="221"/>
      <c r="J205" s="222"/>
      <c r="K205" s="211"/>
      <c r="L205" s="214"/>
      <c r="M205" s="188"/>
    </row>
    <row r="206" spans="1:13" ht="18" customHeight="1" x14ac:dyDescent="0.25">
      <c r="A206" s="188"/>
      <c r="B206" s="221"/>
      <c r="C206" s="221"/>
      <c r="D206" s="222"/>
      <c r="E206" s="211"/>
      <c r="F206" s="214"/>
      <c r="G206" s="216"/>
      <c r="H206" s="221"/>
      <c r="I206" s="221"/>
      <c r="J206" s="222"/>
      <c r="K206" s="211"/>
      <c r="L206" s="214"/>
      <c r="M206" s="188"/>
    </row>
    <row r="207" spans="1:13" ht="18" customHeight="1" x14ac:dyDescent="0.25">
      <c r="A207" s="188"/>
      <c r="B207" s="221"/>
      <c r="C207" s="221"/>
      <c r="D207" s="222"/>
      <c r="E207" s="211"/>
      <c r="F207" s="214"/>
      <c r="G207" s="216"/>
      <c r="H207" s="221"/>
      <c r="I207" s="221"/>
      <c r="J207" s="222"/>
      <c r="K207" s="211"/>
      <c r="L207" s="214"/>
      <c r="M207" s="188"/>
    </row>
    <row r="208" spans="1:13" ht="18" customHeight="1" x14ac:dyDescent="0.25">
      <c r="A208" s="188"/>
      <c r="B208" s="221"/>
      <c r="C208" s="221"/>
      <c r="D208" s="222"/>
      <c r="E208" s="211"/>
      <c r="F208" s="214"/>
      <c r="G208" s="216"/>
      <c r="H208" s="221"/>
      <c r="I208" s="221"/>
      <c r="J208" s="222"/>
      <c r="K208" s="211"/>
      <c r="L208" s="214"/>
      <c r="M208" s="188"/>
    </row>
    <row r="209" spans="1:13" ht="18" customHeight="1" x14ac:dyDescent="0.25">
      <c r="A209" s="188"/>
      <c r="B209" s="221"/>
      <c r="C209" s="221"/>
      <c r="D209" s="222"/>
      <c r="E209" s="211"/>
      <c r="F209" s="214"/>
      <c r="G209" s="216"/>
      <c r="H209" s="221"/>
      <c r="I209" s="221"/>
      <c r="J209" s="222"/>
      <c r="K209" s="211"/>
      <c r="L209" s="214"/>
      <c r="M209" s="188"/>
    </row>
    <row r="210" spans="1:13" ht="18" customHeight="1" x14ac:dyDescent="0.25">
      <c r="A210" s="188"/>
      <c r="B210" s="221"/>
      <c r="C210" s="221"/>
      <c r="D210" s="222"/>
      <c r="E210" s="211"/>
      <c r="F210" s="214"/>
      <c r="G210" s="216"/>
      <c r="H210" s="221"/>
      <c r="I210" s="221"/>
      <c r="J210" s="222"/>
      <c r="K210" s="211"/>
      <c r="L210" s="214"/>
      <c r="M210" s="188"/>
    </row>
    <row r="211" spans="1:13" ht="18" customHeight="1" x14ac:dyDescent="0.25">
      <c r="A211" s="188"/>
      <c r="B211" s="221"/>
      <c r="C211" s="221"/>
      <c r="D211" s="222"/>
      <c r="E211" s="211"/>
      <c r="F211" s="214"/>
      <c r="G211" s="216"/>
      <c r="H211" s="221"/>
      <c r="I211" s="221"/>
      <c r="J211" s="222"/>
      <c r="K211" s="211"/>
      <c r="L211" s="214"/>
      <c r="M211" s="188"/>
    </row>
    <row r="212" spans="1:13" ht="18" customHeight="1" x14ac:dyDescent="0.25">
      <c r="A212" s="188"/>
      <c r="B212" s="221"/>
      <c r="C212" s="221"/>
      <c r="D212" s="222"/>
      <c r="E212" s="211"/>
      <c r="F212" s="214"/>
      <c r="G212" s="216"/>
      <c r="H212" s="221"/>
      <c r="I212" s="221"/>
      <c r="J212" s="222"/>
      <c r="K212" s="211"/>
      <c r="L212" s="214"/>
      <c r="M212" s="188"/>
    </row>
    <row r="213" spans="1:13" ht="18" customHeight="1" x14ac:dyDescent="0.25">
      <c r="A213" s="188"/>
      <c r="B213" s="221"/>
      <c r="C213" s="221"/>
      <c r="D213" s="222"/>
      <c r="E213" s="211"/>
      <c r="F213" s="214"/>
      <c r="G213" s="216"/>
      <c r="H213" s="221"/>
      <c r="I213" s="221"/>
      <c r="J213" s="222"/>
      <c r="K213" s="211"/>
      <c r="L213" s="214"/>
      <c r="M213" s="188"/>
    </row>
    <row r="214" spans="1:13" ht="18" customHeight="1" x14ac:dyDescent="0.25">
      <c r="A214" s="188"/>
      <c r="B214" s="221"/>
      <c r="C214" s="221"/>
      <c r="D214" s="222"/>
      <c r="E214" s="211"/>
      <c r="F214" s="214"/>
      <c r="G214" s="216"/>
      <c r="H214" s="221"/>
      <c r="I214" s="221"/>
      <c r="J214" s="222"/>
      <c r="K214" s="211"/>
      <c r="L214" s="214"/>
      <c r="M214" s="188"/>
    </row>
    <row r="215" spans="1:13" ht="18" customHeight="1" x14ac:dyDescent="0.25">
      <c r="A215" s="188"/>
      <c r="B215" s="221"/>
      <c r="C215" s="221"/>
      <c r="D215" s="222"/>
      <c r="E215" s="211"/>
      <c r="F215" s="214"/>
      <c r="G215" s="216"/>
      <c r="H215" s="221"/>
      <c r="I215" s="221"/>
      <c r="J215" s="222"/>
      <c r="K215" s="211"/>
      <c r="L215" s="214"/>
      <c r="M215" s="188"/>
    </row>
    <row r="216" spans="1:13" ht="18" customHeight="1" x14ac:dyDescent="0.25">
      <c r="A216" s="188"/>
      <c r="B216" s="221"/>
      <c r="C216" s="221"/>
      <c r="D216" s="222"/>
      <c r="E216" s="211"/>
      <c r="F216" s="214"/>
      <c r="G216" s="216"/>
      <c r="H216" s="221"/>
      <c r="I216" s="221"/>
      <c r="J216" s="222"/>
      <c r="K216" s="211"/>
      <c r="L216" s="214"/>
      <c r="M216" s="188"/>
    </row>
    <row r="217" spans="1:13" ht="18" customHeight="1" x14ac:dyDescent="0.25">
      <c r="A217" s="188"/>
      <c r="B217" s="221"/>
      <c r="C217" s="221"/>
      <c r="D217" s="222"/>
      <c r="E217" s="211"/>
      <c r="F217" s="214"/>
      <c r="G217" s="216"/>
      <c r="H217" s="221"/>
      <c r="I217" s="221"/>
      <c r="J217" s="222"/>
      <c r="K217" s="211"/>
      <c r="L217" s="214"/>
      <c r="M217" s="188"/>
    </row>
    <row r="218" spans="1:13" ht="18" customHeight="1" x14ac:dyDescent="0.25">
      <c r="A218" s="188"/>
      <c r="B218" s="221"/>
      <c r="C218" s="221"/>
      <c r="D218" s="222"/>
      <c r="E218" s="211"/>
      <c r="F218" s="214"/>
      <c r="G218" s="216"/>
      <c r="H218" s="221"/>
      <c r="I218" s="221"/>
      <c r="J218" s="222"/>
      <c r="K218" s="211"/>
      <c r="L218" s="214"/>
      <c r="M218" s="188"/>
    </row>
    <row r="219" spans="1:13" ht="18" customHeight="1" x14ac:dyDescent="0.25">
      <c r="A219" s="188"/>
      <c r="B219" s="221"/>
      <c r="C219" s="221"/>
      <c r="D219" s="222"/>
      <c r="E219" s="211"/>
      <c r="F219" s="214"/>
      <c r="G219" s="216"/>
      <c r="H219" s="221"/>
      <c r="I219" s="221"/>
      <c r="J219" s="222"/>
      <c r="K219" s="211"/>
      <c r="L219" s="214"/>
      <c r="M219" s="188"/>
    </row>
    <row r="220" spans="1:13" ht="18" customHeight="1" x14ac:dyDescent="0.25">
      <c r="A220" s="188"/>
      <c r="B220" s="221"/>
      <c r="C220" s="221"/>
      <c r="D220" s="222"/>
      <c r="E220" s="211"/>
      <c r="F220" s="214"/>
      <c r="G220" s="216"/>
      <c r="H220" s="221"/>
      <c r="I220" s="221"/>
      <c r="J220" s="222"/>
      <c r="K220" s="211"/>
      <c r="L220" s="214"/>
      <c r="M220" s="188"/>
    </row>
    <row r="221" spans="1:13" ht="18" customHeight="1" x14ac:dyDescent="0.25">
      <c r="A221" s="188"/>
      <c r="B221" s="221"/>
      <c r="C221" s="221"/>
      <c r="D221" s="222"/>
      <c r="E221" s="211"/>
      <c r="F221" s="214"/>
      <c r="G221" s="216"/>
      <c r="H221" s="221"/>
      <c r="I221" s="221"/>
      <c r="J221" s="222"/>
      <c r="K221" s="211"/>
      <c r="L221" s="214"/>
      <c r="M221" s="188"/>
    </row>
    <row r="222" spans="1:13" ht="18" customHeight="1" x14ac:dyDescent="0.25">
      <c r="A222" s="188"/>
      <c r="B222" s="221"/>
      <c r="C222" s="221"/>
      <c r="D222" s="222"/>
      <c r="E222" s="211"/>
      <c r="F222" s="214"/>
      <c r="G222" s="216"/>
      <c r="H222" s="221"/>
      <c r="I222" s="221"/>
      <c r="J222" s="222"/>
      <c r="K222" s="211"/>
      <c r="L222" s="214"/>
      <c r="M222" s="188"/>
    </row>
    <row r="223" spans="1:13" ht="18" customHeight="1" x14ac:dyDescent="0.25">
      <c r="A223" s="188"/>
      <c r="B223" s="221"/>
      <c r="C223" s="221"/>
      <c r="D223" s="222"/>
      <c r="E223" s="211"/>
      <c r="F223" s="214"/>
      <c r="G223" s="216"/>
      <c r="H223" s="221"/>
      <c r="I223" s="221"/>
      <c r="J223" s="222"/>
      <c r="K223" s="211"/>
      <c r="L223" s="214"/>
      <c r="M223" s="188"/>
    </row>
    <row r="224" spans="1:13" ht="18" customHeight="1" x14ac:dyDescent="0.25">
      <c r="A224" s="188"/>
      <c r="B224" s="221"/>
      <c r="C224" s="221"/>
      <c r="D224" s="222"/>
      <c r="E224" s="211"/>
      <c r="F224" s="214"/>
      <c r="G224" s="216"/>
      <c r="H224" s="221"/>
      <c r="I224" s="221"/>
      <c r="J224" s="222"/>
      <c r="K224" s="211"/>
      <c r="L224" s="214"/>
      <c r="M224" s="188"/>
    </row>
    <row r="225" spans="1:13" ht="18" customHeight="1" x14ac:dyDescent="0.25">
      <c r="A225" s="188"/>
      <c r="B225" s="221"/>
      <c r="C225" s="221"/>
      <c r="D225" s="222"/>
      <c r="E225" s="211"/>
      <c r="F225" s="214"/>
      <c r="G225" s="216"/>
      <c r="H225" s="221"/>
      <c r="I225" s="221"/>
      <c r="J225" s="222"/>
      <c r="K225" s="211"/>
      <c r="L225" s="214"/>
      <c r="M225" s="188"/>
    </row>
    <row r="226" spans="1:13" ht="18" customHeight="1" x14ac:dyDescent="0.25">
      <c r="A226" s="188"/>
      <c r="B226" s="221"/>
      <c r="C226" s="221"/>
      <c r="D226" s="222"/>
      <c r="E226" s="211"/>
      <c r="F226" s="214"/>
      <c r="G226" s="216"/>
      <c r="H226" s="221"/>
      <c r="I226" s="221"/>
      <c r="J226" s="222"/>
      <c r="K226" s="211"/>
      <c r="L226" s="214"/>
      <c r="M226" s="188"/>
    </row>
    <row r="227" spans="1:13" ht="18" customHeight="1" x14ac:dyDescent="0.25">
      <c r="A227" s="188"/>
      <c r="B227" s="221"/>
      <c r="C227" s="221"/>
      <c r="D227" s="222"/>
      <c r="E227" s="211"/>
      <c r="F227" s="214"/>
      <c r="G227" s="216"/>
      <c r="H227" s="221"/>
      <c r="I227" s="221"/>
      <c r="J227" s="222"/>
      <c r="K227" s="211"/>
      <c r="L227" s="214"/>
      <c r="M227" s="188"/>
    </row>
    <row r="228" spans="1:13" ht="18" customHeight="1" x14ac:dyDescent="0.25">
      <c r="A228" s="188"/>
      <c r="B228" s="221"/>
      <c r="C228" s="221"/>
      <c r="D228" s="222"/>
      <c r="E228" s="211"/>
      <c r="F228" s="214"/>
      <c r="G228" s="216"/>
      <c r="H228" s="221"/>
      <c r="I228" s="221"/>
      <c r="J228" s="222"/>
      <c r="K228" s="211"/>
      <c r="L228" s="214"/>
      <c r="M228" s="188"/>
    </row>
    <row r="229" spans="1:13" ht="18" customHeight="1" x14ac:dyDescent="0.25">
      <c r="A229" s="188"/>
      <c r="B229" s="221"/>
      <c r="C229" s="221"/>
      <c r="D229" s="222"/>
      <c r="E229" s="211"/>
      <c r="F229" s="214"/>
      <c r="G229" s="216"/>
      <c r="H229" s="221"/>
      <c r="I229" s="221"/>
      <c r="J229" s="222"/>
      <c r="K229" s="211"/>
      <c r="L229" s="214"/>
      <c r="M229" s="188"/>
    </row>
    <row r="230" spans="1:13" ht="18" customHeight="1" x14ac:dyDescent="0.25">
      <c r="A230" s="188"/>
      <c r="B230" s="221"/>
      <c r="C230" s="221"/>
      <c r="D230" s="222"/>
      <c r="E230" s="211"/>
      <c r="F230" s="214"/>
      <c r="G230" s="216"/>
      <c r="H230" s="221"/>
      <c r="I230" s="221"/>
      <c r="J230" s="222"/>
      <c r="K230" s="211"/>
      <c r="L230" s="214"/>
      <c r="M230" s="188"/>
    </row>
    <row r="231" spans="1:13" ht="18" customHeight="1" x14ac:dyDescent="0.25">
      <c r="A231" s="188"/>
      <c r="B231" s="221"/>
      <c r="C231" s="221"/>
      <c r="D231" s="222"/>
      <c r="E231" s="211"/>
      <c r="F231" s="214"/>
      <c r="G231" s="216"/>
      <c r="H231" s="221"/>
      <c r="I231" s="221"/>
      <c r="J231" s="222"/>
      <c r="K231" s="211"/>
      <c r="L231" s="214"/>
      <c r="M231" s="188"/>
    </row>
    <row r="232" spans="1:13" ht="18" customHeight="1" x14ac:dyDescent="0.25">
      <c r="A232" s="188"/>
      <c r="B232" s="221"/>
      <c r="C232" s="221"/>
      <c r="D232" s="222"/>
      <c r="E232" s="211"/>
      <c r="F232" s="214"/>
      <c r="G232" s="216"/>
      <c r="H232" s="221"/>
      <c r="I232" s="221"/>
      <c r="J232" s="222"/>
      <c r="K232" s="211"/>
      <c r="L232" s="214"/>
      <c r="M232" s="188"/>
    </row>
    <row r="233" spans="1:13" ht="18" customHeight="1" x14ac:dyDescent="0.25">
      <c r="A233" s="188"/>
      <c r="B233" s="221"/>
      <c r="C233" s="221"/>
      <c r="D233" s="222"/>
      <c r="E233" s="211"/>
      <c r="F233" s="214"/>
      <c r="G233" s="216"/>
      <c r="H233" s="221"/>
      <c r="I233" s="221"/>
      <c r="J233" s="222"/>
      <c r="K233" s="211"/>
      <c r="L233" s="214"/>
      <c r="M233" s="188"/>
    </row>
    <row r="234" spans="1:13" ht="18" customHeight="1" x14ac:dyDescent="0.25">
      <c r="A234" s="188"/>
      <c r="B234" s="221"/>
      <c r="C234" s="221"/>
      <c r="D234" s="222"/>
      <c r="E234" s="211"/>
      <c r="F234" s="214"/>
      <c r="G234" s="216"/>
      <c r="H234" s="221"/>
      <c r="I234" s="221"/>
      <c r="J234" s="222"/>
      <c r="K234" s="211"/>
      <c r="L234" s="214"/>
      <c r="M234" s="188"/>
    </row>
    <row r="235" spans="1:13" ht="18" customHeight="1" x14ac:dyDescent="0.25">
      <c r="A235" s="188"/>
      <c r="B235" s="221"/>
      <c r="C235" s="221"/>
      <c r="D235" s="222"/>
      <c r="E235" s="211"/>
      <c r="F235" s="214"/>
      <c r="G235" s="216"/>
      <c r="H235" s="221"/>
      <c r="I235" s="221"/>
      <c r="J235" s="222"/>
      <c r="K235" s="211"/>
      <c r="L235" s="214"/>
      <c r="M235" s="188"/>
    </row>
    <row r="236" spans="1:13" ht="18" customHeight="1" x14ac:dyDescent="0.25">
      <c r="A236" s="188"/>
      <c r="B236" s="221"/>
      <c r="C236" s="221"/>
      <c r="D236" s="222"/>
      <c r="E236" s="211"/>
      <c r="F236" s="214"/>
      <c r="G236" s="216"/>
      <c r="H236" s="221"/>
      <c r="I236" s="221"/>
      <c r="J236" s="222"/>
      <c r="K236" s="211"/>
      <c r="L236" s="214"/>
      <c r="M236" s="188"/>
    </row>
    <row r="237" spans="1:13" ht="18" customHeight="1" x14ac:dyDescent="0.25">
      <c r="A237" s="188"/>
      <c r="B237" s="221"/>
      <c r="C237" s="221"/>
      <c r="D237" s="222"/>
      <c r="E237" s="211"/>
      <c r="F237" s="214"/>
      <c r="G237" s="216"/>
      <c r="H237" s="221"/>
      <c r="I237" s="221"/>
      <c r="J237" s="222"/>
      <c r="K237" s="211"/>
      <c r="L237" s="214"/>
      <c r="M237" s="188"/>
    </row>
    <row r="238" spans="1:13" ht="18" customHeight="1" x14ac:dyDescent="0.25">
      <c r="A238" s="188"/>
      <c r="B238" s="221"/>
      <c r="C238" s="221"/>
      <c r="D238" s="222"/>
      <c r="E238" s="211"/>
      <c r="F238" s="214"/>
      <c r="G238" s="216"/>
      <c r="H238" s="221"/>
      <c r="I238" s="221"/>
      <c r="J238" s="222"/>
      <c r="K238" s="211"/>
      <c r="L238" s="214"/>
      <c r="M238" s="188"/>
    </row>
    <row r="239" spans="1:13" ht="18" customHeight="1" x14ac:dyDescent="0.25">
      <c r="A239" s="188"/>
      <c r="B239" s="221"/>
      <c r="C239" s="221"/>
      <c r="D239" s="222"/>
      <c r="E239" s="211"/>
      <c r="F239" s="214"/>
      <c r="G239" s="216"/>
      <c r="H239" s="221"/>
      <c r="I239" s="221"/>
      <c r="J239" s="222"/>
      <c r="K239" s="211"/>
      <c r="L239" s="214"/>
      <c r="M239" s="188"/>
    </row>
    <row r="240" spans="1:13" ht="18" customHeight="1" x14ac:dyDescent="0.25">
      <c r="A240" s="188"/>
      <c r="B240" s="221"/>
      <c r="C240" s="221"/>
      <c r="D240" s="222"/>
      <c r="E240" s="211"/>
      <c r="F240" s="214"/>
      <c r="G240" s="216"/>
      <c r="H240" s="221"/>
      <c r="I240" s="221"/>
      <c r="J240" s="222"/>
      <c r="K240" s="211"/>
      <c r="L240" s="214"/>
      <c r="M240" s="188"/>
    </row>
    <row r="241" spans="1:13" ht="18" customHeight="1" x14ac:dyDescent="0.25">
      <c r="A241" s="188"/>
      <c r="B241" s="221"/>
      <c r="C241" s="221"/>
      <c r="D241" s="222"/>
      <c r="E241" s="211"/>
      <c r="F241" s="214"/>
      <c r="G241" s="216"/>
      <c r="H241" s="221"/>
      <c r="I241" s="221"/>
      <c r="J241" s="222"/>
      <c r="K241" s="211"/>
      <c r="L241" s="214"/>
      <c r="M241" s="188"/>
    </row>
    <row r="242" spans="1:13" ht="18" customHeight="1" x14ac:dyDescent="0.25">
      <c r="A242" s="188"/>
      <c r="B242" s="221"/>
      <c r="C242" s="221"/>
      <c r="D242" s="222"/>
      <c r="E242" s="211"/>
      <c r="F242" s="214"/>
      <c r="G242" s="216"/>
      <c r="H242" s="221"/>
      <c r="I242" s="221"/>
      <c r="J242" s="222"/>
      <c r="K242" s="211"/>
      <c r="L242" s="214"/>
      <c r="M242" s="188"/>
    </row>
    <row r="243" spans="1:13" ht="18" customHeight="1" x14ac:dyDescent="0.25">
      <c r="A243" s="188"/>
      <c r="B243" s="221"/>
      <c r="C243" s="221"/>
      <c r="D243" s="222"/>
      <c r="E243" s="211"/>
      <c r="F243" s="214"/>
      <c r="G243" s="216"/>
      <c r="H243" s="221"/>
      <c r="I243" s="221"/>
      <c r="J243" s="222"/>
      <c r="K243" s="211"/>
      <c r="L243" s="214"/>
      <c r="M243" s="188"/>
    </row>
    <row r="244" spans="1:13" ht="18" customHeight="1" x14ac:dyDescent="0.25">
      <c r="A244" s="188"/>
      <c r="B244" s="221"/>
      <c r="C244" s="221"/>
      <c r="D244" s="222"/>
      <c r="E244" s="211"/>
      <c r="F244" s="214"/>
      <c r="G244" s="216"/>
      <c r="H244" s="221"/>
      <c r="I244" s="221"/>
      <c r="J244" s="222"/>
      <c r="K244" s="211"/>
      <c r="L244" s="214"/>
      <c r="M244" s="188"/>
    </row>
    <row r="245" spans="1:13" ht="15.75" customHeight="1" x14ac:dyDescent="0.25"/>
    <row r="246" spans="1:13" ht="15.75" customHeight="1" x14ac:dyDescent="0.25"/>
    <row r="247" spans="1:13" ht="15.75" customHeight="1" x14ac:dyDescent="0.25"/>
    <row r="248" spans="1:13" ht="15.75" customHeight="1" x14ac:dyDescent="0.25"/>
    <row r="249" spans="1:13" ht="15.75" customHeight="1" x14ac:dyDescent="0.25"/>
    <row r="250" spans="1:13" ht="15.75" customHeight="1" x14ac:dyDescent="0.25"/>
    <row r="251" spans="1:13" ht="15.75" customHeight="1" x14ac:dyDescent="0.25"/>
    <row r="252" spans="1:13" ht="15.75" customHeight="1" x14ac:dyDescent="0.25"/>
    <row r="253" spans="1:13" ht="15.75" customHeight="1" x14ac:dyDescent="0.25"/>
    <row r="254" spans="1:13" ht="15.75" customHeight="1" x14ac:dyDescent="0.25"/>
    <row r="255" spans="1:13" ht="15.75" customHeight="1" x14ac:dyDescent="0.25"/>
    <row r="256" spans="1:1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9">
    <mergeCell ref="H41:I41"/>
    <mergeCell ref="H42:I42"/>
    <mergeCell ref="H43:I43"/>
    <mergeCell ref="H44:I44"/>
    <mergeCell ref="H30:I30"/>
    <mergeCell ref="H31:I31"/>
    <mergeCell ref="H32:I32"/>
    <mergeCell ref="H33:I33"/>
    <mergeCell ref="H34:I34"/>
    <mergeCell ref="H35:I35"/>
    <mergeCell ref="H36:I36"/>
    <mergeCell ref="B35:C35"/>
    <mergeCell ref="H37:I37"/>
    <mergeCell ref="H38:I38"/>
    <mergeCell ref="H39:I39"/>
    <mergeCell ref="H40:I40"/>
    <mergeCell ref="B30:C30"/>
    <mergeCell ref="B31:C31"/>
    <mergeCell ref="B32:C32"/>
    <mergeCell ref="B33:C33"/>
    <mergeCell ref="B34:C34"/>
    <mergeCell ref="B27:C27"/>
    <mergeCell ref="H27:I27"/>
    <mergeCell ref="B28:C28"/>
    <mergeCell ref="H28:I28"/>
    <mergeCell ref="H29:I29"/>
    <mergeCell ref="B29:C29"/>
    <mergeCell ref="D22:F22"/>
    <mergeCell ref="J22:L22"/>
    <mergeCell ref="J23:L23"/>
    <mergeCell ref="D23:F23"/>
    <mergeCell ref="B24:C24"/>
    <mergeCell ref="I16:K16"/>
    <mergeCell ref="I17:K17"/>
    <mergeCell ref="B20:F20"/>
    <mergeCell ref="D21:F21"/>
    <mergeCell ref="J21:L21"/>
    <mergeCell ref="J8:K8"/>
    <mergeCell ref="B8:E9"/>
    <mergeCell ref="D12:D15"/>
    <mergeCell ref="E12:E15"/>
    <mergeCell ref="I13:K13"/>
    <mergeCell ref="I14:K14"/>
    <mergeCell ref="I15:K15"/>
    <mergeCell ref="B2:H2"/>
    <mergeCell ref="I2:L2"/>
    <mergeCell ref="B3:G4"/>
    <mergeCell ref="I3:L3"/>
    <mergeCell ref="I4:M5"/>
    <mergeCell ref="B5:G6"/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</mergeCells>
  <conditionalFormatting sqref="B27:C1000 H27:H1000">
    <cfRule type="notContainsBlanks" dxfId="29" priority="1">
      <formula>LEN(TRIM(B27))&gt;0</formula>
    </cfRule>
  </conditionalFormatting>
  <conditionalFormatting sqref="D27:D1000">
    <cfRule type="expression" dxfId="28" priority="2">
      <formula>NOT(ISBLANK(B27))</formula>
    </cfRule>
  </conditionalFormatting>
  <conditionalFormatting sqref="F26:F1000 L26:L1000 E28:E42">
    <cfRule type="cellIs" dxfId="27" priority="4" operator="lessThan">
      <formula>0</formula>
    </cfRule>
  </conditionalFormatting>
  <conditionalFormatting sqref="F27:F1000 L27:L1000 E28:E42">
    <cfRule type="cellIs" dxfId="26" priority="5" operator="equal">
      <formula>0</formula>
    </cfRule>
  </conditionalFormatting>
  <conditionalFormatting sqref="J27:J1000">
    <cfRule type="expression" dxfId="25" priority="3">
      <formula>NOT(ISBLANK(H27))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FF"/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5.109375" customWidth="1"/>
    <col min="2" max="2" width="10.44140625" customWidth="1"/>
    <col min="3" max="3" width="10" customWidth="1"/>
    <col min="4" max="4" width="15.88671875" customWidth="1"/>
    <col min="5" max="5" width="19.44140625" customWidth="1"/>
    <col min="6" max="6" width="5.109375" customWidth="1"/>
    <col min="9" max="9" width="13.21875" customWidth="1"/>
    <col min="11" max="11" width="5.109375" customWidth="1"/>
  </cols>
  <sheetData>
    <row r="1" spans="1:11" ht="33" customHeight="1" x14ac:dyDescent="0.25">
      <c r="A1" s="223"/>
      <c r="B1" s="294" t="s">
        <v>60</v>
      </c>
      <c r="C1" s="266"/>
      <c r="D1" s="266"/>
      <c r="E1" s="266"/>
      <c r="F1" s="266"/>
      <c r="G1" s="266"/>
      <c r="H1" s="266"/>
      <c r="I1" s="266"/>
      <c r="J1" s="266"/>
      <c r="K1" s="223"/>
    </row>
    <row r="2" spans="1:11" ht="48" customHeight="1" x14ac:dyDescent="0.45">
      <c r="A2" s="224"/>
      <c r="B2" s="225" t="s">
        <v>10</v>
      </c>
      <c r="C2" s="226"/>
      <c r="D2" s="227"/>
      <c r="E2" s="227"/>
      <c r="F2" s="227"/>
      <c r="G2" s="225" t="s">
        <v>9</v>
      </c>
      <c r="H2" s="228"/>
      <c r="I2" s="224"/>
      <c r="J2" s="224"/>
      <c r="K2" s="224"/>
    </row>
    <row r="3" spans="1:11" ht="12" customHeight="1" x14ac:dyDescent="0.3">
      <c r="A3" s="13"/>
      <c r="B3" s="229"/>
      <c r="C3" s="230"/>
      <c r="D3" s="229"/>
      <c r="E3" s="229"/>
      <c r="F3" s="13"/>
      <c r="G3" s="229"/>
      <c r="H3" s="231"/>
      <c r="I3" s="229"/>
      <c r="J3" s="229"/>
      <c r="K3" s="13"/>
    </row>
    <row r="4" spans="1:11" ht="24" customHeight="1" x14ac:dyDescent="0.25">
      <c r="A4" s="19"/>
      <c r="B4" s="232" t="s">
        <v>61</v>
      </c>
      <c r="C4" s="232" t="s">
        <v>62</v>
      </c>
      <c r="D4" s="232" t="s">
        <v>63</v>
      </c>
      <c r="E4" s="232" t="s">
        <v>64</v>
      </c>
      <c r="F4" s="19"/>
      <c r="G4" s="232" t="s">
        <v>61</v>
      </c>
      <c r="H4" s="232" t="s">
        <v>62</v>
      </c>
      <c r="I4" s="232" t="s">
        <v>63</v>
      </c>
      <c r="J4" s="232" t="s">
        <v>64</v>
      </c>
      <c r="K4" s="19"/>
    </row>
    <row r="5" spans="1:11" ht="19.5" customHeight="1" x14ac:dyDescent="0.25">
      <c r="A5" s="19"/>
      <c r="B5" s="233"/>
      <c r="C5" s="238"/>
      <c r="D5" s="239"/>
      <c r="E5" s="240"/>
      <c r="F5" s="19"/>
      <c r="G5" s="233"/>
      <c r="H5" s="234"/>
      <c r="I5" s="237"/>
      <c r="J5" s="236"/>
      <c r="K5" s="19"/>
    </row>
    <row r="6" spans="1:11" ht="19.5" customHeight="1" x14ac:dyDescent="0.25">
      <c r="A6" s="19"/>
      <c r="B6" s="233"/>
      <c r="C6" s="238"/>
      <c r="D6" s="239"/>
      <c r="E6" s="240"/>
      <c r="F6" s="19"/>
      <c r="G6" s="233"/>
      <c r="H6" s="238"/>
      <c r="I6" s="237"/>
      <c r="J6" s="236"/>
      <c r="K6" s="19"/>
    </row>
    <row r="7" spans="1:11" ht="19.5" customHeight="1" x14ac:dyDescent="0.25">
      <c r="A7" s="19"/>
      <c r="B7" s="233"/>
      <c r="C7" s="238"/>
      <c r="D7" s="239"/>
      <c r="E7" s="240"/>
      <c r="F7" s="19"/>
      <c r="G7" s="233"/>
      <c r="H7" s="238"/>
      <c r="I7" s="237"/>
      <c r="J7" s="236"/>
      <c r="K7" s="19"/>
    </row>
    <row r="8" spans="1:11" ht="19.5" customHeight="1" x14ac:dyDescent="0.25">
      <c r="A8" s="19"/>
      <c r="B8" s="233"/>
      <c r="C8" s="238"/>
      <c r="D8" s="239"/>
      <c r="E8" s="240"/>
      <c r="F8" s="19"/>
      <c r="G8" s="233"/>
      <c r="H8" s="238"/>
      <c r="I8" s="237"/>
      <c r="J8" s="236"/>
      <c r="K8" s="19"/>
    </row>
    <row r="9" spans="1:11" ht="19.5" customHeight="1" x14ac:dyDescent="0.25">
      <c r="A9" s="19"/>
      <c r="B9" s="233"/>
      <c r="C9" s="238"/>
      <c r="D9" s="239"/>
      <c r="E9" s="240"/>
      <c r="F9" s="19"/>
      <c r="G9" s="233"/>
      <c r="H9" s="238"/>
      <c r="I9" s="237"/>
      <c r="J9" s="236"/>
      <c r="K9" s="19"/>
    </row>
    <row r="10" spans="1:11" ht="19.5" customHeight="1" x14ac:dyDescent="0.25">
      <c r="A10" s="19"/>
      <c r="B10" s="233"/>
      <c r="C10" s="238"/>
      <c r="D10" s="239"/>
      <c r="E10" s="240"/>
      <c r="F10" s="19"/>
      <c r="G10" s="233"/>
      <c r="H10" s="238"/>
      <c r="I10" s="237"/>
      <c r="J10" s="236"/>
      <c r="K10" s="19"/>
    </row>
    <row r="11" spans="1:11" ht="19.5" customHeight="1" x14ac:dyDescent="0.25">
      <c r="A11" s="19"/>
      <c r="B11" s="233"/>
      <c r="C11" s="238"/>
      <c r="D11" s="239"/>
      <c r="E11" s="240"/>
      <c r="F11" s="19"/>
      <c r="G11" s="233"/>
      <c r="H11" s="238"/>
      <c r="I11" s="237"/>
      <c r="J11" s="236"/>
      <c r="K11" s="19"/>
    </row>
    <row r="12" spans="1:11" ht="19.5" customHeight="1" x14ac:dyDescent="0.25">
      <c r="A12" s="19"/>
      <c r="B12" s="233"/>
      <c r="C12" s="238"/>
      <c r="D12" s="239"/>
      <c r="E12" s="240"/>
      <c r="F12" s="19"/>
      <c r="G12" s="242"/>
      <c r="H12" s="238"/>
      <c r="I12" s="237"/>
      <c r="J12" s="236"/>
      <c r="K12" s="19"/>
    </row>
    <row r="13" spans="1:11" ht="19.5" customHeight="1" x14ac:dyDescent="0.25">
      <c r="A13" s="19"/>
      <c r="B13" s="233"/>
      <c r="C13" s="238"/>
      <c r="D13" s="239"/>
      <c r="E13" s="240"/>
      <c r="F13" s="19"/>
      <c r="G13" s="242"/>
      <c r="H13" s="238"/>
      <c r="I13" s="237"/>
      <c r="J13" s="236"/>
      <c r="K13" s="19"/>
    </row>
    <row r="14" spans="1:11" ht="19.5" customHeight="1" x14ac:dyDescent="0.25">
      <c r="A14" s="19"/>
      <c r="B14" s="233"/>
      <c r="C14" s="238"/>
      <c r="D14" s="239"/>
      <c r="E14" s="240"/>
      <c r="F14" s="19"/>
      <c r="G14" s="242"/>
      <c r="H14" s="238"/>
      <c r="I14" s="237"/>
      <c r="J14" s="236"/>
      <c r="K14" s="19"/>
    </row>
    <row r="15" spans="1:11" ht="19.5" customHeight="1" x14ac:dyDescent="0.25">
      <c r="A15" s="19"/>
      <c r="B15" s="233"/>
      <c r="C15" s="238"/>
      <c r="D15" s="239"/>
      <c r="E15" s="240"/>
      <c r="F15" s="19"/>
      <c r="G15" s="242"/>
      <c r="H15" s="238"/>
      <c r="I15" s="237"/>
      <c r="J15" s="236"/>
      <c r="K15" s="19"/>
    </row>
    <row r="16" spans="1:11" ht="19.5" customHeight="1" x14ac:dyDescent="0.25">
      <c r="A16" s="19"/>
      <c r="B16" s="233"/>
      <c r="C16" s="238"/>
      <c r="D16" s="239"/>
      <c r="E16" s="240"/>
      <c r="F16" s="19"/>
      <c r="G16" s="242"/>
      <c r="H16" s="238"/>
      <c r="I16" s="237"/>
      <c r="J16" s="236"/>
      <c r="K16" s="19"/>
    </row>
    <row r="17" spans="1:11" ht="19.5" customHeight="1" x14ac:dyDescent="0.25">
      <c r="A17" s="19"/>
      <c r="B17" s="233"/>
      <c r="C17" s="238"/>
      <c r="D17" s="239"/>
      <c r="E17" s="240"/>
      <c r="F17" s="19"/>
      <c r="G17" s="242"/>
      <c r="H17" s="238"/>
      <c r="I17" s="237"/>
      <c r="J17" s="236"/>
      <c r="K17" s="19"/>
    </row>
    <row r="18" spans="1:11" ht="19.5" customHeight="1" x14ac:dyDescent="0.25">
      <c r="A18" s="19"/>
      <c r="B18" s="233"/>
      <c r="C18" s="238"/>
      <c r="D18" s="239"/>
      <c r="E18" s="240"/>
      <c r="F18" s="19"/>
      <c r="G18" s="242"/>
      <c r="H18" s="238"/>
      <c r="I18" s="237"/>
      <c r="J18" s="236"/>
      <c r="K18" s="19"/>
    </row>
    <row r="19" spans="1:11" ht="19.5" customHeight="1" x14ac:dyDescent="0.25">
      <c r="A19" s="19"/>
      <c r="B19" s="233"/>
      <c r="C19" s="238"/>
      <c r="D19" s="239"/>
      <c r="E19" s="240"/>
      <c r="F19" s="19"/>
      <c r="G19" s="242"/>
      <c r="H19" s="238"/>
      <c r="I19" s="237"/>
      <c r="J19" s="236"/>
      <c r="K19" s="19"/>
    </row>
    <row r="20" spans="1:11" ht="19.5" customHeight="1" x14ac:dyDescent="0.25">
      <c r="A20" s="19"/>
      <c r="B20" s="233"/>
      <c r="C20" s="238"/>
      <c r="D20" s="239"/>
      <c r="E20" s="240"/>
      <c r="F20" s="19"/>
      <c r="G20" s="242"/>
      <c r="H20" s="238"/>
      <c r="I20" s="237"/>
      <c r="J20" s="236"/>
      <c r="K20" s="19"/>
    </row>
    <row r="21" spans="1:11" ht="19.5" customHeight="1" x14ac:dyDescent="0.25">
      <c r="A21" s="19"/>
      <c r="B21" s="233"/>
      <c r="C21" s="238"/>
      <c r="D21" s="239"/>
      <c r="E21" s="240"/>
      <c r="F21" s="19"/>
      <c r="G21" s="242"/>
      <c r="H21" s="238"/>
      <c r="I21" s="237"/>
      <c r="J21" s="236"/>
      <c r="K21" s="19"/>
    </row>
    <row r="22" spans="1:11" ht="19.5" customHeight="1" x14ac:dyDescent="0.25">
      <c r="A22" s="19"/>
      <c r="B22" s="233"/>
      <c r="C22" s="238"/>
      <c r="D22" s="239"/>
      <c r="E22" s="240"/>
      <c r="F22" s="19"/>
      <c r="G22" s="242"/>
      <c r="H22" s="238"/>
      <c r="I22" s="237"/>
      <c r="J22" s="236"/>
      <c r="K22" s="19"/>
    </row>
    <row r="23" spans="1:11" ht="19.5" customHeight="1" x14ac:dyDescent="0.25">
      <c r="A23" s="19"/>
      <c r="B23" s="242"/>
      <c r="C23" s="238"/>
      <c r="D23" s="239"/>
      <c r="E23" s="240"/>
      <c r="F23" s="19"/>
      <c r="G23" s="242"/>
      <c r="H23" s="238"/>
      <c r="I23" s="237"/>
      <c r="J23" s="236"/>
      <c r="K23" s="19"/>
    </row>
    <row r="24" spans="1:11" ht="19.5" customHeight="1" x14ac:dyDescent="0.25">
      <c r="A24" s="19"/>
      <c r="B24" s="242"/>
      <c r="C24" s="238"/>
      <c r="D24" s="239"/>
      <c r="E24" s="240"/>
      <c r="F24" s="19"/>
      <c r="G24" s="242"/>
      <c r="H24" s="238"/>
      <c r="I24" s="237"/>
      <c r="J24" s="236"/>
      <c r="K24" s="19"/>
    </row>
    <row r="25" spans="1:11" ht="19.5" customHeight="1" x14ac:dyDescent="0.25">
      <c r="A25" s="19"/>
      <c r="B25" s="242"/>
      <c r="C25" s="238"/>
      <c r="D25" s="239"/>
      <c r="E25" s="240"/>
      <c r="F25" s="19"/>
      <c r="G25" s="242"/>
      <c r="H25" s="238"/>
      <c r="I25" s="237"/>
      <c r="J25" s="236"/>
      <c r="K25" s="19"/>
    </row>
    <row r="26" spans="1:11" ht="19.5" customHeight="1" x14ac:dyDescent="0.25">
      <c r="A26" s="19"/>
      <c r="B26" s="242"/>
      <c r="C26" s="238"/>
      <c r="D26" s="239"/>
      <c r="E26" s="240"/>
      <c r="F26" s="19"/>
      <c r="G26" s="242"/>
      <c r="H26" s="238"/>
      <c r="I26" s="237"/>
      <c r="J26" s="236"/>
      <c r="K26" s="19"/>
    </row>
    <row r="27" spans="1:11" ht="19.5" customHeight="1" x14ac:dyDescent="0.25">
      <c r="A27" s="19"/>
      <c r="B27" s="242"/>
      <c r="C27" s="238"/>
      <c r="D27" s="239"/>
      <c r="E27" s="240"/>
      <c r="F27" s="19"/>
      <c r="G27" s="242"/>
      <c r="H27" s="238"/>
      <c r="I27" s="237"/>
      <c r="J27" s="236"/>
      <c r="K27" s="19"/>
    </row>
    <row r="28" spans="1:11" ht="19.5" customHeight="1" x14ac:dyDescent="0.25">
      <c r="A28" s="19"/>
      <c r="B28" s="242"/>
      <c r="C28" s="238"/>
      <c r="D28" s="239"/>
      <c r="E28" s="240"/>
      <c r="F28" s="19"/>
      <c r="G28" s="242"/>
      <c r="H28" s="238"/>
      <c r="I28" s="237"/>
      <c r="J28" s="236"/>
      <c r="K28" s="19"/>
    </row>
    <row r="29" spans="1:11" ht="19.5" customHeight="1" x14ac:dyDescent="0.25">
      <c r="A29" s="19"/>
      <c r="B29" s="242"/>
      <c r="C29" s="238"/>
      <c r="D29" s="239"/>
      <c r="E29" s="240"/>
      <c r="F29" s="19"/>
      <c r="G29" s="242"/>
      <c r="H29" s="238"/>
      <c r="I29" s="237"/>
      <c r="J29" s="236"/>
      <c r="K29" s="19"/>
    </row>
    <row r="30" spans="1:11" ht="19.5" customHeight="1" x14ac:dyDescent="0.25">
      <c r="A30" s="19"/>
      <c r="B30" s="242"/>
      <c r="C30" s="238"/>
      <c r="D30" s="239"/>
      <c r="E30" s="240"/>
      <c r="F30" s="19"/>
      <c r="G30" s="242"/>
      <c r="H30" s="238"/>
      <c r="I30" s="237"/>
      <c r="J30" s="236"/>
      <c r="K30" s="19"/>
    </row>
    <row r="31" spans="1:11" ht="19.5" customHeight="1" x14ac:dyDescent="0.25">
      <c r="A31" s="19"/>
      <c r="B31" s="242"/>
      <c r="C31" s="238"/>
      <c r="D31" s="239"/>
      <c r="E31" s="240"/>
      <c r="F31" s="19"/>
      <c r="G31" s="242"/>
      <c r="H31" s="238"/>
      <c r="I31" s="237"/>
      <c r="J31" s="236"/>
      <c r="K31" s="19"/>
    </row>
    <row r="32" spans="1:11" ht="19.5" customHeight="1" x14ac:dyDescent="0.25">
      <c r="A32" s="19"/>
      <c r="B32" s="242"/>
      <c r="C32" s="238"/>
      <c r="D32" s="239"/>
      <c r="E32" s="240"/>
      <c r="F32" s="19"/>
      <c r="G32" s="242"/>
      <c r="H32" s="238"/>
      <c r="I32" s="237"/>
      <c r="J32" s="236"/>
      <c r="K32" s="19"/>
    </row>
    <row r="33" spans="1:11" ht="19.5" customHeight="1" x14ac:dyDescent="0.25">
      <c r="A33" s="19"/>
      <c r="B33" s="233"/>
      <c r="C33" s="238"/>
      <c r="D33" s="239"/>
      <c r="E33" s="240"/>
      <c r="F33" s="19"/>
      <c r="G33" s="242"/>
      <c r="H33" s="238"/>
      <c r="I33" s="237"/>
      <c r="J33" s="236"/>
      <c r="K33" s="19"/>
    </row>
    <row r="34" spans="1:11" ht="19.5" customHeight="1" x14ac:dyDescent="0.25">
      <c r="A34" s="19"/>
      <c r="B34" s="233"/>
      <c r="C34" s="238"/>
      <c r="D34" s="239"/>
      <c r="E34" s="240"/>
      <c r="F34" s="19"/>
      <c r="G34" s="242"/>
      <c r="H34" s="238"/>
      <c r="I34" s="237"/>
      <c r="J34" s="236"/>
      <c r="K34" s="19"/>
    </row>
    <row r="35" spans="1:11" ht="19.5" customHeight="1" x14ac:dyDescent="0.25">
      <c r="A35" s="19"/>
      <c r="B35" s="233"/>
      <c r="C35" s="238"/>
      <c r="D35" s="239"/>
      <c r="E35" s="240"/>
      <c r="F35" s="19"/>
      <c r="G35" s="242"/>
      <c r="H35" s="238"/>
      <c r="I35" s="237"/>
      <c r="J35" s="236"/>
      <c r="K35" s="19"/>
    </row>
    <row r="36" spans="1:11" ht="19.5" customHeight="1" x14ac:dyDescent="0.25">
      <c r="A36" s="19"/>
      <c r="B36" s="233"/>
      <c r="C36" s="238"/>
      <c r="D36" s="239"/>
      <c r="E36" s="240"/>
      <c r="F36" s="19"/>
      <c r="G36" s="242"/>
      <c r="H36" s="238"/>
      <c r="I36" s="237"/>
      <c r="J36" s="236"/>
      <c r="K36" s="19"/>
    </row>
    <row r="37" spans="1:11" ht="19.5" customHeight="1" x14ac:dyDescent="0.25">
      <c r="A37" s="19"/>
      <c r="B37" s="233"/>
      <c r="C37" s="238"/>
      <c r="D37" s="239"/>
      <c r="E37" s="240"/>
      <c r="F37" s="19"/>
      <c r="G37" s="242"/>
      <c r="H37" s="238"/>
      <c r="I37" s="237"/>
      <c r="J37" s="236"/>
      <c r="K37" s="19"/>
    </row>
    <row r="38" spans="1:11" ht="19.5" customHeight="1" x14ac:dyDescent="0.25">
      <c r="A38" s="19"/>
      <c r="B38" s="233"/>
      <c r="C38" s="238"/>
      <c r="D38" s="239"/>
      <c r="E38" s="240"/>
      <c r="F38" s="19"/>
      <c r="G38" s="242"/>
      <c r="H38" s="238"/>
      <c r="I38" s="237"/>
      <c r="J38" s="236"/>
      <c r="K38" s="19"/>
    </row>
    <row r="39" spans="1:11" ht="19.5" customHeight="1" x14ac:dyDescent="0.25">
      <c r="A39" s="19"/>
      <c r="B39" s="233"/>
      <c r="C39" s="238"/>
      <c r="D39" s="239"/>
      <c r="E39" s="240"/>
      <c r="F39" s="19"/>
      <c r="G39" s="242"/>
      <c r="H39" s="238"/>
      <c r="I39" s="241"/>
      <c r="J39" s="240"/>
      <c r="K39" s="19"/>
    </row>
    <row r="40" spans="1:11" ht="19.5" customHeight="1" x14ac:dyDescent="0.25">
      <c r="A40" s="19"/>
      <c r="B40" s="233"/>
      <c r="C40" s="238"/>
      <c r="D40" s="239"/>
      <c r="E40" s="240"/>
      <c r="F40" s="19"/>
      <c r="G40" s="242"/>
      <c r="H40" s="238"/>
      <c r="I40" s="237"/>
      <c r="J40" s="236"/>
      <c r="K40" s="19"/>
    </row>
    <row r="41" spans="1:11" ht="19.5" customHeight="1" x14ac:dyDescent="0.25">
      <c r="A41" s="19"/>
      <c r="B41" s="233"/>
      <c r="C41" s="238"/>
      <c r="D41" s="239"/>
      <c r="E41" s="240"/>
      <c r="F41" s="19"/>
      <c r="G41" s="242"/>
      <c r="H41" s="238"/>
      <c r="I41" s="237"/>
      <c r="J41" s="236"/>
      <c r="K41" s="19"/>
    </row>
    <row r="42" spans="1:11" ht="19.5" customHeight="1" x14ac:dyDescent="0.25">
      <c r="A42" s="19"/>
      <c r="B42" s="233"/>
      <c r="C42" s="238"/>
      <c r="D42" s="239"/>
      <c r="E42" s="240"/>
      <c r="F42" s="19"/>
      <c r="G42" s="242"/>
      <c r="H42" s="238"/>
      <c r="I42" s="237"/>
      <c r="J42" s="236"/>
      <c r="K42" s="19"/>
    </row>
    <row r="43" spans="1:11" ht="19.5" customHeight="1" x14ac:dyDescent="0.25">
      <c r="A43" s="19"/>
      <c r="B43" s="233"/>
      <c r="C43" s="238"/>
      <c r="D43" s="239"/>
      <c r="E43" s="240"/>
      <c r="F43" s="19"/>
      <c r="G43" s="242"/>
      <c r="H43" s="238"/>
      <c r="I43" s="237"/>
      <c r="J43" s="236"/>
      <c r="K43" s="19"/>
    </row>
    <row r="44" spans="1:11" ht="19.5" customHeight="1" x14ac:dyDescent="0.25">
      <c r="A44" s="19"/>
      <c r="B44" s="233"/>
      <c r="C44" s="238"/>
      <c r="D44" s="239"/>
      <c r="E44" s="240"/>
      <c r="F44" s="19"/>
      <c r="G44" s="242"/>
      <c r="H44" s="238"/>
      <c r="I44" s="237"/>
      <c r="J44" s="236"/>
      <c r="K44" s="19"/>
    </row>
    <row r="45" spans="1:11" ht="19.5" customHeight="1" x14ac:dyDescent="0.25">
      <c r="A45" s="19"/>
      <c r="B45" s="233"/>
      <c r="C45" s="238"/>
      <c r="D45" s="239"/>
      <c r="E45" s="240"/>
      <c r="F45" s="19"/>
      <c r="G45" s="242"/>
      <c r="H45" s="238"/>
      <c r="I45" s="237"/>
      <c r="J45" s="236"/>
      <c r="K45" s="19"/>
    </row>
    <row r="46" spans="1:11" ht="19.5" customHeight="1" x14ac:dyDescent="0.25">
      <c r="A46" s="19"/>
      <c r="B46" s="233"/>
      <c r="C46" s="238"/>
      <c r="D46" s="239"/>
      <c r="E46" s="240"/>
      <c r="F46" s="19"/>
      <c r="G46" s="242"/>
      <c r="H46" s="238"/>
      <c r="I46" s="241"/>
      <c r="J46" s="240"/>
      <c r="K46" s="19"/>
    </row>
    <row r="47" spans="1:11" ht="19.5" customHeight="1" x14ac:dyDescent="0.25">
      <c r="A47" s="19"/>
      <c r="B47" s="233"/>
      <c r="C47" s="238"/>
      <c r="D47" s="239"/>
      <c r="E47" s="240"/>
      <c r="F47" s="19"/>
      <c r="G47" s="242"/>
      <c r="H47" s="238"/>
      <c r="I47" s="241"/>
      <c r="J47" s="240"/>
      <c r="K47" s="19"/>
    </row>
    <row r="48" spans="1:11" ht="19.5" customHeight="1" x14ac:dyDescent="0.25">
      <c r="A48" s="19"/>
      <c r="B48" s="233"/>
      <c r="C48" s="238"/>
      <c r="D48" s="239"/>
      <c r="E48" s="240"/>
      <c r="F48" s="19"/>
      <c r="G48" s="242"/>
      <c r="H48" s="238"/>
      <c r="I48" s="241"/>
      <c r="J48" s="240"/>
      <c r="K48" s="19"/>
    </row>
    <row r="49" spans="1:11" ht="19.5" customHeight="1" x14ac:dyDescent="0.25">
      <c r="A49" s="19"/>
      <c r="B49" s="244"/>
      <c r="C49" s="238"/>
      <c r="D49" s="239"/>
      <c r="E49" s="240"/>
      <c r="F49" s="19"/>
      <c r="G49" s="242"/>
      <c r="H49" s="238"/>
      <c r="I49" s="241"/>
      <c r="J49" s="240"/>
      <c r="K49" s="19"/>
    </row>
    <row r="50" spans="1:11" ht="19.5" customHeight="1" x14ac:dyDescent="0.25">
      <c r="A50" s="19"/>
      <c r="B50" s="244"/>
      <c r="C50" s="238"/>
      <c r="D50" s="239"/>
      <c r="E50" s="240"/>
      <c r="F50" s="19"/>
      <c r="G50" s="242"/>
      <c r="H50" s="238"/>
      <c r="I50" s="241"/>
      <c r="J50" s="240"/>
      <c r="K50" s="19"/>
    </row>
    <row r="51" spans="1:11" ht="19.5" customHeight="1" x14ac:dyDescent="0.25">
      <c r="A51" s="19"/>
      <c r="B51" s="244"/>
      <c r="C51" s="238"/>
      <c r="D51" s="239"/>
      <c r="E51" s="240"/>
      <c r="F51" s="19"/>
      <c r="G51" s="242"/>
      <c r="H51" s="238"/>
      <c r="I51" s="241"/>
      <c r="J51" s="240"/>
      <c r="K51" s="19"/>
    </row>
    <row r="52" spans="1:11" ht="19.5" customHeight="1" x14ac:dyDescent="0.25">
      <c r="A52" s="19"/>
      <c r="B52" s="244"/>
      <c r="C52" s="238"/>
      <c r="D52" s="239"/>
      <c r="E52" s="240"/>
      <c r="F52" s="19"/>
      <c r="G52" s="242"/>
      <c r="H52" s="238"/>
      <c r="I52" s="241"/>
      <c r="J52" s="240"/>
      <c r="K52" s="19"/>
    </row>
    <row r="53" spans="1:11" ht="19.5" customHeight="1" x14ac:dyDescent="0.25">
      <c r="A53" s="19"/>
      <c r="B53" s="233"/>
      <c r="C53" s="238"/>
      <c r="D53" s="239"/>
      <c r="E53" s="240"/>
      <c r="F53" s="19"/>
      <c r="G53" s="242"/>
      <c r="H53" s="238"/>
      <c r="I53" s="241"/>
      <c r="J53" s="240"/>
      <c r="K53" s="19"/>
    </row>
    <row r="54" spans="1:11" ht="19.5" customHeight="1" x14ac:dyDescent="0.25">
      <c r="A54" s="19"/>
      <c r="B54" s="233"/>
      <c r="C54" s="238"/>
      <c r="D54" s="239"/>
      <c r="E54" s="240"/>
      <c r="F54" s="19"/>
      <c r="G54" s="242"/>
      <c r="H54" s="238"/>
      <c r="I54" s="241"/>
      <c r="J54" s="240"/>
      <c r="K54" s="19"/>
    </row>
    <row r="55" spans="1:11" ht="19.5" customHeight="1" x14ac:dyDescent="0.25">
      <c r="A55" s="19"/>
      <c r="B55" s="233"/>
      <c r="C55" s="238"/>
      <c r="D55" s="239"/>
      <c r="E55" s="240"/>
      <c r="F55" s="19"/>
      <c r="G55" s="242"/>
      <c r="H55" s="238"/>
      <c r="I55" s="241"/>
      <c r="J55" s="240"/>
      <c r="K55" s="19"/>
    </row>
    <row r="56" spans="1:11" ht="19.5" customHeight="1" x14ac:dyDescent="0.25">
      <c r="A56" s="19"/>
      <c r="B56" s="233"/>
      <c r="C56" s="238"/>
      <c r="D56" s="239"/>
      <c r="E56" s="240"/>
      <c r="F56" s="19"/>
      <c r="G56" s="242"/>
      <c r="H56" s="238"/>
      <c r="I56" s="241"/>
      <c r="J56" s="240"/>
      <c r="K56" s="19"/>
    </row>
    <row r="57" spans="1:11" ht="19.5" customHeight="1" x14ac:dyDescent="0.25">
      <c r="A57" s="19"/>
      <c r="B57" s="233"/>
      <c r="C57" s="238"/>
      <c r="D57" s="239"/>
      <c r="E57" s="240"/>
      <c r="F57" s="19"/>
      <c r="G57" s="242"/>
      <c r="H57" s="238"/>
      <c r="I57" s="241"/>
      <c r="J57" s="240"/>
      <c r="K57" s="19"/>
    </row>
    <row r="58" spans="1:11" ht="19.5" customHeight="1" x14ac:dyDescent="0.25">
      <c r="A58" s="19"/>
      <c r="B58" s="233"/>
      <c r="C58" s="238"/>
      <c r="D58" s="239"/>
      <c r="E58" s="240"/>
      <c r="F58" s="19"/>
      <c r="G58" s="242"/>
      <c r="H58" s="238"/>
      <c r="I58" s="241"/>
      <c r="J58" s="240"/>
      <c r="K58" s="19"/>
    </row>
    <row r="59" spans="1:11" ht="19.5" customHeight="1" x14ac:dyDescent="0.25">
      <c r="A59" s="19"/>
      <c r="B59" s="233"/>
      <c r="C59" s="238"/>
      <c r="D59" s="239"/>
      <c r="E59" s="240"/>
      <c r="F59" s="19"/>
      <c r="G59" s="242"/>
      <c r="H59" s="238"/>
      <c r="I59" s="241"/>
      <c r="J59" s="240"/>
      <c r="K59" s="19"/>
    </row>
    <row r="60" spans="1:11" ht="19.5" customHeight="1" x14ac:dyDescent="0.25">
      <c r="A60" s="19"/>
      <c r="B60" s="233"/>
      <c r="C60" s="238"/>
      <c r="D60" s="239"/>
      <c r="E60" s="240"/>
      <c r="F60" s="19"/>
      <c r="G60" s="242"/>
      <c r="H60" s="238"/>
      <c r="I60" s="241"/>
      <c r="J60" s="240"/>
      <c r="K60" s="19"/>
    </row>
    <row r="61" spans="1:11" ht="19.5" customHeight="1" x14ac:dyDescent="0.25">
      <c r="A61" s="19"/>
      <c r="B61" s="233"/>
      <c r="C61" s="238"/>
      <c r="D61" s="239"/>
      <c r="E61" s="240"/>
      <c r="F61" s="19"/>
      <c r="G61" s="242"/>
      <c r="H61" s="238"/>
      <c r="I61" s="241"/>
      <c r="J61" s="240"/>
      <c r="K61" s="19"/>
    </row>
    <row r="62" spans="1:11" ht="19.5" customHeight="1" x14ac:dyDescent="0.25">
      <c r="A62" s="19"/>
      <c r="B62" s="233"/>
      <c r="C62" s="238"/>
      <c r="D62" s="239"/>
      <c r="E62" s="240"/>
      <c r="F62" s="19"/>
      <c r="G62" s="242"/>
      <c r="H62" s="238"/>
      <c r="I62" s="241"/>
      <c r="J62" s="240"/>
      <c r="K62" s="19"/>
    </row>
    <row r="63" spans="1:11" ht="19.5" customHeight="1" x14ac:dyDescent="0.25">
      <c r="A63" s="19"/>
      <c r="B63" s="233"/>
      <c r="C63" s="238"/>
      <c r="D63" s="239"/>
      <c r="E63" s="240"/>
      <c r="F63" s="19"/>
      <c r="G63" s="242"/>
      <c r="H63" s="238"/>
      <c r="I63" s="241"/>
      <c r="J63" s="240"/>
      <c r="K63" s="19"/>
    </row>
    <row r="64" spans="1:11" ht="19.5" customHeight="1" x14ac:dyDescent="0.25">
      <c r="A64" s="19"/>
      <c r="B64" s="233"/>
      <c r="C64" s="238"/>
      <c r="D64" s="239"/>
      <c r="E64" s="240"/>
      <c r="F64" s="19"/>
      <c r="G64" s="242"/>
      <c r="H64" s="238"/>
      <c r="I64" s="241"/>
      <c r="J64" s="240"/>
      <c r="K64" s="19"/>
    </row>
    <row r="65" spans="1:11" ht="19.5" customHeight="1" x14ac:dyDescent="0.25">
      <c r="A65" s="19"/>
      <c r="B65" s="233"/>
      <c r="C65" s="238"/>
      <c r="D65" s="239"/>
      <c r="E65" s="240"/>
      <c r="F65" s="19"/>
      <c r="G65" s="242"/>
      <c r="H65" s="238"/>
      <c r="I65" s="241"/>
      <c r="J65" s="240"/>
      <c r="K65" s="19"/>
    </row>
    <row r="66" spans="1:11" ht="19.5" customHeight="1" x14ac:dyDescent="0.25">
      <c r="A66" s="19"/>
      <c r="B66" s="233"/>
      <c r="C66" s="238"/>
      <c r="D66" s="239"/>
      <c r="E66" s="240"/>
      <c r="F66" s="19"/>
      <c r="G66" s="242"/>
      <c r="H66" s="238"/>
      <c r="I66" s="241"/>
      <c r="J66" s="240"/>
      <c r="K66" s="19"/>
    </row>
    <row r="67" spans="1:11" ht="19.5" customHeight="1" x14ac:dyDescent="0.25">
      <c r="A67" s="19"/>
      <c r="B67" s="233"/>
      <c r="C67" s="238"/>
      <c r="D67" s="239"/>
      <c r="E67" s="240"/>
      <c r="F67" s="19"/>
      <c r="G67" s="242"/>
      <c r="H67" s="238"/>
      <c r="I67" s="241"/>
      <c r="J67" s="240"/>
      <c r="K67" s="19"/>
    </row>
    <row r="68" spans="1:11" ht="19.5" customHeight="1" x14ac:dyDescent="0.25">
      <c r="A68" s="19"/>
      <c r="B68" s="233"/>
      <c r="C68" s="238"/>
      <c r="D68" s="239"/>
      <c r="E68" s="240"/>
      <c r="F68" s="19"/>
      <c r="G68" s="242"/>
      <c r="H68" s="238"/>
      <c r="I68" s="241"/>
      <c r="J68" s="240"/>
      <c r="K68" s="19"/>
    </row>
    <row r="69" spans="1:11" ht="19.5" customHeight="1" x14ac:dyDescent="0.25">
      <c r="A69" s="19"/>
      <c r="B69" s="233"/>
      <c r="C69" s="238"/>
      <c r="D69" s="239"/>
      <c r="E69" s="240"/>
      <c r="F69" s="19"/>
      <c r="G69" s="242"/>
      <c r="H69" s="238"/>
      <c r="I69" s="241"/>
      <c r="J69" s="240"/>
      <c r="K69" s="19"/>
    </row>
    <row r="70" spans="1:11" ht="19.5" customHeight="1" x14ac:dyDescent="0.25">
      <c r="A70" s="19"/>
      <c r="B70" s="233"/>
      <c r="C70" s="238"/>
      <c r="D70" s="239"/>
      <c r="E70" s="240"/>
      <c r="F70" s="19"/>
      <c r="G70" s="242"/>
      <c r="H70" s="238"/>
      <c r="I70" s="241"/>
      <c r="J70" s="240"/>
      <c r="K70" s="19"/>
    </row>
    <row r="71" spans="1:11" ht="19.5" customHeight="1" x14ac:dyDescent="0.25">
      <c r="A71" s="19"/>
      <c r="B71" s="233"/>
      <c r="C71" s="238"/>
      <c r="D71" s="239"/>
      <c r="E71" s="240"/>
      <c r="F71" s="19"/>
      <c r="G71" s="242"/>
      <c r="H71" s="238"/>
      <c r="I71" s="241"/>
      <c r="J71" s="240"/>
      <c r="K71" s="19"/>
    </row>
    <row r="72" spans="1:11" ht="19.5" customHeight="1" x14ac:dyDescent="0.25">
      <c r="A72" s="19"/>
      <c r="B72" s="233"/>
      <c r="C72" s="238"/>
      <c r="D72" s="239"/>
      <c r="E72" s="240"/>
      <c r="F72" s="19"/>
      <c r="G72" s="242"/>
      <c r="H72" s="238"/>
      <c r="I72" s="241"/>
      <c r="J72" s="240"/>
      <c r="K72" s="19"/>
    </row>
    <row r="73" spans="1:11" ht="19.5" customHeight="1" x14ac:dyDescent="0.25">
      <c r="A73" s="19"/>
      <c r="B73" s="233"/>
      <c r="C73" s="238"/>
      <c r="D73" s="239"/>
      <c r="E73" s="240"/>
      <c r="F73" s="19"/>
      <c r="G73" s="242"/>
      <c r="H73" s="238"/>
      <c r="I73" s="241"/>
      <c r="J73" s="240"/>
      <c r="K73" s="19"/>
    </row>
    <row r="74" spans="1:11" ht="19.5" customHeight="1" x14ac:dyDescent="0.25">
      <c r="A74" s="19"/>
      <c r="B74" s="233"/>
      <c r="C74" s="238"/>
      <c r="D74" s="239"/>
      <c r="E74" s="240"/>
      <c r="F74" s="19"/>
      <c r="G74" s="242"/>
      <c r="H74" s="238"/>
      <c r="I74" s="241"/>
      <c r="J74" s="240"/>
      <c r="K74" s="19"/>
    </row>
    <row r="75" spans="1:11" ht="19.5" customHeight="1" x14ac:dyDescent="0.25">
      <c r="A75" s="19"/>
      <c r="B75" s="233"/>
      <c r="C75" s="238"/>
      <c r="D75" s="239"/>
      <c r="E75" s="240"/>
      <c r="F75" s="19"/>
      <c r="G75" s="242"/>
      <c r="H75" s="238"/>
      <c r="I75" s="241"/>
      <c r="J75" s="240"/>
      <c r="K75" s="19"/>
    </row>
    <row r="76" spans="1:11" ht="19.5" customHeight="1" x14ac:dyDescent="0.25">
      <c r="A76" s="19"/>
      <c r="B76" s="233"/>
      <c r="C76" s="238"/>
      <c r="D76" s="239"/>
      <c r="E76" s="240"/>
      <c r="F76" s="19"/>
      <c r="G76" s="242"/>
      <c r="H76" s="238"/>
      <c r="I76" s="241"/>
      <c r="J76" s="240"/>
      <c r="K76" s="19"/>
    </row>
    <row r="77" spans="1:11" ht="19.5" customHeight="1" x14ac:dyDescent="0.25">
      <c r="A77" s="19"/>
      <c r="B77" s="233"/>
      <c r="C77" s="238"/>
      <c r="D77" s="239"/>
      <c r="E77" s="240"/>
      <c r="F77" s="19"/>
      <c r="G77" s="242"/>
      <c r="H77" s="238"/>
      <c r="I77" s="241"/>
      <c r="J77" s="240"/>
      <c r="K77" s="19"/>
    </row>
    <row r="78" spans="1:11" ht="19.5" customHeight="1" x14ac:dyDescent="0.25">
      <c r="A78" s="19"/>
      <c r="B78" s="233"/>
      <c r="C78" s="238"/>
      <c r="D78" s="239"/>
      <c r="E78" s="240"/>
      <c r="F78" s="19"/>
      <c r="G78" s="242"/>
      <c r="H78" s="238"/>
      <c r="I78" s="241"/>
      <c r="J78" s="240"/>
      <c r="K78" s="19"/>
    </row>
    <row r="79" spans="1:11" ht="19.5" customHeight="1" x14ac:dyDescent="0.25">
      <c r="A79" s="19"/>
      <c r="B79" s="233"/>
      <c r="C79" s="238"/>
      <c r="D79" s="239"/>
      <c r="E79" s="240"/>
      <c r="F79" s="19"/>
      <c r="G79" s="242"/>
      <c r="H79" s="238"/>
      <c r="I79" s="241"/>
      <c r="J79" s="240"/>
      <c r="K79" s="19"/>
    </row>
    <row r="80" spans="1:11" ht="19.5" customHeight="1" x14ac:dyDescent="0.25">
      <c r="A80" s="19"/>
      <c r="B80" s="233"/>
      <c r="C80" s="238"/>
      <c r="D80" s="239"/>
      <c r="E80" s="240"/>
      <c r="F80" s="19"/>
      <c r="G80" s="242"/>
      <c r="H80" s="238"/>
      <c r="I80" s="241"/>
      <c r="J80" s="240"/>
      <c r="K80" s="19"/>
    </row>
    <row r="81" spans="1:11" ht="19.5" customHeight="1" x14ac:dyDescent="0.25">
      <c r="A81" s="19"/>
      <c r="B81" s="233"/>
      <c r="C81" s="238"/>
      <c r="D81" s="239"/>
      <c r="E81" s="240"/>
      <c r="F81" s="19"/>
      <c r="G81" s="242"/>
      <c r="H81" s="238"/>
      <c r="I81" s="241"/>
      <c r="J81" s="240"/>
      <c r="K81" s="19"/>
    </row>
    <row r="82" spans="1:11" ht="19.5" customHeight="1" x14ac:dyDescent="0.25">
      <c r="A82" s="19"/>
      <c r="B82" s="233"/>
      <c r="C82" s="238"/>
      <c r="D82" s="239"/>
      <c r="E82" s="240"/>
      <c r="F82" s="19"/>
      <c r="G82" s="242"/>
      <c r="H82" s="238"/>
      <c r="I82" s="241"/>
      <c r="J82" s="240"/>
      <c r="K82" s="19"/>
    </row>
    <row r="83" spans="1:11" ht="19.5" customHeight="1" x14ac:dyDescent="0.25">
      <c r="A83" s="19"/>
      <c r="B83" s="233"/>
      <c r="C83" s="238"/>
      <c r="D83" s="239"/>
      <c r="E83" s="240"/>
      <c r="F83" s="19"/>
      <c r="G83" s="242"/>
      <c r="H83" s="238"/>
      <c r="I83" s="241"/>
      <c r="J83" s="240"/>
      <c r="K83" s="19"/>
    </row>
    <row r="84" spans="1:11" ht="19.5" customHeight="1" x14ac:dyDescent="0.25">
      <c r="A84" s="19"/>
      <c r="B84" s="233"/>
      <c r="C84" s="238"/>
      <c r="D84" s="239"/>
      <c r="E84" s="240"/>
      <c r="F84" s="19"/>
      <c r="G84" s="242"/>
      <c r="H84" s="238"/>
      <c r="I84" s="241"/>
      <c r="J84" s="240"/>
      <c r="K84" s="19"/>
    </row>
    <row r="85" spans="1:11" ht="19.5" customHeight="1" x14ac:dyDescent="0.25">
      <c r="A85" s="19"/>
      <c r="B85" s="233"/>
      <c r="C85" s="238"/>
      <c r="D85" s="239"/>
      <c r="E85" s="240"/>
      <c r="F85" s="19"/>
      <c r="G85" s="242"/>
      <c r="H85" s="238"/>
      <c r="I85" s="241"/>
      <c r="J85" s="240"/>
      <c r="K85" s="19"/>
    </row>
    <row r="86" spans="1:11" ht="19.5" customHeight="1" x14ac:dyDescent="0.25">
      <c r="A86" s="19"/>
      <c r="B86" s="233"/>
      <c r="C86" s="238"/>
      <c r="D86" s="239"/>
      <c r="E86" s="240"/>
      <c r="F86" s="19"/>
      <c r="G86" s="242"/>
      <c r="H86" s="238"/>
      <c r="I86" s="241"/>
      <c r="J86" s="240"/>
      <c r="K86" s="19"/>
    </row>
    <row r="87" spans="1:11" ht="19.5" customHeight="1" x14ac:dyDescent="0.25">
      <c r="A87" s="19"/>
      <c r="B87" s="233"/>
      <c r="C87" s="238"/>
      <c r="D87" s="239"/>
      <c r="E87" s="240"/>
      <c r="F87" s="19"/>
      <c r="G87" s="242"/>
      <c r="H87" s="238"/>
      <c r="I87" s="241"/>
      <c r="J87" s="240"/>
      <c r="K87" s="19"/>
    </row>
    <row r="88" spans="1:11" ht="19.5" customHeight="1" x14ac:dyDescent="0.25">
      <c r="A88" s="19"/>
      <c r="B88" s="233"/>
      <c r="C88" s="238"/>
      <c r="D88" s="239"/>
      <c r="E88" s="240"/>
      <c r="F88" s="19"/>
      <c r="G88" s="242"/>
      <c r="H88" s="238"/>
      <c r="I88" s="241"/>
      <c r="J88" s="240"/>
      <c r="K88" s="19"/>
    </row>
    <row r="89" spans="1:11" ht="19.5" customHeight="1" x14ac:dyDescent="0.25">
      <c r="A89" s="19"/>
      <c r="B89" s="233"/>
      <c r="C89" s="238"/>
      <c r="D89" s="239"/>
      <c r="E89" s="240"/>
      <c r="F89" s="19"/>
      <c r="G89" s="242"/>
      <c r="H89" s="238"/>
      <c r="I89" s="241"/>
      <c r="J89" s="240"/>
      <c r="K89" s="19"/>
    </row>
    <row r="90" spans="1:11" ht="19.5" customHeight="1" x14ac:dyDescent="0.25">
      <c r="A90" s="19"/>
      <c r="B90" s="233"/>
      <c r="C90" s="238"/>
      <c r="D90" s="239"/>
      <c r="E90" s="240"/>
      <c r="F90" s="19"/>
      <c r="G90" s="242"/>
      <c r="H90" s="238"/>
      <c r="I90" s="241"/>
      <c r="J90" s="240"/>
      <c r="K90" s="19"/>
    </row>
    <row r="91" spans="1:11" ht="19.5" customHeight="1" x14ac:dyDescent="0.25">
      <c r="A91" s="19"/>
      <c r="B91" s="233"/>
      <c r="C91" s="238"/>
      <c r="D91" s="239"/>
      <c r="E91" s="240"/>
      <c r="F91" s="19"/>
      <c r="G91" s="242"/>
      <c r="H91" s="238"/>
      <c r="I91" s="241"/>
      <c r="J91" s="240"/>
      <c r="K91" s="19"/>
    </row>
    <row r="92" spans="1:11" ht="19.5" customHeight="1" x14ac:dyDescent="0.25">
      <c r="A92" s="19"/>
      <c r="B92" s="233"/>
      <c r="C92" s="238"/>
      <c r="D92" s="239"/>
      <c r="E92" s="240"/>
      <c r="F92" s="19"/>
      <c r="G92" s="242"/>
      <c r="H92" s="238"/>
      <c r="I92" s="241"/>
      <c r="J92" s="240"/>
      <c r="K92" s="19"/>
    </row>
    <row r="93" spans="1:11" ht="19.5" customHeight="1" x14ac:dyDescent="0.25">
      <c r="A93" s="19"/>
      <c r="B93" s="233"/>
      <c r="C93" s="238"/>
      <c r="D93" s="239"/>
      <c r="E93" s="240"/>
      <c r="F93" s="19"/>
      <c r="G93" s="242"/>
      <c r="H93" s="238"/>
      <c r="I93" s="241"/>
      <c r="J93" s="240"/>
      <c r="K93" s="19"/>
    </row>
    <row r="94" spans="1:11" ht="19.5" customHeight="1" x14ac:dyDescent="0.25">
      <c r="A94" s="19"/>
      <c r="B94" s="233"/>
      <c r="C94" s="238"/>
      <c r="D94" s="239"/>
      <c r="E94" s="240"/>
      <c r="F94" s="19"/>
      <c r="G94" s="242"/>
      <c r="H94" s="238"/>
      <c r="I94" s="241"/>
      <c r="J94" s="240"/>
      <c r="K94" s="19"/>
    </row>
    <row r="95" spans="1:11" ht="19.5" customHeight="1" x14ac:dyDescent="0.25">
      <c r="A95" s="19"/>
      <c r="B95" s="233"/>
      <c r="C95" s="238"/>
      <c r="D95" s="239"/>
      <c r="E95" s="240"/>
      <c r="F95" s="19"/>
      <c r="G95" s="242"/>
      <c r="H95" s="238"/>
      <c r="I95" s="241"/>
      <c r="J95" s="240"/>
      <c r="K95" s="19"/>
    </row>
    <row r="96" spans="1:11" ht="19.5" customHeight="1" x14ac:dyDescent="0.25">
      <c r="A96" s="19"/>
      <c r="B96" s="233"/>
      <c r="C96" s="238"/>
      <c r="D96" s="239"/>
      <c r="E96" s="240"/>
      <c r="F96" s="19"/>
      <c r="G96" s="242"/>
      <c r="H96" s="238"/>
      <c r="I96" s="241"/>
      <c r="J96" s="240"/>
      <c r="K96" s="19"/>
    </row>
    <row r="97" spans="1:11" ht="19.5" customHeight="1" x14ac:dyDescent="0.25">
      <c r="A97" s="19"/>
      <c r="B97" s="233"/>
      <c r="C97" s="238"/>
      <c r="D97" s="239"/>
      <c r="E97" s="240"/>
      <c r="F97" s="19"/>
      <c r="G97" s="242"/>
      <c r="H97" s="238"/>
      <c r="I97" s="241"/>
      <c r="J97" s="240"/>
      <c r="K97" s="19"/>
    </row>
    <row r="98" spans="1:11" ht="19.5" customHeight="1" x14ac:dyDescent="0.25">
      <c r="A98" s="19"/>
      <c r="B98" s="233"/>
      <c r="C98" s="238"/>
      <c r="D98" s="239"/>
      <c r="E98" s="240"/>
      <c r="F98" s="19"/>
      <c r="G98" s="242"/>
      <c r="H98" s="238"/>
      <c r="I98" s="241"/>
      <c r="J98" s="240"/>
      <c r="K98" s="19"/>
    </row>
    <row r="99" spans="1:11" ht="19.5" customHeight="1" x14ac:dyDescent="0.25">
      <c r="A99" s="19"/>
      <c r="B99" s="233"/>
      <c r="C99" s="238"/>
      <c r="D99" s="239"/>
      <c r="E99" s="240"/>
      <c r="F99" s="19"/>
      <c r="G99" s="242"/>
      <c r="H99" s="238"/>
      <c r="I99" s="241"/>
      <c r="J99" s="240"/>
      <c r="K99" s="19"/>
    </row>
    <row r="100" spans="1:11" ht="19.5" customHeight="1" x14ac:dyDescent="0.25">
      <c r="A100" s="19"/>
      <c r="B100" s="233"/>
      <c r="C100" s="238"/>
      <c r="D100" s="239"/>
      <c r="E100" s="240"/>
      <c r="F100" s="19"/>
      <c r="G100" s="242"/>
      <c r="H100" s="238"/>
      <c r="I100" s="241"/>
      <c r="J100" s="240"/>
      <c r="K100" s="19"/>
    </row>
    <row r="101" spans="1:11" ht="19.5" customHeight="1" x14ac:dyDescent="0.25">
      <c r="A101" s="19"/>
      <c r="B101" s="233"/>
      <c r="C101" s="238"/>
      <c r="D101" s="239"/>
      <c r="E101" s="240"/>
      <c r="F101" s="19"/>
      <c r="G101" s="242"/>
      <c r="H101" s="238"/>
      <c r="I101" s="241"/>
      <c r="J101" s="240"/>
      <c r="K101" s="19"/>
    </row>
    <row r="102" spans="1:11" ht="19.5" customHeight="1" x14ac:dyDescent="0.25">
      <c r="A102" s="19"/>
      <c r="B102" s="233"/>
      <c r="C102" s="238"/>
      <c r="D102" s="239"/>
      <c r="E102" s="240"/>
      <c r="F102" s="19"/>
      <c r="G102" s="242"/>
      <c r="H102" s="238"/>
      <c r="I102" s="241"/>
      <c r="J102" s="240"/>
      <c r="K102" s="19"/>
    </row>
    <row r="103" spans="1:11" ht="19.5" customHeight="1" x14ac:dyDescent="0.25">
      <c r="A103" s="19"/>
      <c r="B103" s="233"/>
      <c r="C103" s="238"/>
      <c r="D103" s="239"/>
      <c r="E103" s="240"/>
      <c r="F103" s="19"/>
      <c r="G103" s="242"/>
      <c r="H103" s="238"/>
      <c r="I103" s="241"/>
      <c r="J103" s="240"/>
      <c r="K103" s="19"/>
    </row>
    <row r="104" spans="1:11" ht="19.5" customHeight="1" x14ac:dyDescent="0.25">
      <c r="A104" s="19"/>
      <c r="B104" s="233"/>
      <c r="C104" s="238"/>
      <c r="D104" s="239"/>
      <c r="E104" s="240"/>
      <c r="F104" s="19"/>
      <c r="G104" s="242"/>
      <c r="H104" s="238"/>
      <c r="I104" s="241"/>
      <c r="J104" s="240"/>
      <c r="K104" s="19"/>
    </row>
    <row r="105" spans="1:11" ht="19.5" customHeight="1" x14ac:dyDescent="0.25">
      <c r="A105" s="19"/>
      <c r="B105" s="233"/>
      <c r="C105" s="238"/>
      <c r="D105" s="239"/>
      <c r="E105" s="240"/>
      <c r="F105" s="19"/>
      <c r="G105" s="242"/>
      <c r="H105" s="238"/>
      <c r="I105" s="241"/>
      <c r="J105" s="240"/>
      <c r="K105" s="19"/>
    </row>
    <row r="106" spans="1:11" ht="19.5" customHeight="1" x14ac:dyDescent="0.25">
      <c r="A106" s="19"/>
      <c r="B106" s="233"/>
      <c r="C106" s="238"/>
      <c r="D106" s="239"/>
      <c r="E106" s="240"/>
      <c r="F106" s="19"/>
      <c r="G106" s="242"/>
      <c r="H106" s="238"/>
      <c r="I106" s="241"/>
      <c r="J106" s="240"/>
      <c r="K106" s="19"/>
    </row>
    <row r="107" spans="1:11" ht="19.5" customHeight="1" x14ac:dyDescent="0.25">
      <c r="A107" s="19"/>
      <c r="B107" s="233"/>
      <c r="C107" s="238"/>
      <c r="D107" s="239"/>
      <c r="E107" s="240"/>
      <c r="F107" s="19"/>
      <c r="G107" s="242"/>
      <c r="H107" s="238"/>
      <c r="I107" s="241"/>
      <c r="J107" s="240"/>
      <c r="K107" s="19"/>
    </row>
    <row r="108" spans="1:11" ht="19.5" customHeight="1" x14ac:dyDescent="0.25">
      <c r="A108" s="19"/>
      <c r="B108" s="233"/>
      <c r="C108" s="238"/>
      <c r="D108" s="239"/>
      <c r="E108" s="240"/>
      <c r="F108" s="19"/>
      <c r="G108" s="242"/>
      <c r="H108" s="238"/>
      <c r="I108" s="241"/>
      <c r="J108" s="240"/>
      <c r="K108" s="19"/>
    </row>
    <row r="109" spans="1:11" ht="19.5" customHeight="1" x14ac:dyDescent="0.25">
      <c r="A109" s="19"/>
      <c r="B109" s="233"/>
      <c r="C109" s="238"/>
      <c r="D109" s="239"/>
      <c r="E109" s="240"/>
      <c r="F109" s="19"/>
      <c r="G109" s="242"/>
      <c r="H109" s="238"/>
      <c r="I109" s="241"/>
      <c r="J109" s="240"/>
      <c r="K109" s="19"/>
    </row>
    <row r="110" spans="1:11" ht="19.5" customHeight="1" x14ac:dyDescent="0.25">
      <c r="A110" s="19"/>
      <c r="B110" s="233"/>
      <c r="C110" s="238"/>
      <c r="D110" s="239"/>
      <c r="E110" s="240"/>
      <c r="F110" s="19"/>
      <c r="G110" s="242"/>
      <c r="H110" s="238"/>
      <c r="I110" s="241"/>
      <c r="J110" s="240"/>
      <c r="K110" s="19"/>
    </row>
    <row r="111" spans="1:11" ht="19.5" customHeight="1" x14ac:dyDescent="0.25">
      <c r="A111" s="19"/>
      <c r="B111" s="233"/>
      <c r="C111" s="238"/>
      <c r="D111" s="239"/>
      <c r="E111" s="240"/>
      <c r="F111" s="19"/>
      <c r="G111" s="242"/>
      <c r="H111" s="238"/>
      <c r="I111" s="241"/>
      <c r="J111" s="240"/>
      <c r="K111" s="19"/>
    </row>
    <row r="112" spans="1:11" ht="19.5" customHeight="1" x14ac:dyDescent="0.25">
      <c r="A112" s="19"/>
      <c r="B112" s="233"/>
      <c r="C112" s="238"/>
      <c r="D112" s="239"/>
      <c r="E112" s="240"/>
      <c r="F112" s="19"/>
      <c r="G112" s="242"/>
      <c r="H112" s="238"/>
      <c r="I112" s="241"/>
      <c r="J112" s="240"/>
      <c r="K112" s="19"/>
    </row>
    <row r="113" spans="1:11" ht="19.5" customHeight="1" x14ac:dyDescent="0.25">
      <c r="A113" s="19"/>
      <c r="B113" s="233"/>
      <c r="C113" s="238"/>
      <c r="D113" s="239"/>
      <c r="E113" s="240"/>
      <c r="F113" s="19"/>
      <c r="G113" s="242"/>
      <c r="H113" s="238"/>
      <c r="I113" s="241"/>
      <c r="J113" s="240"/>
      <c r="K113" s="19"/>
    </row>
    <row r="114" spans="1:11" ht="19.5" customHeight="1" x14ac:dyDescent="0.25">
      <c r="A114" s="19"/>
      <c r="B114" s="233"/>
      <c r="C114" s="238"/>
      <c r="D114" s="239"/>
      <c r="E114" s="240"/>
      <c r="F114" s="19"/>
      <c r="G114" s="242"/>
      <c r="H114" s="238"/>
      <c r="I114" s="241"/>
      <c r="J114" s="240"/>
      <c r="K114" s="19"/>
    </row>
    <row r="115" spans="1:11" ht="19.5" customHeight="1" x14ac:dyDescent="0.25">
      <c r="A115" s="19"/>
      <c r="B115" s="233"/>
      <c r="C115" s="238"/>
      <c r="D115" s="239"/>
      <c r="E115" s="240"/>
      <c r="F115" s="19"/>
      <c r="G115" s="242"/>
      <c r="H115" s="238"/>
      <c r="I115" s="241"/>
      <c r="J115" s="240"/>
      <c r="K115" s="19"/>
    </row>
    <row r="116" spans="1:11" ht="19.5" customHeight="1" x14ac:dyDescent="0.25">
      <c r="A116" s="19"/>
      <c r="B116" s="233"/>
      <c r="C116" s="238"/>
      <c r="D116" s="239"/>
      <c r="E116" s="240"/>
      <c r="F116" s="19"/>
      <c r="G116" s="242"/>
      <c r="H116" s="238"/>
      <c r="I116" s="241"/>
      <c r="J116" s="240"/>
      <c r="K116" s="19"/>
    </row>
    <row r="117" spans="1:11" ht="19.5" customHeight="1" x14ac:dyDescent="0.25">
      <c r="A117" s="19"/>
      <c r="B117" s="233"/>
      <c r="C117" s="238"/>
      <c r="D117" s="239"/>
      <c r="E117" s="240"/>
      <c r="F117" s="19"/>
      <c r="G117" s="242"/>
      <c r="H117" s="238"/>
      <c r="I117" s="241"/>
      <c r="J117" s="240"/>
      <c r="K117" s="19"/>
    </row>
    <row r="118" spans="1:11" ht="19.5" customHeight="1" x14ac:dyDescent="0.25">
      <c r="A118" s="19"/>
      <c r="B118" s="233"/>
      <c r="C118" s="238"/>
      <c r="D118" s="239"/>
      <c r="E118" s="240"/>
      <c r="F118" s="19"/>
      <c r="G118" s="242"/>
      <c r="H118" s="238"/>
      <c r="I118" s="241"/>
      <c r="J118" s="240"/>
      <c r="K118" s="19"/>
    </row>
    <row r="119" spans="1:11" ht="19.5" customHeight="1" x14ac:dyDescent="0.25">
      <c r="A119" s="19"/>
      <c r="B119" s="233"/>
      <c r="C119" s="238"/>
      <c r="D119" s="239"/>
      <c r="E119" s="240"/>
      <c r="F119" s="19"/>
      <c r="G119" s="242"/>
      <c r="H119" s="238"/>
      <c r="I119" s="241"/>
      <c r="J119" s="240"/>
      <c r="K119" s="19"/>
    </row>
    <row r="120" spans="1:11" ht="19.5" customHeight="1" x14ac:dyDescent="0.25">
      <c r="A120" s="19"/>
      <c r="B120" s="233"/>
      <c r="C120" s="238"/>
      <c r="D120" s="239"/>
      <c r="E120" s="240"/>
      <c r="F120" s="19"/>
      <c r="G120" s="242"/>
      <c r="H120" s="238"/>
      <c r="I120" s="241"/>
      <c r="J120" s="240"/>
      <c r="K120" s="19"/>
    </row>
    <row r="121" spans="1:11" ht="19.5" customHeight="1" x14ac:dyDescent="0.25">
      <c r="A121" s="19"/>
      <c r="B121" s="233"/>
      <c r="C121" s="238"/>
      <c r="D121" s="239"/>
      <c r="E121" s="240"/>
      <c r="F121" s="19"/>
      <c r="G121" s="242"/>
      <c r="H121" s="238"/>
      <c r="I121" s="241"/>
      <c r="J121" s="240"/>
      <c r="K121" s="19"/>
    </row>
    <row r="122" spans="1:11" ht="19.5" customHeight="1" x14ac:dyDescent="0.25">
      <c r="A122" s="19"/>
      <c r="B122" s="233"/>
      <c r="C122" s="238"/>
      <c r="D122" s="239"/>
      <c r="E122" s="240"/>
      <c r="F122" s="19"/>
      <c r="G122" s="242"/>
      <c r="H122" s="238"/>
      <c r="I122" s="241"/>
      <c r="J122" s="240"/>
      <c r="K122" s="19"/>
    </row>
    <row r="123" spans="1:11" ht="19.5" customHeight="1" x14ac:dyDescent="0.25">
      <c r="A123" s="19"/>
      <c r="B123" s="233"/>
      <c r="C123" s="238"/>
      <c r="D123" s="239"/>
      <c r="E123" s="240"/>
      <c r="F123" s="19"/>
      <c r="G123" s="242"/>
      <c r="H123" s="238"/>
      <c r="I123" s="241"/>
      <c r="J123" s="240"/>
      <c r="K123" s="19"/>
    </row>
    <row r="124" spans="1:11" ht="19.5" customHeight="1" x14ac:dyDescent="0.25">
      <c r="A124" s="19"/>
      <c r="B124" s="233"/>
      <c r="C124" s="238"/>
      <c r="D124" s="239"/>
      <c r="E124" s="240"/>
      <c r="F124" s="19"/>
      <c r="G124" s="242"/>
      <c r="H124" s="238"/>
      <c r="I124" s="241"/>
      <c r="J124" s="240"/>
      <c r="K124" s="19"/>
    </row>
    <row r="125" spans="1:11" ht="19.5" customHeight="1" x14ac:dyDescent="0.25">
      <c r="A125" s="19"/>
      <c r="B125" s="233"/>
      <c r="C125" s="238"/>
      <c r="D125" s="239"/>
      <c r="E125" s="240"/>
      <c r="F125" s="19"/>
      <c r="G125" s="242"/>
      <c r="H125" s="238"/>
      <c r="I125" s="241"/>
      <c r="J125" s="240"/>
      <c r="K125" s="19"/>
    </row>
    <row r="126" spans="1:11" ht="19.5" customHeight="1" x14ac:dyDescent="0.25">
      <c r="A126" s="19"/>
      <c r="B126" s="233"/>
      <c r="C126" s="238"/>
      <c r="D126" s="239"/>
      <c r="E126" s="240"/>
      <c r="F126" s="19"/>
      <c r="G126" s="242"/>
      <c r="H126" s="238"/>
      <c r="I126" s="241"/>
      <c r="J126" s="240"/>
      <c r="K126" s="19"/>
    </row>
    <row r="127" spans="1:11" ht="19.5" customHeight="1" x14ac:dyDescent="0.25">
      <c r="A127" s="19"/>
      <c r="B127" s="233"/>
      <c r="C127" s="238"/>
      <c r="D127" s="239"/>
      <c r="E127" s="240"/>
      <c r="F127" s="19"/>
      <c r="G127" s="242"/>
      <c r="H127" s="238"/>
      <c r="I127" s="241"/>
      <c r="J127" s="240"/>
      <c r="K127" s="19"/>
    </row>
    <row r="128" spans="1:11" ht="19.5" customHeight="1" x14ac:dyDescent="0.25">
      <c r="A128" s="19"/>
      <c r="B128" s="233"/>
      <c r="C128" s="238"/>
      <c r="D128" s="239"/>
      <c r="E128" s="240"/>
      <c r="F128" s="19"/>
      <c r="G128" s="242"/>
      <c r="H128" s="238"/>
      <c r="I128" s="241"/>
      <c r="J128" s="240"/>
      <c r="K128" s="19"/>
    </row>
    <row r="129" spans="1:11" ht="19.5" customHeight="1" x14ac:dyDescent="0.25">
      <c r="A129" s="19"/>
      <c r="B129" s="233"/>
      <c r="C129" s="238"/>
      <c r="D129" s="239"/>
      <c r="E129" s="240"/>
      <c r="F129" s="19"/>
      <c r="G129" s="242"/>
      <c r="H129" s="238"/>
      <c r="I129" s="241"/>
      <c r="J129" s="240"/>
      <c r="K129" s="19"/>
    </row>
    <row r="130" spans="1:11" ht="19.5" customHeight="1" x14ac:dyDescent="0.25">
      <c r="A130" s="19"/>
      <c r="B130" s="233"/>
      <c r="C130" s="238"/>
      <c r="D130" s="239"/>
      <c r="E130" s="240"/>
      <c r="F130" s="19"/>
      <c r="G130" s="242"/>
      <c r="H130" s="238"/>
      <c r="I130" s="241"/>
      <c r="J130" s="240"/>
      <c r="K130" s="19"/>
    </row>
    <row r="131" spans="1:11" ht="19.5" customHeight="1" x14ac:dyDescent="0.25">
      <c r="A131" s="19"/>
      <c r="B131" s="233"/>
      <c r="C131" s="238"/>
      <c r="D131" s="239"/>
      <c r="E131" s="240"/>
      <c r="F131" s="19"/>
      <c r="G131" s="242"/>
      <c r="H131" s="238"/>
      <c r="I131" s="241"/>
      <c r="J131" s="240"/>
      <c r="K131" s="19"/>
    </row>
    <row r="132" spans="1:11" ht="19.5" customHeight="1" x14ac:dyDescent="0.25">
      <c r="A132" s="19"/>
      <c r="B132" s="233"/>
      <c r="C132" s="238"/>
      <c r="D132" s="239"/>
      <c r="E132" s="240"/>
      <c r="F132" s="19"/>
      <c r="G132" s="242"/>
      <c r="H132" s="238"/>
      <c r="I132" s="241"/>
      <c r="J132" s="240"/>
      <c r="K132" s="19"/>
    </row>
    <row r="133" spans="1:11" ht="19.5" customHeight="1" x14ac:dyDescent="0.25">
      <c r="A133" s="19"/>
      <c r="B133" s="233"/>
      <c r="C133" s="238"/>
      <c r="D133" s="239"/>
      <c r="E133" s="240"/>
      <c r="F133" s="19"/>
      <c r="G133" s="242"/>
      <c r="H133" s="238"/>
      <c r="I133" s="241"/>
      <c r="J133" s="240"/>
      <c r="K133" s="19"/>
    </row>
    <row r="134" spans="1:11" ht="19.5" customHeight="1" x14ac:dyDescent="0.25">
      <c r="A134" s="19"/>
      <c r="B134" s="233"/>
      <c r="C134" s="238"/>
      <c r="D134" s="239"/>
      <c r="E134" s="240"/>
      <c r="F134" s="19"/>
      <c r="G134" s="242"/>
      <c r="H134" s="238"/>
      <c r="I134" s="241"/>
      <c r="J134" s="240"/>
      <c r="K134" s="19"/>
    </row>
    <row r="135" spans="1:11" ht="19.5" customHeight="1" x14ac:dyDescent="0.25">
      <c r="A135" s="19"/>
      <c r="B135" s="233"/>
      <c r="C135" s="238"/>
      <c r="D135" s="239"/>
      <c r="E135" s="240"/>
      <c r="F135" s="19"/>
      <c r="G135" s="242"/>
      <c r="H135" s="238"/>
      <c r="I135" s="241"/>
      <c r="J135" s="240"/>
      <c r="K135" s="19"/>
    </row>
    <row r="136" spans="1:11" ht="19.5" customHeight="1" x14ac:dyDescent="0.25">
      <c r="A136" s="19"/>
      <c r="B136" s="233"/>
      <c r="C136" s="238"/>
      <c r="D136" s="239"/>
      <c r="E136" s="240"/>
      <c r="F136" s="19"/>
      <c r="G136" s="242"/>
      <c r="H136" s="238"/>
      <c r="I136" s="241"/>
      <c r="J136" s="240"/>
      <c r="K136" s="19"/>
    </row>
    <row r="137" spans="1:11" ht="19.5" customHeight="1" x14ac:dyDescent="0.25">
      <c r="A137" s="19"/>
      <c r="B137" s="233"/>
      <c r="C137" s="238"/>
      <c r="D137" s="239"/>
      <c r="E137" s="240"/>
      <c r="F137" s="19"/>
      <c r="G137" s="242"/>
      <c r="H137" s="238"/>
      <c r="I137" s="241"/>
      <c r="J137" s="240"/>
      <c r="K137" s="19"/>
    </row>
    <row r="138" spans="1:11" ht="19.5" customHeight="1" x14ac:dyDescent="0.25">
      <c r="A138" s="19"/>
      <c r="B138" s="233"/>
      <c r="C138" s="238"/>
      <c r="D138" s="239"/>
      <c r="E138" s="240"/>
      <c r="F138" s="19"/>
      <c r="G138" s="242"/>
      <c r="H138" s="238"/>
      <c r="I138" s="241"/>
      <c r="J138" s="240"/>
      <c r="K138" s="19"/>
    </row>
    <row r="139" spans="1:11" ht="19.5" customHeight="1" x14ac:dyDescent="0.25">
      <c r="A139" s="19"/>
      <c r="B139" s="233"/>
      <c r="C139" s="238"/>
      <c r="D139" s="239"/>
      <c r="E139" s="240"/>
      <c r="F139" s="19"/>
      <c r="G139" s="242"/>
      <c r="H139" s="238"/>
      <c r="I139" s="241"/>
      <c r="J139" s="240"/>
      <c r="K139" s="19"/>
    </row>
    <row r="140" spans="1:11" ht="19.5" customHeight="1" x14ac:dyDescent="0.25">
      <c r="A140" s="19"/>
      <c r="B140" s="233"/>
      <c r="C140" s="238"/>
      <c r="D140" s="239"/>
      <c r="E140" s="240"/>
      <c r="F140" s="19"/>
      <c r="G140" s="242"/>
      <c r="H140" s="238"/>
      <c r="I140" s="241"/>
      <c r="J140" s="240"/>
      <c r="K140" s="19"/>
    </row>
    <row r="141" spans="1:11" ht="19.5" customHeight="1" x14ac:dyDescent="0.25">
      <c r="A141" s="19"/>
      <c r="B141" s="233"/>
      <c r="C141" s="238"/>
      <c r="D141" s="239"/>
      <c r="E141" s="240"/>
      <c r="F141" s="19"/>
      <c r="G141" s="242"/>
      <c r="H141" s="238"/>
      <c r="I141" s="241"/>
      <c r="J141" s="240"/>
      <c r="K141" s="19"/>
    </row>
    <row r="142" spans="1:11" ht="19.5" customHeight="1" x14ac:dyDescent="0.25">
      <c r="A142" s="19"/>
      <c r="B142" s="233"/>
      <c r="C142" s="238"/>
      <c r="D142" s="239"/>
      <c r="E142" s="240"/>
      <c r="F142" s="19"/>
      <c r="G142" s="242"/>
      <c r="H142" s="238"/>
      <c r="I142" s="241"/>
      <c r="J142" s="240"/>
      <c r="K142" s="19"/>
    </row>
    <row r="143" spans="1:11" ht="19.5" customHeight="1" x14ac:dyDescent="0.25">
      <c r="A143" s="19"/>
      <c r="B143" s="233"/>
      <c r="C143" s="238"/>
      <c r="D143" s="239"/>
      <c r="E143" s="240"/>
      <c r="F143" s="19"/>
      <c r="G143" s="242"/>
      <c r="H143" s="238"/>
      <c r="I143" s="241"/>
      <c r="J143" s="240"/>
      <c r="K143" s="19"/>
    </row>
    <row r="144" spans="1:11" ht="19.5" customHeight="1" x14ac:dyDescent="0.25">
      <c r="A144" s="19"/>
      <c r="B144" s="233"/>
      <c r="C144" s="238"/>
      <c r="D144" s="239"/>
      <c r="E144" s="240"/>
      <c r="F144" s="19"/>
      <c r="G144" s="242"/>
      <c r="H144" s="238"/>
      <c r="I144" s="241"/>
      <c r="J144" s="240"/>
      <c r="K144" s="19"/>
    </row>
    <row r="145" spans="1:11" ht="19.5" customHeight="1" x14ac:dyDescent="0.25">
      <c r="A145" s="19"/>
      <c r="B145" s="233"/>
      <c r="C145" s="238"/>
      <c r="D145" s="239"/>
      <c r="E145" s="240"/>
      <c r="F145" s="19"/>
      <c r="G145" s="242"/>
      <c r="H145" s="238"/>
      <c r="I145" s="241"/>
      <c r="J145" s="240"/>
      <c r="K145" s="19"/>
    </row>
    <row r="146" spans="1:11" ht="19.5" customHeight="1" x14ac:dyDescent="0.25">
      <c r="A146" s="19"/>
      <c r="B146" s="233"/>
      <c r="C146" s="238"/>
      <c r="D146" s="239"/>
      <c r="E146" s="240"/>
      <c r="F146" s="19"/>
      <c r="G146" s="242"/>
      <c r="H146" s="238"/>
      <c r="I146" s="241"/>
      <c r="J146" s="240"/>
      <c r="K146" s="19"/>
    </row>
    <row r="147" spans="1:11" ht="19.5" customHeight="1" x14ac:dyDescent="0.25">
      <c r="A147" s="19"/>
      <c r="B147" s="233"/>
      <c r="C147" s="238"/>
      <c r="D147" s="239"/>
      <c r="E147" s="240"/>
      <c r="F147" s="19"/>
      <c r="G147" s="242"/>
      <c r="H147" s="238"/>
      <c r="I147" s="241"/>
      <c r="J147" s="240"/>
      <c r="K147" s="19"/>
    </row>
    <row r="148" spans="1:11" ht="19.5" customHeight="1" x14ac:dyDescent="0.25">
      <c r="A148" s="19"/>
      <c r="B148" s="233"/>
      <c r="C148" s="238"/>
      <c r="D148" s="239"/>
      <c r="E148" s="240"/>
      <c r="F148" s="19"/>
      <c r="G148" s="242"/>
      <c r="H148" s="238"/>
      <c r="I148" s="241"/>
      <c r="J148" s="240"/>
      <c r="K148" s="19"/>
    </row>
    <row r="149" spans="1:11" ht="19.5" customHeight="1" x14ac:dyDescent="0.25">
      <c r="A149" s="19"/>
      <c r="B149" s="233"/>
      <c r="C149" s="238"/>
      <c r="D149" s="239"/>
      <c r="E149" s="240"/>
      <c r="F149" s="19"/>
      <c r="G149" s="242"/>
      <c r="H149" s="238"/>
      <c r="I149" s="241"/>
      <c r="J149" s="240"/>
      <c r="K149" s="19"/>
    </row>
    <row r="150" spans="1:11" ht="19.5" customHeight="1" x14ac:dyDescent="0.25">
      <c r="A150" s="19"/>
      <c r="B150" s="233"/>
      <c r="C150" s="238"/>
      <c r="D150" s="239"/>
      <c r="E150" s="240"/>
      <c r="F150" s="19"/>
      <c r="G150" s="242"/>
      <c r="H150" s="238"/>
      <c r="I150" s="241"/>
      <c r="J150" s="240"/>
      <c r="K150" s="19"/>
    </row>
    <row r="151" spans="1:11" ht="19.5" customHeight="1" x14ac:dyDescent="0.25">
      <c r="A151" s="19"/>
      <c r="B151" s="233"/>
      <c r="C151" s="238"/>
      <c r="D151" s="239"/>
      <c r="E151" s="240"/>
      <c r="F151" s="19"/>
      <c r="G151" s="242"/>
      <c r="H151" s="238"/>
      <c r="I151" s="241"/>
      <c r="J151" s="240"/>
      <c r="K151" s="19"/>
    </row>
    <row r="152" spans="1:11" ht="19.5" customHeight="1" x14ac:dyDescent="0.25">
      <c r="A152" s="19"/>
      <c r="B152" s="233"/>
      <c r="C152" s="238"/>
      <c r="D152" s="239"/>
      <c r="E152" s="240"/>
      <c r="F152" s="19"/>
      <c r="G152" s="242"/>
      <c r="H152" s="238"/>
      <c r="I152" s="241"/>
      <c r="J152" s="240"/>
      <c r="K152" s="19"/>
    </row>
    <row r="153" spans="1:11" ht="19.5" customHeight="1" x14ac:dyDescent="0.25">
      <c r="A153" s="19"/>
      <c r="B153" s="233"/>
      <c r="C153" s="238"/>
      <c r="D153" s="239"/>
      <c r="E153" s="240"/>
      <c r="F153" s="19"/>
      <c r="G153" s="242"/>
      <c r="H153" s="238"/>
      <c r="I153" s="241"/>
      <c r="J153" s="240"/>
      <c r="K153" s="19"/>
    </row>
    <row r="154" spans="1:11" ht="19.5" customHeight="1" x14ac:dyDescent="0.25">
      <c r="A154" s="19"/>
      <c r="B154" s="233"/>
      <c r="C154" s="238"/>
      <c r="D154" s="239"/>
      <c r="E154" s="240"/>
      <c r="F154" s="19"/>
      <c r="G154" s="242"/>
      <c r="H154" s="238"/>
      <c r="I154" s="241"/>
      <c r="J154" s="240"/>
      <c r="K154" s="19"/>
    </row>
    <row r="155" spans="1:11" ht="19.5" customHeight="1" x14ac:dyDescent="0.25">
      <c r="A155" s="19"/>
      <c r="B155" s="233"/>
      <c r="C155" s="238"/>
      <c r="D155" s="239"/>
      <c r="E155" s="240"/>
      <c r="F155" s="19"/>
      <c r="G155" s="242"/>
      <c r="H155" s="238"/>
      <c r="I155" s="241"/>
      <c r="J155" s="240"/>
      <c r="K155" s="19"/>
    </row>
    <row r="156" spans="1:11" ht="19.5" customHeight="1" x14ac:dyDescent="0.25">
      <c r="A156" s="19"/>
      <c r="B156" s="233"/>
      <c r="C156" s="238"/>
      <c r="D156" s="239"/>
      <c r="E156" s="240"/>
      <c r="F156" s="19"/>
      <c r="G156" s="242"/>
      <c r="H156" s="238"/>
      <c r="I156" s="241"/>
      <c r="J156" s="240"/>
      <c r="K156" s="19"/>
    </row>
    <row r="157" spans="1:11" ht="19.5" customHeight="1" x14ac:dyDescent="0.25">
      <c r="A157" s="19"/>
      <c r="B157" s="233"/>
      <c r="C157" s="238"/>
      <c r="D157" s="239"/>
      <c r="E157" s="240"/>
      <c r="F157" s="19"/>
      <c r="G157" s="242"/>
      <c r="H157" s="238"/>
      <c r="I157" s="241"/>
      <c r="J157" s="240"/>
      <c r="K157" s="19"/>
    </row>
    <row r="158" spans="1:11" ht="19.5" customHeight="1" x14ac:dyDescent="0.25">
      <c r="A158" s="19"/>
      <c r="B158" s="233"/>
      <c r="C158" s="238"/>
      <c r="D158" s="239"/>
      <c r="E158" s="240"/>
      <c r="F158" s="19"/>
      <c r="G158" s="242"/>
      <c r="H158" s="238"/>
      <c r="I158" s="241"/>
      <c r="J158" s="240"/>
      <c r="K158" s="19"/>
    </row>
    <row r="159" spans="1:11" ht="19.5" customHeight="1" x14ac:dyDescent="0.25">
      <c r="A159" s="19"/>
      <c r="B159" s="233"/>
      <c r="C159" s="238"/>
      <c r="D159" s="239"/>
      <c r="E159" s="240"/>
      <c r="F159" s="19"/>
      <c r="G159" s="242"/>
      <c r="H159" s="238"/>
      <c r="I159" s="241"/>
      <c r="J159" s="240"/>
      <c r="K159" s="19"/>
    </row>
    <row r="160" spans="1:11" ht="19.5" customHeight="1" x14ac:dyDescent="0.25">
      <c r="A160" s="19"/>
      <c r="B160" s="233"/>
      <c r="C160" s="238"/>
      <c r="D160" s="239"/>
      <c r="E160" s="240"/>
      <c r="F160" s="19"/>
      <c r="G160" s="242"/>
      <c r="H160" s="238"/>
      <c r="I160" s="241"/>
      <c r="J160" s="240"/>
      <c r="K160" s="19"/>
    </row>
    <row r="161" spans="1:11" ht="19.5" customHeight="1" x14ac:dyDescent="0.25">
      <c r="A161" s="19"/>
      <c r="B161" s="233"/>
      <c r="C161" s="238"/>
      <c r="D161" s="239"/>
      <c r="E161" s="240"/>
      <c r="F161" s="19"/>
      <c r="G161" s="242"/>
      <c r="H161" s="238"/>
      <c r="I161" s="241"/>
      <c r="J161" s="240"/>
      <c r="K161" s="19"/>
    </row>
    <row r="162" spans="1:11" ht="19.5" customHeight="1" x14ac:dyDescent="0.25">
      <c r="A162" s="19"/>
      <c r="B162" s="233"/>
      <c r="C162" s="238"/>
      <c r="D162" s="239"/>
      <c r="E162" s="240"/>
      <c r="F162" s="19"/>
      <c r="G162" s="242"/>
      <c r="H162" s="238"/>
      <c r="I162" s="241"/>
      <c r="J162" s="240"/>
      <c r="K162" s="19"/>
    </row>
    <row r="163" spans="1:11" ht="19.5" customHeight="1" x14ac:dyDescent="0.25">
      <c r="A163" s="19"/>
      <c r="B163" s="233"/>
      <c r="C163" s="238"/>
      <c r="D163" s="239"/>
      <c r="E163" s="240"/>
      <c r="F163" s="19"/>
      <c r="G163" s="242"/>
      <c r="H163" s="238"/>
      <c r="I163" s="241"/>
      <c r="J163" s="240"/>
      <c r="K163" s="19"/>
    </row>
    <row r="164" spans="1:11" ht="19.5" customHeight="1" x14ac:dyDescent="0.25">
      <c r="A164" s="19"/>
      <c r="B164" s="233"/>
      <c r="C164" s="238"/>
      <c r="D164" s="239"/>
      <c r="E164" s="240"/>
      <c r="F164" s="19"/>
      <c r="G164" s="242"/>
      <c r="H164" s="238"/>
      <c r="I164" s="241"/>
      <c r="J164" s="240"/>
      <c r="K164" s="19"/>
    </row>
    <row r="165" spans="1:11" ht="19.5" customHeight="1" x14ac:dyDescent="0.25">
      <c r="A165" s="19"/>
      <c r="B165" s="233"/>
      <c r="C165" s="238"/>
      <c r="D165" s="239"/>
      <c r="E165" s="240"/>
      <c r="F165" s="19"/>
      <c r="G165" s="242"/>
      <c r="H165" s="238"/>
      <c r="I165" s="241"/>
      <c r="J165" s="240"/>
      <c r="K165" s="19"/>
    </row>
    <row r="166" spans="1:11" ht="19.5" customHeight="1" x14ac:dyDescent="0.25">
      <c r="A166" s="19"/>
      <c r="B166" s="250"/>
      <c r="C166" s="238"/>
      <c r="D166" s="239"/>
      <c r="E166" s="240"/>
      <c r="F166" s="19"/>
      <c r="G166" s="242"/>
      <c r="H166" s="238"/>
      <c r="I166" s="241"/>
      <c r="J166" s="240"/>
      <c r="K166" s="19"/>
    </row>
    <row r="167" spans="1:11" ht="19.5" customHeight="1" x14ac:dyDescent="0.25">
      <c r="A167" s="19"/>
      <c r="B167" s="233"/>
      <c r="C167" s="238"/>
      <c r="D167" s="239"/>
      <c r="E167" s="240"/>
      <c r="F167" s="19"/>
      <c r="G167" s="242"/>
      <c r="H167" s="238"/>
      <c r="I167" s="241"/>
      <c r="J167" s="240"/>
      <c r="K167" s="19"/>
    </row>
    <row r="168" spans="1:11" ht="19.5" customHeight="1" x14ac:dyDescent="0.25">
      <c r="A168" s="19"/>
      <c r="B168" s="233"/>
      <c r="C168" s="238"/>
      <c r="D168" s="239"/>
      <c r="E168" s="240"/>
      <c r="F168" s="19"/>
      <c r="G168" s="242"/>
      <c r="H168" s="238"/>
      <c r="I168" s="241"/>
      <c r="J168" s="240"/>
      <c r="K168" s="19"/>
    </row>
    <row r="169" spans="1:11" ht="19.5" customHeight="1" x14ac:dyDescent="0.25">
      <c r="A169" s="19"/>
      <c r="B169" s="233"/>
      <c r="C169" s="238"/>
      <c r="D169" s="239"/>
      <c r="E169" s="240"/>
      <c r="F169" s="19"/>
      <c r="G169" s="242"/>
      <c r="H169" s="238"/>
      <c r="I169" s="241"/>
      <c r="J169" s="240"/>
      <c r="K169" s="19"/>
    </row>
    <row r="170" spans="1:11" ht="19.5" customHeight="1" x14ac:dyDescent="0.25">
      <c r="A170" s="19"/>
      <c r="B170" s="245"/>
      <c r="C170" s="246"/>
      <c r="D170" s="248"/>
      <c r="E170" s="247"/>
      <c r="F170" s="19"/>
      <c r="G170" s="242"/>
      <c r="H170" s="238"/>
      <c r="I170" s="241"/>
      <c r="J170" s="240"/>
      <c r="K170" s="19"/>
    </row>
    <row r="171" spans="1:11" ht="19.5" customHeight="1" x14ac:dyDescent="0.25">
      <c r="A171" s="19"/>
      <c r="B171" s="245"/>
      <c r="C171" s="246"/>
      <c r="D171" s="248"/>
      <c r="E171" s="247"/>
      <c r="F171" s="19"/>
      <c r="G171" s="242"/>
      <c r="H171" s="238"/>
      <c r="I171" s="241"/>
      <c r="J171" s="240"/>
      <c r="K171" s="19"/>
    </row>
    <row r="172" spans="1:11" ht="19.5" customHeight="1" x14ac:dyDescent="0.25">
      <c r="A172" s="19"/>
      <c r="B172" s="245"/>
      <c r="C172" s="246"/>
      <c r="D172" s="248"/>
      <c r="E172" s="247"/>
      <c r="F172" s="19"/>
      <c r="G172" s="242"/>
      <c r="H172" s="238"/>
      <c r="I172" s="241"/>
      <c r="J172" s="240"/>
      <c r="K172" s="19"/>
    </row>
    <row r="173" spans="1:11" ht="19.5" customHeight="1" x14ac:dyDescent="0.25">
      <c r="A173" s="19"/>
      <c r="B173" s="245"/>
      <c r="C173" s="246"/>
      <c r="D173" s="248"/>
      <c r="E173" s="247"/>
      <c r="F173" s="19"/>
      <c r="G173" s="242"/>
      <c r="H173" s="238"/>
      <c r="I173" s="241"/>
      <c r="J173" s="240"/>
      <c r="K173" s="19"/>
    </row>
    <row r="174" spans="1:11" ht="19.5" customHeight="1" x14ac:dyDescent="0.25">
      <c r="A174" s="19"/>
      <c r="B174" s="245"/>
      <c r="C174" s="246"/>
      <c r="D174" s="248"/>
      <c r="E174" s="247"/>
      <c r="F174" s="19"/>
      <c r="G174" s="242"/>
      <c r="H174" s="238"/>
      <c r="I174" s="241"/>
      <c r="J174" s="240"/>
      <c r="K174" s="19"/>
    </row>
    <row r="175" spans="1:11" ht="19.5" customHeight="1" x14ac:dyDescent="0.25">
      <c r="A175" s="19"/>
      <c r="B175" s="245"/>
      <c r="C175" s="246"/>
      <c r="D175" s="248"/>
      <c r="E175" s="247"/>
      <c r="F175" s="19"/>
      <c r="G175" s="245"/>
      <c r="H175" s="246"/>
      <c r="I175" s="126"/>
      <c r="J175" s="247"/>
      <c r="K175" s="19"/>
    </row>
    <row r="176" spans="1:11" ht="19.5" customHeight="1" x14ac:dyDescent="0.25">
      <c r="A176" s="19"/>
      <c r="B176" s="245"/>
      <c r="C176" s="246"/>
      <c r="D176" s="248"/>
      <c r="E176" s="247"/>
      <c r="F176" s="19"/>
      <c r="G176" s="245"/>
      <c r="H176" s="246"/>
      <c r="I176" s="126"/>
      <c r="J176" s="247"/>
      <c r="K176" s="19"/>
    </row>
    <row r="177" spans="1:11" ht="19.5" customHeight="1" x14ac:dyDescent="0.25">
      <c r="A177" s="19"/>
      <c r="B177" s="245"/>
      <c r="C177" s="246"/>
      <c r="D177" s="248"/>
      <c r="E177" s="247"/>
      <c r="F177" s="19"/>
      <c r="G177" s="245"/>
      <c r="H177" s="246"/>
      <c r="I177" s="126"/>
      <c r="J177" s="247"/>
      <c r="K177" s="19"/>
    </row>
    <row r="178" spans="1:11" ht="19.5" customHeight="1" x14ac:dyDescent="0.25">
      <c r="A178" s="19"/>
      <c r="B178" s="245"/>
      <c r="C178" s="246"/>
      <c r="D178" s="248"/>
      <c r="E178" s="247"/>
      <c r="F178" s="19"/>
      <c r="G178" s="245"/>
      <c r="H178" s="246"/>
      <c r="I178" s="126"/>
      <c r="J178" s="247"/>
      <c r="K178" s="19"/>
    </row>
    <row r="179" spans="1:11" ht="19.5" customHeight="1" x14ac:dyDescent="0.25">
      <c r="A179" s="19"/>
      <c r="B179" s="245"/>
      <c r="C179" s="246"/>
      <c r="D179" s="248"/>
      <c r="E179" s="247"/>
      <c r="F179" s="19"/>
      <c r="G179" s="245"/>
      <c r="H179" s="246"/>
      <c r="I179" s="126"/>
      <c r="J179" s="247"/>
      <c r="K179" s="19"/>
    </row>
    <row r="180" spans="1:11" ht="19.5" customHeight="1" x14ac:dyDescent="0.25">
      <c r="A180" s="19"/>
      <c r="B180" s="245"/>
      <c r="C180" s="246"/>
      <c r="D180" s="248"/>
      <c r="E180" s="247"/>
      <c r="F180" s="19"/>
      <c r="G180" s="245"/>
      <c r="H180" s="246"/>
      <c r="I180" s="126"/>
      <c r="J180" s="247"/>
      <c r="K180" s="19"/>
    </row>
    <row r="181" spans="1:11" ht="19.5" customHeight="1" x14ac:dyDescent="0.25">
      <c r="A181" s="19"/>
      <c r="B181" s="245"/>
      <c r="C181" s="246"/>
      <c r="D181" s="248"/>
      <c r="E181" s="247"/>
      <c r="F181" s="19"/>
      <c r="G181" s="245"/>
      <c r="H181" s="246"/>
      <c r="I181" s="126"/>
      <c r="J181" s="247"/>
      <c r="K181" s="19"/>
    </row>
    <row r="182" spans="1:11" ht="19.5" customHeight="1" x14ac:dyDescent="0.25">
      <c r="A182" s="19"/>
      <c r="B182" s="245"/>
      <c r="C182" s="246"/>
      <c r="D182" s="248"/>
      <c r="E182" s="247"/>
      <c r="F182" s="19"/>
      <c r="G182" s="245"/>
      <c r="H182" s="246"/>
      <c r="I182" s="126"/>
      <c r="J182" s="247"/>
      <c r="K182" s="19"/>
    </row>
    <row r="183" spans="1:11" ht="19.5" customHeight="1" x14ac:dyDescent="0.25">
      <c r="A183" s="19"/>
      <c r="B183" s="245"/>
      <c r="C183" s="246"/>
      <c r="D183" s="248"/>
      <c r="E183" s="247"/>
      <c r="F183" s="19"/>
      <c r="G183" s="245"/>
      <c r="H183" s="246"/>
      <c r="I183" s="126"/>
      <c r="J183" s="247"/>
      <c r="K183" s="19"/>
    </row>
    <row r="184" spans="1:11" ht="19.5" customHeight="1" x14ac:dyDescent="0.25">
      <c r="A184" s="19"/>
      <c r="B184" s="245"/>
      <c r="C184" s="246"/>
      <c r="D184" s="248"/>
      <c r="E184" s="247"/>
      <c r="F184" s="19"/>
      <c r="G184" s="245"/>
      <c r="H184" s="246"/>
      <c r="I184" s="126"/>
      <c r="J184" s="247"/>
      <c r="K184" s="19"/>
    </row>
    <row r="185" spans="1:11" ht="19.5" customHeight="1" x14ac:dyDescent="0.25">
      <c r="A185" s="19"/>
      <c r="B185" s="245"/>
      <c r="C185" s="246"/>
      <c r="D185" s="248"/>
      <c r="E185" s="247"/>
      <c r="F185" s="19"/>
      <c r="G185" s="245"/>
      <c r="H185" s="246"/>
      <c r="I185" s="126"/>
      <c r="J185" s="247"/>
      <c r="K185" s="19"/>
    </row>
    <row r="186" spans="1:11" ht="19.5" customHeight="1" x14ac:dyDescent="0.25">
      <c r="A186" s="19"/>
      <c r="B186" s="245"/>
      <c r="C186" s="246"/>
      <c r="D186" s="248"/>
      <c r="E186" s="247"/>
      <c r="F186" s="19"/>
      <c r="G186" s="245"/>
      <c r="H186" s="246"/>
      <c r="I186" s="126"/>
      <c r="J186" s="247"/>
      <c r="K186" s="19"/>
    </row>
    <row r="187" spans="1:11" ht="19.5" customHeight="1" x14ac:dyDescent="0.25">
      <c r="A187" s="19"/>
      <c r="B187" s="245"/>
      <c r="C187" s="246"/>
      <c r="D187" s="248"/>
      <c r="E187" s="247"/>
      <c r="F187" s="19"/>
      <c r="G187" s="245"/>
      <c r="H187" s="246"/>
      <c r="I187" s="126"/>
      <c r="J187" s="247"/>
      <c r="K187" s="19"/>
    </row>
    <row r="188" spans="1:11" ht="19.5" customHeight="1" x14ac:dyDescent="0.25">
      <c r="A188" s="19"/>
      <c r="B188" s="245"/>
      <c r="C188" s="246"/>
      <c r="D188" s="248"/>
      <c r="E188" s="247"/>
      <c r="F188" s="19"/>
      <c r="G188" s="245"/>
      <c r="H188" s="246"/>
      <c r="I188" s="126"/>
      <c r="J188" s="247"/>
      <c r="K188" s="19"/>
    </row>
    <row r="189" spans="1:11" ht="19.5" customHeight="1" x14ac:dyDescent="0.25">
      <c r="A189" s="19"/>
      <c r="B189" s="245"/>
      <c r="C189" s="246"/>
      <c r="D189" s="248"/>
      <c r="E189" s="247"/>
      <c r="F189" s="19"/>
      <c r="G189" s="245"/>
      <c r="H189" s="246"/>
      <c r="I189" s="126"/>
      <c r="J189" s="247"/>
      <c r="K189" s="19"/>
    </row>
    <row r="190" spans="1:11" ht="19.5" customHeight="1" x14ac:dyDescent="0.25">
      <c r="A190" s="19"/>
      <c r="B190" s="245"/>
      <c r="C190" s="246"/>
      <c r="D190" s="248"/>
      <c r="E190" s="247"/>
      <c r="F190" s="19"/>
      <c r="G190" s="245"/>
      <c r="H190" s="246"/>
      <c r="I190" s="126"/>
      <c r="J190" s="247"/>
      <c r="K190" s="19"/>
    </row>
    <row r="191" spans="1:11" ht="19.5" customHeight="1" x14ac:dyDescent="0.25">
      <c r="A191" s="19"/>
      <c r="B191" s="245"/>
      <c r="C191" s="246"/>
      <c r="D191" s="248"/>
      <c r="E191" s="247"/>
      <c r="F191" s="19"/>
      <c r="G191" s="245"/>
      <c r="H191" s="246"/>
      <c r="I191" s="126"/>
      <c r="J191" s="247"/>
      <c r="K191" s="19"/>
    </row>
    <row r="192" spans="1:11" ht="19.5" customHeight="1" x14ac:dyDescent="0.25">
      <c r="A192" s="19"/>
      <c r="B192" s="245"/>
      <c r="C192" s="246"/>
      <c r="D192" s="248"/>
      <c r="E192" s="247"/>
      <c r="F192" s="19"/>
      <c r="G192" s="245"/>
      <c r="H192" s="246"/>
      <c r="I192" s="126"/>
      <c r="J192" s="247"/>
      <c r="K192" s="19"/>
    </row>
    <row r="193" spans="1:11" ht="19.5" customHeight="1" x14ac:dyDescent="0.25">
      <c r="A193" s="19"/>
      <c r="B193" s="245"/>
      <c r="C193" s="246"/>
      <c r="D193" s="248"/>
      <c r="E193" s="247"/>
      <c r="F193" s="19"/>
      <c r="G193" s="245"/>
      <c r="H193" s="246"/>
      <c r="I193" s="126"/>
      <c r="J193" s="247"/>
      <c r="K193" s="19"/>
    </row>
    <row r="194" spans="1:11" ht="19.5" customHeight="1" x14ac:dyDescent="0.25">
      <c r="A194" s="19"/>
      <c r="B194" s="245"/>
      <c r="C194" s="246"/>
      <c r="D194" s="248"/>
      <c r="E194" s="247"/>
      <c r="F194" s="19"/>
      <c r="G194" s="245"/>
      <c r="H194" s="246"/>
      <c r="I194" s="126"/>
      <c r="J194" s="247"/>
      <c r="K194" s="19"/>
    </row>
    <row r="195" spans="1:11" ht="19.5" customHeight="1" x14ac:dyDescent="0.25">
      <c r="A195" s="19"/>
      <c r="B195" s="245"/>
      <c r="C195" s="246"/>
      <c r="D195" s="248"/>
      <c r="E195" s="247"/>
      <c r="F195" s="19"/>
      <c r="G195" s="245"/>
      <c r="H195" s="246"/>
      <c r="I195" s="126"/>
      <c r="J195" s="247"/>
      <c r="K195" s="19"/>
    </row>
    <row r="196" spans="1:11" ht="19.5" customHeight="1" x14ac:dyDescent="0.25">
      <c r="A196" s="19"/>
      <c r="B196" s="245"/>
      <c r="C196" s="246"/>
      <c r="D196" s="248"/>
      <c r="E196" s="247"/>
      <c r="F196" s="19"/>
      <c r="G196" s="245"/>
      <c r="H196" s="246"/>
      <c r="I196" s="126"/>
      <c r="J196" s="247"/>
      <c r="K196" s="19"/>
    </row>
    <row r="197" spans="1:11" ht="19.5" customHeight="1" x14ac:dyDescent="0.25">
      <c r="A197" s="19"/>
      <c r="B197" s="245"/>
      <c r="C197" s="246"/>
      <c r="D197" s="248"/>
      <c r="E197" s="247"/>
      <c r="F197" s="19"/>
      <c r="G197" s="245"/>
      <c r="H197" s="246"/>
      <c r="I197" s="126"/>
      <c r="J197" s="247"/>
      <c r="K197" s="19"/>
    </row>
    <row r="198" spans="1:11" ht="19.5" customHeight="1" x14ac:dyDescent="0.25">
      <c r="A198" s="19"/>
      <c r="B198" s="245"/>
      <c r="C198" s="246"/>
      <c r="D198" s="248"/>
      <c r="E198" s="247"/>
      <c r="F198" s="19"/>
      <c r="G198" s="245"/>
      <c r="H198" s="246"/>
      <c r="I198" s="126"/>
      <c r="J198" s="247"/>
      <c r="K198" s="19"/>
    </row>
    <row r="199" spans="1:11" ht="19.5" customHeight="1" x14ac:dyDescent="0.25">
      <c r="A199" s="19"/>
      <c r="B199" s="245"/>
      <c r="C199" s="246"/>
      <c r="D199" s="248"/>
      <c r="E199" s="247"/>
      <c r="F199" s="19"/>
      <c r="G199" s="245"/>
      <c r="H199" s="246"/>
      <c r="I199" s="126"/>
      <c r="J199" s="247"/>
      <c r="K199" s="19"/>
    </row>
    <row r="200" spans="1:11" ht="19.5" customHeight="1" x14ac:dyDescent="0.25">
      <c r="A200" s="19"/>
      <c r="B200" s="245"/>
      <c r="C200" s="246"/>
      <c r="D200" s="248"/>
      <c r="E200" s="247"/>
      <c r="F200" s="19"/>
      <c r="G200" s="245"/>
      <c r="H200" s="246"/>
      <c r="I200" s="126"/>
      <c r="J200" s="247"/>
      <c r="K200" s="19"/>
    </row>
    <row r="201" spans="1:11" ht="19.5" customHeight="1" x14ac:dyDescent="0.25">
      <c r="A201" s="19"/>
      <c r="B201" s="245"/>
      <c r="C201" s="246"/>
      <c r="D201" s="248"/>
      <c r="E201" s="247"/>
      <c r="F201" s="19"/>
      <c r="G201" s="245"/>
      <c r="H201" s="246"/>
      <c r="I201" s="126"/>
      <c r="J201" s="247"/>
      <c r="K201" s="19"/>
    </row>
    <row r="202" spans="1:11" ht="19.5" customHeight="1" x14ac:dyDescent="0.25">
      <c r="A202" s="19"/>
      <c r="B202" s="245"/>
      <c r="C202" s="246"/>
      <c r="D202" s="248"/>
      <c r="E202" s="247"/>
      <c r="F202" s="19"/>
      <c r="G202" s="245"/>
      <c r="H202" s="246"/>
      <c r="I202" s="126"/>
      <c r="J202" s="247"/>
      <c r="K202" s="19"/>
    </row>
    <row r="203" spans="1:11" ht="19.5" customHeight="1" x14ac:dyDescent="0.25">
      <c r="A203" s="19"/>
      <c r="B203" s="245"/>
      <c r="C203" s="246"/>
      <c r="D203" s="248"/>
      <c r="E203" s="247"/>
      <c r="F203" s="19"/>
      <c r="G203" s="245"/>
      <c r="H203" s="246"/>
      <c r="I203" s="126"/>
      <c r="J203" s="247"/>
      <c r="K203" s="19"/>
    </row>
    <row r="204" spans="1:11" ht="19.5" customHeight="1" x14ac:dyDescent="0.25">
      <c r="A204" s="19"/>
      <c r="B204" s="245"/>
      <c r="C204" s="246"/>
      <c r="D204" s="248"/>
      <c r="E204" s="247"/>
      <c r="F204" s="19"/>
      <c r="G204" s="245"/>
      <c r="H204" s="246"/>
      <c r="I204" s="126"/>
      <c r="J204" s="247"/>
      <c r="K204" s="19"/>
    </row>
    <row r="205" spans="1:11" ht="19.5" customHeight="1" x14ac:dyDescent="0.25">
      <c r="A205" s="19"/>
      <c r="B205" s="245"/>
      <c r="C205" s="246"/>
      <c r="D205" s="248"/>
      <c r="E205" s="247"/>
      <c r="F205" s="19"/>
      <c r="G205" s="245"/>
      <c r="H205" s="246"/>
      <c r="I205" s="126"/>
      <c r="J205" s="247"/>
      <c r="K205" s="19"/>
    </row>
    <row r="206" spans="1:11" ht="19.5" customHeight="1" x14ac:dyDescent="0.25">
      <c r="A206" s="19"/>
      <c r="B206" s="245"/>
      <c r="C206" s="246"/>
      <c r="D206" s="248"/>
      <c r="E206" s="247"/>
      <c r="F206" s="19"/>
      <c r="G206" s="245"/>
      <c r="H206" s="246"/>
      <c r="I206" s="126"/>
      <c r="J206" s="247"/>
      <c r="K206" s="19"/>
    </row>
    <row r="207" spans="1:11" ht="19.5" customHeight="1" x14ac:dyDescent="0.25">
      <c r="A207" s="19"/>
      <c r="B207" s="245"/>
      <c r="C207" s="246"/>
      <c r="D207" s="248"/>
      <c r="E207" s="247"/>
      <c r="F207" s="19"/>
      <c r="G207" s="245"/>
      <c r="H207" s="246"/>
      <c r="I207" s="126"/>
      <c r="J207" s="247"/>
      <c r="K207" s="19"/>
    </row>
    <row r="208" spans="1:11" ht="19.5" customHeight="1" x14ac:dyDescent="0.25">
      <c r="A208" s="19"/>
      <c r="B208" s="245"/>
      <c r="C208" s="246"/>
      <c r="D208" s="248"/>
      <c r="E208" s="247"/>
      <c r="F208" s="19"/>
      <c r="G208" s="245"/>
      <c r="H208" s="246"/>
      <c r="I208" s="126"/>
      <c r="J208" s="247"/>
      <c r="K208" s="19"/>
    </row>
    <row r="209" spans="1:11" ht="19.5" customHeight="1" x14ac:dyDescent="0.25">
      <c r="A209" s="19"/>
      <c r="B209" s="245"/>
      <c r="C209" s="246"/>
      <c r="D209" s="248"/>
      <c r="E209" s="247"/>
      <c r="F209" s="19"/>
      <c r="G209" s="245"/>
      <c r="H209" s="246"/>
      <c r="I209" s="126"/>
      <c r="J209" s="247"/>
      <c r="K209" s="19"/>
    </row>
    <row r="210" spans="1:11" ht="19.5" customHeight="1" x14ac:dyDescent="0.25">
      <c r="A210" s="19"/>
      <c r="B210" s="245"/>
      <c r="C210" s="246"/>
      <c r="D210" s="248"/>
      <c r="E210" s="247"/>
      <c r="F210" s="19"/>
      <c r="G210" s="245"/>
      <c r="H210" s="246"/>
      <c r="I210" s="126"/>
      <c r="J210" s="247"/>
      <c r="K210" s="19"/>
    </row>
    <row r="211" spans="1:11" ht="19.5" customHeight="1" x14ac:dyDescent="0.25">
      <c r="A211" s="19"/>
      <c r="B211" s="245"/>
      <c r="C211" s="246"/>
      <c r="D211" s="248"/>
      <c r="E211" s="247"/>
      <c r="F211" s="19"/>
      <c r="G211" s="245"/>
      <c r="H211" s="246"/>
      <c r="I211" s="126"/>
      <c r="J211" s="247"/>
      <c r="K211" s="19"/>
    </row>
    <row r="212" spans="1:11" ht="19.5" customHeight="1" x14ac:dyDescent="0.25">
      <c r="A212" s="19"/>
      <c r="B212" s="245"/>
      <c r="C212" s="246"/>
      <c r="D212" s="248"/>
      <c r="E212" s="247"/>
      <c r="F212" s="19"/>
      <c r="G212" s="245"/>
      <c r="H212" s="246"/>
      <c r="I212" s="126"/>
      <c r="J212" s="247"/>
      <c r="K212" s="19"/>
    </row>
    <row r="213" spans="1:11" ht="19.5" customHeight="1" x14ac:dyDescent="0.25">
      <c r="A213" s="19"/>
      <c r="B213" s="245"/>
      <c r="C213" s="246"/>
      <c r="D213" s="248"/>
      <c r="E213" s="247"/>
      <c r="F213" s="19"/>
      <c r="G213" s="245"/>
      <c r="H213" s="246"/>
      <c r="I213" s="126"/>
      <c r="J213" s="247"/>
      <c r="K213" s="19"/>
    </row>
    <row r="214" spans="1:11" ht="19.5" customHeight="1" x14ac:dyDescent="0.25">
      <c r="A214" s="19"/>
      <c r="B214" s="245"/>
      <c r="C214" s="246"/>
      <c r="D214" s="248"/>
      <c r="E214" s="247"/>
      <c r="F214" s="19"/>
      <c r="G214" s="245"/>
      <c r="H214" s="246"/>
      <c r="I214" s="126"/>
      <c r="J214" s="247"/>
      <c r="K214" s="19"/>
    </row>
    <row r="215" spans="1:11" ht="19.5" customHeight="1" x14ac:dyDescent="0.25">
      <c r="A215" s="19"/>
      <c r="B215" s="245"/>
      <c r="C215" s="246"/>
      <c r="D215" s="248"/>
      <c r="E215" s="247"/>
      <c r="F215" s="19"/>
      <c r="G215" s="245"/>
      <c r="H215" s="246"/>
      <c r="I215" s="126"/>
      <c r="J215" s="247"/>
      <c r="K215" s="19"/>
    </row>
    <row r="216" spans="1:11" ht="19.5" customHeight="1" x14ac:dyDescent="0.25">
      <c r="A216" s="19"/>
      <c r="B216" s="245"/>
      <c r="C216" s="246"/>
      <c r="D216" s="248"/>
      <c r="E216" s="247"/>
      <c r="F216" s="19"/>
      <c r="G216" s="245"/>
      <c r="H216" s="246"/>
      <c r="I216" s="126"/>
      <c r="J216" s="247"/>
      <c r="K216" s="19"/>
    </row>
    <row r="217" spans="1:11" ht="19.5" customHeight="1" x14ac:dyDescent="0.25">
      <c r="A217" s="19"/>
      <c r="B217" s="245"/>
      <c r="C217" s="246"/>
      <c r="D217" s="248"/>
      <c r="E217" s="247"/>
      <c r="F217" s="19"/>
      <c r="G217" s="245"/>
      <c r="H217" s="246"/>
      <c r="I217" s="126"/>
      <c r="J217" s="247"/>
      <c r="K217" s="19"/>
    </row>
    <row r="218" spans="1:11" ht="19.5" customHeight="1" x14ac:dyDescent="0.25">
      <c r="A218" s="19"/>
      <c r="B218" s="245"/>
      <c r="C218" s="246"/>
      <c r="D218" s="248"/>
      <c r="E218" s="247"/>
      <c r="F218" s="19"/>
      <c r="G218" s="245"/>
      <c r="H218" s="246"/>
      <c r="I218" s="126"/>
      <c r="J218" s="247"/>
      <c r="K218" s="19"/>
    </row>
    <row r="219" spans="1:11" ht="19.5" customHeight="1" x14ac:dyDescent="0.25">
      <c r="A219" s="19"/>
      <c r="B219" s="245"/>
      <c r="C219" s="246"/>
      <c r="D219" s="248"/>
      <c r="E219" s="247"/>
      <c r="F219" s="19"/>
      <c r="G219" s="245"/>
      <c r="H219" s="246"/>
      <c r="I219" s="126"/>
      <c r="J219" s="247"/>
      <c r="K219" s="19"/>
    </row>
    <row r="220" spans="1:11" ht="19.5" customHeight="1" x14ac:dyDescent="0.25">
      <c r="A220" s="19"/>
      <c r="B220" s="245"/>
      <c r="C220" s="246"/>
      <c r="D220" s="248"/>
      <c r="E220" s="247"/>
      <c r="F220" s="19"/>
      <c r="G220" s="245"/>
      <c r="H220" s="246"/>
      <c r="I220" s="126"/>
      <c r="J220" s="247"/>
      <c r="K220" s="19"/>
    </row>
    <row r="221" spans="1:11" ht="15.75" customHeight="1" x14ac:dyDescent="0.25">
      <c r="E221" s="139"/>
      <c r="J221" s="139"/>
    </row>
    <row r="222" spans="1:11" ht="15.75" customHeight="1" x14ac:dyDescent="0.25">
      <c r="E222" s="139"/>
      <c r="J222" s="139"/>
    </row>
    <row r="223" spans="1:11" ht="15.75" customHeight="1" x14ac:dyDescent="0.25">
      <c r="E223" s="139"/>
      <c r="J223" s="139"/>
    </row>
    <row r="224" spans="1:11" ht="15.75" customHeight="1" x14ac:dyDescent="0.25">
      <c r="E224" s="139"/>
      <c r="J224" s="139"/>
    </row>
    <row r="225" spans="5:10" ht="15.75" customHeight="1" x14ac:dyDescent="0.25">
      <c r="E225" s="139"/>
      <c r="J225" s="139"/>
    </row>
    <row r="226" spans="5:10" ht="15.75" customHeight="1" x14ac:dyDescent="0.25">
      <c r="E226" s="139"/>
      <c r="J226" s="139"/>
    </row>
    <row r="227" spans="5:10" ht="15.75" customHeight="1" x14ac:dyDescent="0.25">
      <c r="E227" s="139"/>
      <c r="J227" s="139"/>
    </row>
    <row r="228" spans="5:10" ht="15.75" customHeight="1" x14ac:dyDescent="0.25">
      <c r="E228" s="139"/>
      <c r="J228" s="139"/>
    </row>
    <row r="229" spans="5:10" ht="15.75" customHeight="1" x14ac:dyDescent="0.25">
      <c r="E229" s="139"/>
      <c r="J229" s="139"/>
    </row>
    <row r="230" spans="5:10" ht="15.75" customHeight="1" x14ac:dyDescent="0.25">
      <c r="E230" s="139"/>
      <c r="J230" s="139"/>
    </row>
    <row r="231" spans="5:10" ht="15.75" customHeight="1" x14ac:dyDescent="0.25">
      <c r="E231" s="139"/>
      <c r="J231" s="139"/>
    </row>
    <row r="232" spans="5:10" ht="15.75" customHeight="1" x14ac:dyDescent="0.25">
      <c r="E232" s="139"/>
      <c r="J232" s="139"/>
    </row>
    <row r="233" spans="5:10" ht="15.75" customHeight="1" x14ac:dyDescent="0.25">
      <c r="E233" s="139"/>
      <c r="J233" s="139"/>
    </row>
    <row r="234" spans="5:10" ht="15.75" customHeight="1" x14ac:dyDescent="0.25">
      <c r="E234" s="139"/>
      <c r="J234" s="139"/>
    </row>
    <row r="235" spans="5:10" ht="15.75" customHeight="1" x14ac:dyDescent="0.25">
      <c r="E235" s="139"/>
      <c r="J235" s="139"/>
    </row>
    <row r="236" spans="5:10" ht="15.75" customHeight="1" x14ac:dyDescent="0.25">
      <c r="E236" s="139"/>
      <c r="J236" s="139"/>
    </row>
    <row r="237" spans="5:10" ht="15.75" customHeight="1" x14ac:dyDescent="0.25">
      <c r="E237" s="139"/>
      <c r="J237" s="139"/>
    </row>
    <row r="238" spans="5:10" ht="15.75" customHeight="1" x14ac:dyDescent="0.25">
      <c r="E238" s="139"/>
      <c r="J238" s="139"/>
    </row>
    <row r="239" spans="5:10" ht="15.75" customHeight="1" x14ac:dyDescent="0.25">
      <c r="E239" s="139"/>
      <c r="J239" s="139"/>
    </row>
    <row r="240" spans="5:10" ht="15.75" customHeight="1" x14ac:dyDescent="0.25">
      <c r="E240" s="139"/>
      <c r="J240" s="139"/>
    </row>
    <row r="241" spans="5:10" ht="15.75" customHeight="1" x14ac:dyDescent="0.25">
      <c r="E241" s="139"/>
      <c r="J241" s="139"/>
    </row>
    <row r="242" spans="5:10" ht="15.75" customHeight="1" x14ac:dyDescent="0.25">
      <c r="E242" s="139"/>
      <c r="J242" s="139"/>
    </row>
    <row r="243" spans="5:10" ht="15.75" customHeight="1" x14ac:dyDescent="0.25">
      <c r="E243" s="139"/>
      <c r="J243" s="139"/>
    </row>
    <row r="244" spans="5:10" ht="15.75" customHeight="1" x14ac:dyDescent="0.25">
      <c r="E244" s="139"/>
      <c r="J244" s="139"/>
    </row>
    <row r="245" spans="5:10" ht="15.75" customHeight="1" x14ac:dyDescent="0.25">
      <c r="E245" s="139"/>
      <c r="J245" s="139"/>
    </row>
    <row r="246" spans="5:10" ht="15.75" customHeight="1" x14ac:dyDescent="0.25">
      <c r="E246" s="139"/>
      <c r="J246" s="139"/>
    </row>
    <row r="247" spans="5:10" ht="15.75" customHeight="1" x14ac:dyDescent="0.25">
      <c r="E247" s="139"/>
      <c r="J247" s="139"/>
    </row>
    <row r="248" spans="5:10" ht="15.75" customHeight="1" x14ac:dyDescent="0.25">
      <c r="E248" s="139"/>
      <c r="J248" s="139"/>
    </row>
    <row r="249" spans="5:10" ht="15.75" customHeight="1" x14ac:dyDescent="0.25">
      <c r="E249" s="139"/>
      <c r="J249" s="139"/>
    </row>
    <row r="250" spans="5:10" ht="15.75" customHeight="1" x14ac:dyDescent="0.25">
      <c r="E250" s="139"/>
      <c r="J250" s="139"/>
    </row>
    <row r="251" spans="5:10" ht="15.75" customHeight="1" x14ac:dyDescent="0.25">
      <c r="E251" s="139"/>
      <c r="J251" s="139"/>
    </row>
    <row r="252" spans="5:10" ht="15.75" customHeight="1" x14ac:dyDescent="0.25">
      <c r="E252" s="139"/>
      <c r="J252" s="139"/>
    </row>
    <row r="253" spans="5:10" ht="15.75" customHeight="1" x14ac:dyDescent="0.25">
      <c r="E253" s="139"/>
      <c r="J253" s="139"/>
    </row>
    <row r="254" spans="5:10" ht="15.75" customHeight="1" x14ac:dyDescent="0.25">
      <c r="E254" s="139"/>
      <c r="J254" s="139"/>
    </row>
    <row r="255" spans="5:10" ht="15.75" customHeight="1" x14ac:dyDescent="0.25">
      <c r="E255" s="139"/>
      <c r="J255" s="139"/>
    </row>
    <row r="256" spans="5:10" ht="15.75" customHeight="1" x14ac:dyDescent="0.25">
      <c r="E256" s="139"/>
      <c r="J256" s="139"/>
    </row>
    <row r="257" spans="5:10" ht="15.75" customHeight="1" x14ac:dyDescent="0.25">
      <c r="E257" s="139"/>
      <c r="J257" s="139"/>
    </row>
    <row r="258" spans="5:10" ht="15.75" customHeight="1" x14ac:dyDescent="0.25">
      <c r="E258" s="139"/>
      <c r="J258" s="139"/>
    </row>
    <row r="259" spans="5:10" ht="15.75" customHeight="1" x14ac:dyDescent="0.25">
      <c r="E259" s="139"/>
      <c r="J259" s="139"/>
    </row>
    <row r="260" spans="5:10" ht="15.75" customHeight="1" x14ac:dyDescent="0.25">
      <c r="E260" s="139"/>
      <c r="J260" s="139"/>
    </row>
    <row r="261" spans="5:10" ht="15.75" customHeight="1" x14ac:dyDescent="0.25">
      <c r="E261" s="139"/>
      <c r="J261" s="139"/>
    </row>
    <row r="262" spans="5:10" ht="15.75" customHeight="1" x14ac:dyDescent="0.25">
      <c r="E262" s="139"/>
      <c r="J262" s="139"/>
    </row>
    <row r="263" spans="5:10" ht="15.75" customHeight="1" x14ac:dyDescent="0.25">
      <c r="E263" s="139"/>
      <c r="J263" s="139"/>
    </row>
    <row r="264" spans="5:10" ht="15.75" customHeight="1" x14ac:dyDescent="0.25">
      <c r="E264" s="139"/>
      <c r="J264" s="139"/>
    </row>
    <row r="265" spans="5:10" ht="15.75" customHeight="1" x14ac:dyDescent="0.25">
      <c r="E265" s="139"/>
      <c r="J265" s="139"/>
    </row>
    <row r="266" spans="5:10" ht="15.75" customHeight="1" x14ac:dyDescent="0.25">
      <c r="E266" s="139"/>
      <c r="J266" s="139"/>
    </row>
    <row r="267" spans="5:10" ht="15.75" customHeight="1" x14ac:dyDescent="0.25">
      <c r="E267" s="139"/>
      <c r="J267" s="139"/>
    </row>
    <row r="268" spans="5:10" ht="15.75" customHeight="1" x14ac:dyDescent="0.25">
      <c r="E268" s="139"/>
      <c r="J268" s="139"/>
    </row>
    <row r="269" spans="5:10" ht="15.75" customHeight="1" x14ac:dyDescent="0.25">
      <c r="E269" s="139"/>
      <c r="J269" s="139"/>
    </row>
    <row r="270" spans="5:10" ht="15.75" customHeight="1" x14ac:dyDescent="0.25">
      <c r="E270" s="139"/>
      <c r="J270" s="139"/>
    </row>
    <row r="271" spans="5:10" ht="15.75" customHeight="1" x14ac:dyDescent="0.25">
      <c r="E271" s="139"/>
      <c r="J271" s="139"/>
    </row>
    <row r="272" spans="5:10" ht="15.75" customHeight="1" x14ac:dyDescent="0.25">
      <c r="E272" s="139"/>
      <c r="J272" s="139"/>
    </row>
    <row r="273" spans="5:10" ht="15.75" customHeight="1" x14ac:dyDescent="0.25">
      <c r="E273" s="139"/>
      <c r="J273" s="139"/>
    </row>
    <row r="274" spans="5:10" ht="15.75" customHeight="1" x14ac:dyDescent="0.25">
      <c r="E274" s="139"/>
      <c r="J274" s="139"/>
    </row>
    <row r="275" spans="5:10" ht="15.75" customHeight="1" x14ac:dyDescent="0.25">
      <c r="E275" s="139"/>
      <c r="J275" s="139"/>
    </row>
    <row r="276" spans="5:10" ht="15.75" customHeight="1" x14ac:dyDescent="0.25">
      <c r="E276" s="139"/>
      <c r="J276" s="139"/>
    </row>
    <row r="277" spans="5:10" ht="15.75" customHeight="1" x14ac:dyDescent="0.25">
      <c r="E277" s="139"/>
      <c r="J277" s="139"/>
    </row>
    <row r="278" spans="5:10" ht="15.75" customHeight="1" x14ac:dyDescent="0.25">
      <c r="E278" s="139"/>
      <c r="J278" s="139"/>
    </row>
    <row r="279" spans="5:10" ht="15.75" customHeight="1" x14ac:dyDescent="0.25">
      <c r="E279" s="139"/>
      <c r="J279" s="139"/>
    </row>
    <row r="280" spans="5:10" ht="15.75" customHeight="1" x14ac:dyDescent="0.25">
      <c r="E280" s="139"/>
      <c r="J280" s="139"/>
    </row>
    <row r="281" spans="5:10" ht="15.75" customHeight="1" x14ac:dyDescent="0.25">
      <c r="E281" s="139"/>
      <c r="J281" s="139"/>
    </row>
    <row r="282" spans="5:10" ht="15.75" customHeight="1" x14ac:dyDescent="0.25">
      <c r="E282" s="139"/>
      <c r="J282" s="139"/>
    </row>
    <row r="283" spans="5:10" ht="15.75" customHeight="1" x14ac:dyDescent="0.25">
      <c r="E283" s="139"/>
      <c r="J283" s="139"/>
    </row>
    <row r="284" spans="5:10" ht="15.75" customHeight="1" x14ac:dyDescent="0.25">
      <c r="E284" s="139"/>
      <c r="J284" s="139"/>
    </row>
    <row r="285" spans="5:10" ht="15.75" customHeight="1" x14ac:dyDescent="0.25">
      <c r="E285" s="139"/>
      <c r="J285" s="139"/>
    </row>
    <row r="286" spans="5:10" ht="15.75" customHeight="1" x14ac:dyDescent="0.25">
      <c r="E286" s="139"/>
      <c r="J286" s="139"/>
    </row>
    <row r="287" spans="5:10" ht="15.75" customHeight="1" x14ac:dyDescent="0.25">
      <c r="E287" s="139"/>
      <c r="J287" s="139"/>
    </row>
    <row r="288" spans="5:10" ht="15.75" customHeight="1" x14ac:dyDescent="0.25">
      <c r="E288" s="139"/>
      <c r="J288" s="139"/>
    </row>
    <row r="289" spans="5:10" ht="15.75" customHeight="1" x14ac:dyDescent="0.25">
      <c r="E289" s="139"/>
      <c r="J289" s="139"/>
    </row>
    <row r="290" spans="5:10" ht="15.75" customHeight="1" x14ac:dyDescent="0.25">
      <c r="E290" s="139"/>
      <c r="J290" s="139"/>
    </row>
    <row r="291" spans="5:10" ht="15.75" customHeight="1" x14ac:dyDescent="0.25">
      <c r="E291" s="139"/>
      <c r="J291" s="139"/>
    </row>
    <row r="292" spans="5:10" ht="15.75" customHeight="1" x14ac:dyDescent="0.25">
      <c r="E292" s="139"/>
      <c r="J292" s="139"/>
    </row>
    <row r="293" spans="5:10" ht="15.75" customHeight="1" x14ac:dyDescent="0.25">
      <c r="E293" s="139"/>
      <c r="J293" s="139"/>
    </row>
    <row r="294" spans="5:10" ht="15.75" customHeight="1" x14ac:dyDescent="0.25">
      <c r="E294" s="139"/>
      <c r="J294" s="139"/>
    </row>
    <row r="295" spans="5:10" ht="15.75" customHeight="1" x14ac:dyDescent="0.25">
      <c r="E295" s="139"/>
      <c r="J295" s="139"/>
    </row>
    <row r="296" spans="5:10" ht="15.75" customHeight="1" x14ac:dyDescent="0.25">
      <c r="E296" s="139"/>
      <c r="J296" s="139"/>
    </row>
    <row r="297" spans="5:10" ht="15.75" customHeight="1" x14ac:dyDescent="0.25">
      <c r="E297" s="139"/>
      <c r="J297" s="139"/>
    </row>
    <row r="298" spans="5:10" ht="15.75" customHeight="1" x14ac:dyDescent="0.25">
      <c r="E298" s="139"/>
      <c r="J298" s="139"/>
    </row>
    <row r="299" spans="5:10" ht="15.75" customHeight="1" x14ac:dyDescent="0.25">
      <c r="E299" s="139"/>
      <c r="J299" s="139"/>
    </row>
    <row r="300" spans="5:10" ht="15.75" customHeight="1" x14ac:dyDescent="0.25">
      <c r="E300" s="139"/>
      <c r="J300" s="139"/>
    </row>
    <row r="301" spans="5:10" ht="15.75" customHeight="1" x14ac:dyDescent="0.25">
      <c r="E301" s="139"/>
      <c r="J301" s="139"/>
    </row>
    <row r="302" spans="5:10" ht="15.75" customHeight="1" x14ac:dyDescent="0.25">
      <c r="E302" s="139"/>
      <c r="J302" s="139"/>
    </row>
    <row r="303" spans="5:10" ht="15.75" customHeight="1" x14ac:dyDescent="0.25">
      <c r="E303" s="139"/>
      <c r="J303" s="139"/>
    </row>
    <row r="304" spans="5:10" ht="15.75" customHeight="1" x14ac:dyDescent="0.25">
      <c r="E304" s="139"/>
      <c r="J304" s="139"/>
    </row>
    <row r="305" spans="5:10" ht="15.75" customHeight="1" x14ac:dyDescent="0.25">
      <c r="E305" s="139"/>
      <c r="J305" s="139"/>
    </row>
    <row r="306" spans="5:10" ht="15.75" customHeight="1" x14ac:dyDescent="0.25">
      <c r="E306" s="139"/>
      <c r="J306" s="139"/>
    </row>
    <row r="307" spans="5:10" ht="15.75" customHeight="1" x14ac:dyDescent="0.25">
      <c r="E307" s="139"/>
      <c r="J307" s="139"/>
    </row>
    <row r="308" spans="5:10" ht="15.75" customHeight="1" x14ac:dyDescent="0.25">
      <c r="E308" s="139"/>
      <c r="J308" s="139"/>
    </row>
    <row r="309" spans="5:10" ht="15.75" customHeight="1" x14ac:dyDescent="0.25">
      <c r="E309" s="139"/>
      <c r="J309" s="139"/>
    </row>
    <row r="310" spans="5:10" ht="15.75" customHeight="1" x14ac:dyDescent="0.25">
      <c r="E310" s="139"/>
      <c r="J310" s="139"/>
    </row>
    <row r="311" spans="5:10" ht="15.75" customHeight="1" x14ac:dyDescent="0.25">
      <c r="E311" s="139"/>
      <c r="J311" s="139"/>
    </row>
    <row r="312" spans="5:10" ht="15.75" customHeight="1" x14ac:dyDescent="0.25">
      <c r="E312" s="139"/>
      <c r="J312" s="139"/>
    </row>
    <row r="313" spans="5:10" ht="15.75" customHeight="1" x14ac:dyDescent="0.25">
      <c r="E313" s="139"/>
      <c r="J313" s="139"/>
    </row>
    <row r="314" spans="5:10" ht="15.75" customHeight="1" x14ac:dyDescent="0.25">
      <c r="E314" s="139"/>
      <c r="J314" s="139"/>
    </row>
    <row r="315" spans="5:10" ht="15.75" customHeight="1" x14ac:dyDescent="0.25">
      <c r="E315" s="139"/>
      <c r="J315" s="139"/>
    </row>
    <row r="316" spans="5:10" ht="15.75" customHeight="1" x14ac:dyDescent="0.25">
      <c r="E316" s="139"/>
      <c r="J316" s="139"/>
    </row>
    <row r="317" spans="5:10" ht="15.75" customHeight="1" x14ac:dyDescent="0.25">
      <c r="E317" s="139"/>
      <c r="J317" s="139"/>
    </row>
    <row r="318" spans="5:10" ht="15.75" customHeight="1" x14ac:dyDescent="0.25">
      <c r="E318" s="139"/>
      <c r="J318" s="139"/>
    </row>
    <row r="319" spans="5:10" ht="15.75" customHeight="1" x14ac:dyDescent="0.25">
      <c r="E319" s="139"/>
      <c r="J319" s="139"/>
    </row>
    <row r="320" spans="5:10" ht="15.75" customHeight="1" x14ac:dyDescent="0.25">
      <c r="E320" s="139"/>
      <c r="J320" s="139"/>
    </row>
    <row r="321" spans="5:10" ht="15.75" customHeight="1" x14ac:dyDescent="0.25">
      <c r="E321" s="139"/>
      <c r="J321" s="139"/>
    </row>
    <row r="322" spans="5:10" ht="15.75" customHeight="1" x14ac:dyDescent="0.25">
      <c r="E322" s="139"/>
      <c r="J322" s="139"/>
    </row>
    <row r="323" spans="5:10" ht="15.75" customHeight="1" x14ac:dyDescent="0.25">
      <c r="E323" s="139"/>
      <c r="J323" s="139"/>
    </row>
    <row r="324" spans="5:10" ht="15.75" customHeight="1" x14ac:dyDescent="0.25">
      <c r="E324" s="139"/>
      <c r="J324" s="139"/>
    </row>
    <row r="325" spans="5:10" ht="15.75" customHeight="1" x14ac:dyDescent="0.25">
      <c r="E325" s="139"/>
      <c r="J325" s="139"/>
    </row>
    <row r="326" spans="5:10" ht="15.75" customHeight="1" x14ac:dyDescent="0.25">
      <c r="E326" s="139"/>
      <c r="J326" s="139"/>
    </row>
    <row r="327" spans="5:10" ht="15.75" customHeight="1" x14ac:dyDescent="0.25">
      <c r="E327" s="139"/>
      <c r="J327" s="139"/>
    </row>
    <row r="328" spans="5:10" ht="15.75" customHeight="1" x14ac:dyDescent="0.25">
      <c r="E328" s="139"/>
      <c r="J328" s="139"/>
    </row>
    <row r="329" spans="5:10" ht="15.75" customHeight="1" x14ac:dyDescent="0.25">
      <c r="E329" s="139"/>
      <c r="J329" s="139"/>
    </row>
    <row r="330" spans="5:10" ht="15.75" customHeight="1" x14ac:dyDescent="0.25">
      <c r="E330" s="139"/>
      <c r="J330" s="139"/>
    </row>
    <row r="331" spans="5:10" ht="15.75" customHeight="1" x14ac:dyDescent="0.25">
      <c r="E331" s="139"/>
      <c r="J331" s="139"/>
    </row>
    <row r="332" spans="5:10" ht="15.75" customHeight="1" x14ac:dyDescent="0.25">
      <c r="E332" s="139"/>
      <c r="J332" s="139"/>
    </row>
    <row r="333" spans="5:10" ht="15.75" customHeight="1" x14ac:dyDescent="0.25">
      <c r="E333" s="139"/>
      <c r="J333" s="139"/>
    </row>
    <row r="334" spans="5:10" ht="15.75" customHeight="1" x14ac:dyDescent="0.25">
      <c r="E334" s="139"/>
      <c r="J334" s="139"/>
    </row>
    <row r="335" spans="5:10" ht="15.75" customHeight="1" x14ac:dyDescent="0.25">
      <c r="E335" s="139"/>
      <c r="J335" s="139"/>
    </row>
    <row r="336" spans="5:10" ht="15.75" customHeight="1" x14ac:dyDescent="0.25">
      <c r="E336" s="139"/>
      <c r="J336" s="139"/>
    </row>
    <row r="337" spans="5:10" ht="15.75" customHeight="1" x14ac:dyDescent="0.25">
      <c r="E337" s="139"/>
      <c r="J337" s="139"/>
    </row>
    <row r="338" spans="5:10" ht="15.75" customHeight="1" x14ac:dyDescent="0.25">
      <c r="E338" s="139"/>
      <c r="J338" s="139"/>
    </row>
    <row r="339" spans="5:10" ht="15.75" customHeight="1" x14ac:dyDescent="0.25">
      <c r="E339" s="139"/>
      <c r="J339" s="139"/>
    </row>
    <row r="340" spans="5:10" ht="15.75" customHeight="1" x14ac:dyDescent="0.25">
      <c r="E340" s="139"/>
      <c r="J340" s="139"/>
    </row>
    <row r="341" spans="5:10" ht="15.75" customHeight="1" x14ac:dyDescent="0.25">
      <c r="E341" s="139"/>
      <c r="J341" s="139"/>
    </row>
    <row r="342" spans="5:10" ht="15.75" customHeight="1" x14ac:dyDescent="0.25">
      <c r="E342" s="139"/>
      <c r="J342" s="139"/>
    </row>
    <row r="343" spans="5:10" ht="15.75" customHeight="1" x14ac:dyDescent="0.25">
      <c r="E343" s="139"/>
      <c r="J343" s="139"/>
    </row>
    <row r="344" spans="5:10" ht="15.75" customHeight="1" x14ac:dyDescent="0.25">
      <c r="E344" s="139"/>
      <c r="J344" s="139"/>
    </row>
    <row r="345" spans="5:10" ht="15.75" customHeight="1" x14ac:dyDescent="0.25">
      <c r="E345" s="139"/>
      <c r="J345" s="139"/>
    </row>
    <row r="346" spans="5:10" ht="15.75" customHeight="1" x14ac:dyDescent="0.25">
      <c r="E346" s="139"/>
      <c r="J346" s="139"/>
    </row>
    <row r="347" spans="5:10" ht="15.75" customHeight="1" x14ac:dyDescent="0.25">
      <c r="E347" s="139"/>
      <c r="J347" s="139"/>
    </row>
    <row r="348" spans="5:10" ht="15.75" customHeight="1" x14ac:dyDescent="0.25">
      <c r="E348" s="139"/>
      <c r="J348" s="139"/>
    </row>
    <row r="349" spans="5:10" ht="15.75" customHeight="1" x14ac:dyDescent="0.25">
      <c r="E349" s="139"/>
      <c r="J349" s="139"/>
    </row>
    <row r="350" spans="5:10" ht="15.75" customHeight="1" x14ac:dyDescent="0.25">
      <c r="E350" s="139"/>
      <c r="J350" s="139"/>
    </row>
    <row r="351" spans="5:10" ht="15.75" customHeight="1" x14ac:dyDescent="0.25">
      <c r="E351" s="139"/>
      <c r="J351" s="139"/>
    </row>
    <row r="352" spans="5:10" ht="15.75" customHeight="1" x14ac:dyDescent="0.25">
      <c r="E352" s="139"/>
      <c r="J352" s="139"/>
    </row>
    <row r="353" spans="5:10" ht="15.75" customHeight="1" x14ac:dyDescent="0.25">
      <c r="E353" s="139"/>
      <c r="J353" s="139"/>
    </row>
    <row r="354" spans="5:10" ht="15.75" customHeight="1" x14ac:dyDescent="0.25">
      <c r="E354" s="139"/>
      <c r="J354" s="139"/>
    </row>
    <row r="355" spans="5:10" ht="15.75" customHeight="1" x14ac:dyDescent="0.25">
      <c r="E355" s="139"/>
      <c r="J355" s="139"/>
    </row>
    <row r="356" spans="5:10" ht="15.75" customHeight="1" x14ac:dyDescent="0.25">
      <c r="E356" s="139"/>
      <c r="J356" s="139"/>
    </row>
    <row r="357" spans="5:10" ht="15.75" customHeight="1" x14ac:dyDescent="0.25">
      <c r="E357" s="139"/>
      <c r="J357" s="139"/>
    </row>
    <row r="358" spans="5:10" ht="15.75" customHeight="1" x14ac:dyDescent="0.25">
      <c r="E358" s="139"/>
      <c r="J358" s="139"/>
    </row>
    <row r="359" spans="5:10" ht="15.75" customHeight="1" x14ac:dyDescent="0.25">
      <c r="E359" s="139"/>
      <c r="J359" s="139"/>
    </row>
    <row r="360" spans="5:10" ht="15.75" customHeight="1" x14ac:dyDescent="0.25">
      <c r="E360" s="139"/>
      <c r="J360" s="139"/>
    </row>
    <row r="361" spans="5:10" ht="15.75" customHeight="1" x14ac:dyDescent="0.25">
      <c r="E361" s="139"/>
      <c r="J361" s="139"/>
    </row>
    <row r="362" spans="5:10" ht="15.75" customHeight="1" x14ac:dyDescent="0.25">
      <c r="E362" s="139"/>
      <c r="J362" s="139"/>
    </row>
    <row r="363" spans="5:10" ht="15.75" customHeight="1" x14ac:dyDescent="0.25">
      <c r="E363" s="139"/>
      <c r="J363" s="139"/>
    </row>
    <row r="364" spans="5:10" ht="15.75" customHeight="1" x14ac:dyDescent="0.25">
      <c r="E364" s="139"/>
      <c r="J364" s="139"/>
    </row>
    <row r="365" spans="5:10" ht="15.75" customHeight="1" x14ac:dyDescent="0.25">
      <c r="E365" s="139"/>
      <c r="J365" s="139"/>
    </row>
    <row r="366" spans="5:10" ht="15.75" customHeight="1" x14ac:dyDescent="0.25">
      <c r="E366" s="139"/>
      <c r="J366" s="139"/>
    </row>
    <row r="367" spans="5:10" ht="15.75" customHeight="1" x14ac:dyDescent="0.25">
      <c r="E367" s="139"/>
      <c r="J367" s="139"/>
    </row>
    <row r="368" spans="5:10" ht="15.75" customHeight="1" x14ac:dyDescent="0.25">
      <c r="E368" s="139"/>
      <c r="J368" s="139"/>
    </row>
    <row r="369" spans="5:10" ht="15.75" customHeight="1" x14ac:dyDescent="0.25">
      <c r="E369" s="139"/>
      <c r="J369" s="139"/>
    </row>
    <row r="370" spans="5:10" ht="15.75" customHeight="1" x14ac:dyDescent="0.25">
      <c r="E370" s="139"/>
      <c r="J370" s="139"/>
    </row>
    <row r="371" spans="5:10" ht="15.75" customHeight="1" x14ac:dyDescent="0.25">
      <c r="E371" s="139"/>
      <c r="J371" s="139"/>
    </row>
    <row r="372" spans="5:10" ht="15.75" customHeight="1" x14ac:dyDescent="0.25">
      <c r="E372" s="139"/>
      <c r="J372" s="139"/>
    </row>
    <row r="373" spans="5:10" ht="15.75" customHeight="1" x14ac:dyDescent="0.25">
      <c r="E373" s="139"/>
      <c r="J373" s="139"/>
    </row>
    <row r="374" spans="5:10" ht="15.75" customHeight="1" x14ac:dyDescent="0.25">
      <c r="E374" s="139"/>
      <c r="J374" s="139"/>
    </row>
    <row r="375" spans="5:10" ht="15.75" customHeight="1" x14ac:dyDescent="0.25">
      <c r="E375" s="139"/>
      <c r="J375" s="139"/>
    </row>
    <row r="376" spans="5:10" ht="15.75" customHeight="1" x14ac:dyDescent="0.25">
      <c r="E376" s="139"/>
      <c r="J376" s="139"/>
    </row>
    <row r="377" spans="5:10" ht="15.75" customHeight="1" x14ac:dyDescent="0.25">
      <c r="E377" s="139"/>
      <c r="J377" s="139"/>
    </row>
    <row r="378" spans="5:10" ht="15.75" customHeight="1" x14ac:dyDescent="0.25">
      <c r="E378" s="139"/>
      <c r="J378" s="139"/>
    </row>
    <row r="379" spans="5:10" ht="15.75" customHeight="1" x14ac:dyDescent="0.25">
      <c r="E379" s="139"/>
      <c r="J379" s="139"/>
    </row>
    <row r="380" spans="5:10" ht="15.75" customHeight="1" x14ac:dyDescent="0.25">
      <c r="E380" s="139"/>
      <c r="J380" s="139"/>
    </row>
    <row r="381" spans="5:10" ht="15.75" customHeight="1" x14ac:dyDescent="0.25">
      <c r="E381" s="139"/>
      <c r="J381" s="139"/>
    </row>
    <row r="382" spans="5:10" ht="15.75" customHeight="1" x14ac:dyDescent="0.25">
      <c r="E382" s="139"/>
      <c r="J382" s="139"/>
    </row>
    <row r="383" spans="5:10" ht="15.75" customHeight="1" x14ac:dyDescent="0.25">
      <c r="E383" s="139"/>
      <c r="J383" s="139"/>
    </row>
    <row r="384" spans="5:10" ht="15.75" customHeight="1" x14ac:dyDescent="0.25">
      <c r="E384" s="139"/>
      <c r="J384" s="139"/>
    </row>
    <row r="385" spans="5:10" ht="15.75" customHeight="1" x14ac:dyDescent="0.25">
      <c r="E385" s="139"/>
      <c r="J385" s="139"/>
    </row>
    <row r="386" spans="5:10" ht="15.75" customHeight="1" x14ac:dyDescent="0.25">
      <c r="E386" s="139"/>
      <c r="J386" s="139"/>
    </row>
    <row r="387" spans="5:10" ht="15.75" customHeight="1" x14ac:dyDescent="0.25">
      <c r="E387" s="139"/>
      <c r="J387" s="139"/>
    </row>
    <row r="388" spans="5:10" ht="15.75" customHeight="1" x14ac:dyDescent="0.25">
      <c r="E388" s="139"/>
      <c r="J388" s="139"/>
    </row>
    <row r="389" spans="5:10" ht="15.75" customHeight="1" x14ac:dyDescent="0.25">
      <c r="E389" s="139"/>
      <c r="J389" s="139"/>
    </row>
    <row r="390" spans="5:10" ht="15.75" customHeight="1" x14ac:dyDescent="0.25">
      <c r="E390" s="139"/>
      <c r="J390" s="139"/>
    </row>
    <row r="391" spans="5:10" ht="15.75" customHeight="1" x14ac:dyDescent="0.25">
      <c r="E391" s="139"/>
      <c r="J391" s="139"/>
    </row>
    <row r="392" spans="5:10" ht="15.75" customHeight="1" x14ac:dyDescent="0.25">
      <c r="E392" s="139"/>
      <c r="J392" s="139"/>
    </row>
    <row r="393" spans="5:10" ht="15.75" customHeight="1" x14ac:dyDescent="0.25">
      <c r="E393" s="139"/>
      <c r="J393" s="139"/>
    </row>
    <row r="394" spans="5:10" ht="15.75" customHeight="1" x14ac:dyDescent="0.25">
      <c r="E394" s="139"/>
      <c r="J394" s="139"/>
    </row>
    <row r="395" spans="5:10" ht="15.75" customHeight="1" x14ac:dyDescent="0.25">
      <c r="E395" s="139"/>
      <c r="J395" s="139"/>
    </row>
    <row r="396" spans="5:10" ht="15.75" customHeight="1" x14ac:dyDescent="0.25">
      <c r="E396" s="139"/>
      <c r="J396" s="139"/>
    </row>
    <row r="397" spans="5:10" ht="15.75" customHeight="1" x14ac:dyDescent="0.25">
      <c r="E397" s="139"/>
      <c r="J397" s="139"/>
    </row>
    <row r="398" spans="5:10" ht="15.75" customHeight="1" x14ac:dyDescent="0.25">
      <c r="E398" s="139"/>
      <c r="J398" s="139"/>
    </row>
    <row r="399" spans="5:10" ht="15.75" customHeight="1" x14ac:dyDescent="0.25">
      <c r="E399" s="139"/>
      <c r="J399" s="139"/>
    </row>
    <row r="400" spans="5:10" ht="15.75" customHeight="1" x14ac:dyDescent="0.25">
      <c r="E400" s="139"/>
      <c r="J400" s="139"/>
    </row>
    <row r="401" spans="5:10" ht="15.75" customHeight="1" x14ac:dyDescent="0.25">
      <c r="E401" s="139"/>
      <c r="J401" s="139"/>
    </row>
    <row r="402" spans="5:10" ht="15.75" customHeight="1" x14ac:dyDescent="0.25">
      <c r="E402" s="139"/>
      <c r="J402" s="139"/>
    </row>
    <row r="403" spans="5:10" ht="15.75" customHeight="1" x14ac:dyDescent="0.25">
      <c r="E403" s="139"/>
      <c r="J403" s="139"/>
    </row>
    <row r="404" spans="5:10" ht="15.75" customHeight="1" x14ac:dyDescent="0.25">
      <c r="E404" s="139"/>
      <c r="J404" s="139"/>
    </row>
    <row r="405" spans="5:10" ht="15.75" customHeight="1" x14ac:dyDescent="0.25">
      <c r="E405" s="139"/>
      <c r="J405" s="139"/>
    </row>
    <row r="406" spans="5:10" ht="15.75" customHeight="1" x14ac:dyDescent="0.25">
      <c r="E406" s="139"/>
      <c r="J406" s="139"/>
    </row>
    <row r="407" spans="5:10" ht="15.75" customHeight="1" x14ac:dyDescent="0.25">
      <c r="E407" s="139"/>
      <c r="J407" s="139"/>
    </row>
    <row r="408" spans="5:10" ht="15.75" customHeight="1" x14ac:dyDescent="0.25">
      <c r="E408" s="139"/>
      <c r="J408" s="139"/>
    </row>
    <row r="409" spans="5:10" ht="15.75" customHeight="1" x14ac:dyDescent="0.25">
      <c r="E409" s="139"/>
      <c r="J409" s="139"/>
    </row>
    <row r="410" spans="5:10" ht="15.75" customHeight="1" x14ac:dyDescent="0.25">
      <c r="E410" s="139"/>
      <c r="J410" s="139"/>
    </row>
    <row r="411" spans="5:10" ht="15.75" customHeight="1" x14ac:dyDescent="0.25">
      <c r="E411" s="139"/>
      <c r="J411" s="139"/>
    </row>
    <row r="412" spans="5:10" ht="15.75" customHeight="1" x14ac:dyDescent="0.25">
      <c r="E412" s="139"/>
      <c r="J412" s="139"/>
    </row>
    <row r="413" spans="5:10" ht="15.75" customHeight="1" x14ac:dyDescent="0.25">
      <c r="E413" s="139"/>
      <c r="J413" s="139"/>
    </row>
    <row r="414" spans="5:10" ht="15.75" customHeight="1" x14ac:dyDescent="0.25">
      <c r="E414" s="139"/>
      <c r="J414" s="139"/>
    </row>
    <row r="415" spans="5:10" ht="15.75" customHeight="1" x14ac:dyDescent="0.25">
      <c r="E415" s="139"/>
      <c r="J415" s="139"/>
    </row>
    <row r="416" spans="5:10" ht="15.75" customHeight="1" x14ac:dyDescent="0.25">
      <c r="E416" s="139"/>
      <c r="J416" s="139"/>
    </row>
    <row r="417" spans="5:10" ht="15.75" customHeight="1" x14ac:dyDescent="0.25">
      <c r="E417" s="139"/>
      <c r="J417" s="139"/>
    </row>
    <row r="418" spans="5:10" ht="15.75" customHeight="1" x14ac:dyDescent="0.25">
      <c r="E418" s="139"/>
      <c r="J418" s="139"/>
    </row>
    <row r="419" spans="5:10" ht="15.75" customHeight="1" x14ac:dyDescent="0.25">
      <c r="E419" s="139"/>
      <c r="J419" s="139"/>
    </row>
    <row r="420" spans="5:10" ht="15.75" customHeight="1" x14ac:dyDescent="0.25">
      <c r="E420" s="139"/>
      <c r="J420" s="139"/>
    </row>
    <row r="421" spans="5:10" ht="15.75" customHeight="1" x14ac:dyDescent="0.25">
      <c r="E421" s="139"/>
      <c r="J421" s="139"/>
    </row>
    <row r="422" spans="5:10" ht="15.75" customHeight="1" x14ac:dyDescent="0.25">
      <c r="E422" s="139"/>
      <c r="J422" s="139"/>
    </row>
    <row r="423" spans="5:10" ht="15.75" customHeight="1" x14ac:dyDescent="0.25">
      <c r="E423" s="139"/>
      <c r="J423" s="139"/>
    </row>
    <row r="424" spans="5:10" ht="15.75" customHeight="1" x14ac:dyDescent="0.25">
      <c r="E424" s="139"/>
      <c r="J424" s="139"/>
    </row>
    <row r="425" spans="5:10" ht="15.75" customHeight="1" x14ac:dyDescent="0.25">
      <c r="E425" s="139"/>
      <c r="J425" s="139"/>
    </row>
    <row r="426" spans="5:10" ht="15.75" customHeight="1" x14ac:dyDescent="0.25">
      <c r="E426" s="139"/>
      <c r="J426" s="139"/>
    </row>
    <row r="427" spans="5:10" ht="15.75" customHeight="1" x14ac:dyDescent="0.25">
      <c r="E427" s="139"/>
      <c r="J427" s="139"/>
    </row>
    <row r="428" spans="5:10" ht="15.75" customHeight="1" x14ac:dyDescent="0.25">
      <c r="E428" s="139"/>
      <c r="J428" s="139"/>
    </row>
    <row r="429" spans="5:10" ht="15.75" customHeight="1" x14ac:dyDescent="0.25">
      <c r="E429" s="139"/>
      <c r="J429" s="139"/>
    </row>
    <row r="430" spans="5:10" ht="15.75" customHeight="1" x14ac:dyDescent="0.25">
      <c r="E430" s="139"/>
      <c r="J430" s="139"/>
    </row>
    <row r="431" spans="5:10" ht="15.75" customHeight="1" x14ac:dyDescent="0.25">
      <c r="E431" s="139"/>
      <c r="J431" s="139"/>
    </row>
    <row r="432" spans="5:10" ht="15.75" customHeight="1" x14ac:dyDescent="0.25">
      <c r="E432" s="139"/>
      <c r="J432" s="139"/>
    </row>
    <row r="433" spans="5:10" ht="15.75" customHeight="1" x14ac:dyDescent="0.25">
      <c r="E433" s="139"/>
      <c r="J433" s="139"/>
    </row>
    <row r="434" spans="5:10" ht="15.75" customHeight="1" x14ac:dyDescent="0.25">
      <c r="E434" s="139"/>
      <c r="J434" s="139"/>
    </row>
    <row r="435" spans="5:10" ht="15.75" customHeight="1" x14ac:dyDescent="0.25">
      <c r="E435" s="139"/>
      <c r="J435" s="139"/>
    </row>
    <row r="436" spans="5:10" ht="15.75" customHeight="1" x14ac:dyDescent="0.25">
      <c r="E436" s="139"/>
      <c r="J436" s="139"/>
    </row>
    <row r="437" spans="5:10" ht="15.75" customHeight="1" x14ac:dyDescent="0.25">
      <c r="E437" s="139"/>
      <c r="J437" s="139"/>
    </row>
    <row r="438" spans="5:10" ht="15.75" customHeight="1" x14ac:dyDescent="0.25">
      <c r="E438" s="139"/>
      <c r="J438" s="139"/>
    </row>
    <row r="439" spans="5:10" ht="15.75" customHeight="1" x14ac:dyDescent="0.25">
      <c r="E439" s="139"/>
      <c r="J439" s="139"/>
    </row>
    <row r="440" spans="5:10" ht="15.75" customHeight="1" x14ac:dyDescent="0.25">
      <c r="E440" s="139"/>
      <c r="J440" s="139"/>
    </row>
    <row r="441" spans="5:10" ht="15.75" customHeight="1" x14ac:dyDescent="0.25">
      <c r="E441" s="139"/>
      <c r="J441" s="139"/>
    </row>
    <row r="442" spans="5:10" ht="15.75" customHeight="1" x14ac:dyDescent="0.25">
      <c r="E442" s="139"/>
      <c r="J442" s="139"/>
    </row>
    <row r="443" spans="5:10" ht="15.75" customHeight="1" x14ac:dyDescent="0.25">
      <c r="E443" s="139"/>
      <c r="J443" s="139"/>
    </row>
    <row r="444" spans="5:10" ht="15.75" customHeight="1" x14ac:dyDescent="0.25">
      <c r="E444" s="139"/>
      <c r="J444" s="139"/>
    </row>
    <row r="445" spans="5:10" ht="15.75" customHeight="1" x14ac:dyDescent="0.25">
      <c r="E445" s="139"/>
      <c r="J445" s="139"/>
    </row>
    <row r="446" spans="5:10" ht="15.75" customHeight="1" x14ac:dyDescent="0.25">
      <c r="E446" s="139"/>
      <c r="J446" s="139"/>
    </row>
    <row r="447" spans="5:10" ht="15.75" customHeight="1" x14ac:dyDescent="0.25">
      <c r="E447" s="139"/>
      <c r="J447" s="139"/>
    </row>
    <row r="448" spans="5:10" ht="15.75" customHeight="1" x14ac:dyDescent="0.25">
      <c r="E448" s="139"/>
      <c r="J448" s="139"/>
    </row>
    <row r="449" spans="5:10" ht="15.75" customHeight="1" x14ac:dyDescent="0.25">
      <c r="E449" s="139"/>
      <c r="J449" s="139"/>
    </row>
    <row r="450" spans="5:10" ht="15.75" customHeight="1" x14ac:dyDescent="0.25">
      <c r="E450" s="139"/>
      <c r="J450" s="139"/>
    </row>
    <row r="451" spans="5:10" ht="15.75" customHeight="1" x14ac:dyDescent="0.25">
      <c r="E451" s="139"/>
      <c r="J451" s="139"/>
    </row>
    <row r="452" spans="5:10" ht="15.75" customHeight="1" x14ac:dyDescent="0.25">
      <c r="E452" s="139"/>
      <c r="J452" s="139"/>
    </row>
    <row r="453" spans="5:10" ht="15.75" customHeight="1" x14ac:dyDescent="0.25">
      <c r="E453" s="139"/>
      <c r="J453" s="139"/>
    </row>
    <row r="454" spans="5:10" ht="15.75" customHeight="1" x14ac:dyDescent="0.25">
      <c r="E454" s="139"/>
      <c r="J454" s="139"/>
    </row>
    <row r="455" spans="5:10" ht="15.75" customHeight="1" x14ac:dyDescent="0.25">
      <c r="E455" s="139"/>
      <c r="J455" s="139"/>
    </row>
    <row r="456" spans="5:10" ht="15.75" customHeight="1" x14ac:dyDescent="0.25">
      <c r="E456" s="139"/>
      <c r="J456" s="139"/>
    </row>
    <row r="457" spans="5:10" ht="15.75" customHeight="1" x14ac:dyDescent="0.25">
      <c r="E457" s="139"/>
      <c r="J457" s="139"/>
    </row>
    <row r="458" spans="5:10" ht="15.75" customHeight="1" x14ac:dyDescent="0.25">
      <c r="E458" s="139"/>
      <c r="J458" s="139"/>
    </row>
    <row r="459" spans="5:10" ht="15.75" customHeight="1" x14ac:dyDescent="0.25">
      <c r="E459" s="139"/>
      <c r="J459" s="139"/>
    </row>
    <row r="460" spans="5:10" ht="15.75" customHeight="1" x14ac:dyDescent="0.25">
      <c r="E460" s="139"/>
      <c r="J460" s="139"/>
    </row>
    <row r="461" spans="5:10" ht="15.75" customHeight="1" x14ac:dyDescent="0.25">
      <c r="E461" s="139"/>
      <c r="J461" s="139"/>
    </row>
    <row r="462" spans="5:10" ht="15.75" customHeight="1" x14ac:dyDescent="0.25">
      <c r="E462" s="139"/>
      <c r="J462" s="139"/>
    </row>
    <row r="463" spans="5:10" ht="15.75" customHeight="1" x14ac:dyDescent="0.25">
      <c r="E463" s="139"/>
      <c r="J463" s="139"/>
    </row>
    <row r="464" spans="5:10" ht="15.75" customHeight="1" x14ac:dyDescent="0.25">
      <c r="E464" s="139"/>
      <c r="J464" s="139"/>
    </row>
    <row r="465" spans="5:10" ht="15.75" customHeight="1" x14ac:dyDescent="0.25">
      <c r="E465" s="139"/>
      <c r="J465" s="139"/>
    </row>
    <row r="466" spans="5:10" ht="15.75" customHeight="1" x14ac:dyDescent="0.25">
      <c r="E466" s="139"/>
      <c r="J466" s="139"/>
    </row>
    <row r="467" spans="5:10" ht="15.75" customHeight="1" x14ac:dyDescent="0.25">
      <c r="E467" s="139"/>
      <c r="J467" s="139"/>
    </row>
    <row r="468" spans="5:10" ht="15.75" customHeight="1" x14ac:dyDescent="0.25">
      <c r="E468" s="139"/>
      <c r="J468" s="139"/>
    </row>
    <row r="469" spans="5:10" ht="15.75" customHeight="1" x14ac:dyDescent="0.25">
      <c r="E469" s="139"/>
      <c r="J469" s="139"/>
    </row>
    <row r="470" spans="5:10" ht="15.75" customHeight="1" x14ac:dyDescent="0.25">
      <c r="E470" s="139"/>
      <c r="J470" s="139"/>
    </row>
    <row r="471" spans="5:10" ht="15.75" customHeight="1" x14ac:dyDescent="0.25">
      <c r="E471" s="139"/>
      <c r="J471" s="139"/>
    </row>
    <row r="472" spans="5:10" ht="15.75" customHeight="1" x14ac:dyDescent="0.25">
      <c r="E472" s="139"/>
      <c r="J472" s="139"/>
    </row>
    <row r="473" spans="5:10" ht="15.75" customHeight="1" x14ac:dyDescent="0.25">
      <c r="E473" s="139"/>
      <c r="J473" s="139"/>
    </row>
    <row r="474" spans="5:10" ht="15.75" customHeight="1" x14ac:dyDescent="0.25">
      <c r="E474" s="139"/>
      <c r="J474" s="139"/>
    </row>
    <row r="475" spans="5:10" ht="15.75" customHeight="1" x14ac:dyDescent="0.25">
      <c r="E475" s="139"/>
      <c r="J475" s="139"/>
    </row>
    <row r="476" spans="5:10" ht="15.75" customHeight="1" x14ac:dyDescent="0.25">
      <c r="E476" s="139"/>
      <c r="J476" s="139"/>
    </row>
    <row r="477" spans="5:10" ht="15.75" customHeight="1" x14ac:dyDescent="0.25">
      <c r="E477" s="139"/>
      <c r="J477" s="139"/>
    </row>
    <row r="478" spans="5:10" ht="15.75" customHeight="1" x14ac:dyDescent="0.25">
      <c r="E478" s="139"/>
      <c r="J478" s="139"/>
    </row>
    <row r="479" spans="5:10" ht="15.75" customHeight="1" x14ac:dyDescent="0.25">
      <c r="E479" s="139"/>
      <c r="J479" s="139"/>
    </row>
    <row r="480" spans="5:10" ht="15.75" customHeight="1" x14ac:dyDescent="0.25">
      <c r="E480" s="139"/>
      <c r="J480" s="139"/>
    </row>
    <row r="481" spans="5:10" ht="15.75" customHeight="1" x14ac:dyDescent="0.25">
      <c r="E481" s="139"/>
      <c r="J481" s="139"/>
    </row>
    <row r="482" spans="5:10" ht="15.75" customHeight="1" x14ac:dyDescent="0.25">
      <c r="E482" s="139"/>
      <c r="J482" s="139"/>
    </row>
    <row r="483" spans="5:10" ht="15.75" customHeight="1" x14ac:dyDescent="0.25">
      <c r="E483" s="139"/>
      <c r="J483" s="139"/>
    </row>
    <row r="484" spans="5:10" ht="15.75" customHeight="1" x14ac:dyDescent="0.25">
      <c r="E484" s="139"/>
      <c r="J484" s="139"/>
    </row>
    <row r="485" spans="5:10" ht="15.75" customHeight="1" x14ac:dyDescent="0.25">
      <c r="E485" s="139"/>
      <c r="J485" s="139"/>
    </row>
    <row r="486" spans="5:10" ht="15.75" customHeight="1" x14ac:dyDescent="0.25">
      <c r="E486" s="139"/>
      <c r="J486" s="139"/>
    </row>
    <row r="487" spans="5:10" ht="15.75" customHeight="1" x14ac:dyDescent="0.25">
      <c r="E487" s="139"/>
      <c r="J487" s="139"/>
    </row>
    <row r="488" spans="5:10" ht="15.75" customHeight="1" x14ac:dyDescent="0.25">
      <c r="E488" s="139"/>
      <c r="J488" s="139"/>
    </row>
    <row r="489" spans="5:10" ht="15.75" customHeight="1" x14ac:dyDescent="0.25">
      <c r="E489" s="139"/>
      <c r="J489" s="139"/>
    </row>
    <row r="490" spans="5:10" ht="15.75" customHeight="1" x14ac:dyDescent="0.25">
      <c r="E490" s="139"/>
      <c r="J490" s="139"/>
    </row>
    <row r="491" spans="5:10" ht="15.75" customHeight="1" x14ac:dyDescent="0.25">
      <c r="E491" s="139"/>
      <c r="J491" s="139"/>
    </row>
    <row r="492" spans="5:10" ht="15.75" customHeight="1" x14ac:dyDescent="0.25">
      <c r="E492" s="139"/>
      <c r="J492" s="139"/>
    </row>
    <row r="493" spans="5:10" ht="15.75" customHeight="1" x14ac:dyDescent="0.25">
      <c r="E493" s="139"/>
      <c r="J493" s="139"/>
    </row>
    <row r="494" spans="5:10" ht="15.75" customHeight="1" x14ac:dyDescent="0.25">
      <c r="E494" s="139"/>
      <c r="J494" s="139"/>
    </row>
    <row r="495" spans="5:10" ht="15.75" customHeight="1" x14ac:dyDescent="0.25">
      <c r="E495" s="139"/>
      <c r="J495" s="139"/>
    </row>
    <row r="496" spans="5:10" ht="15.75" customHeight="1" x14ac:dyDescent="0.25">
      <c r="E496" s="139"/>
      <c r="J496" s="139"/>
    </row>
    <row r="497" spans="5:10" ht="15.75" customHeight="1" x14ac:dyDescent="0.25">
      <c r="E497" s="139"/>
      <c r="J497" s="139"/>
    </row>
    <row r="498" spans="5:10" ht="15.75" customHeight="1" x14ac:dyDescent="0.25">
      <c r="E498" s="139"/>
      <c r="J498" s="139"/>
    </row>
    <row r="499" spans="5:10" ht="15.75" customHeight="1" x14ac:dyDescent="0.25">
      <c r="E499" s="139"/>
      <c r="J499" s="139"/>
    </row>
    <row r="500" spans="5:10" ht="15.75" customHeight="1" x14ac:dyDescent="0.25">
      <c r="E500" s="139"/>
      <c r="J500" s="139"/>
    </row>
    <row r="501" spans="5:10" ht="15.75" customHeight="1" x14ac:dyDescent="0.25">
      <c r="E501" s="139"/>
      <c r="J501" s="139"/>
    </row>
    <row r="502" spans="5:10" ht="15.75" customHeight="1" x14ac:dyDescent="0.25">
      <c r="E502" s="139"/>
      <c r="J502" s="139"/>
    </row>
    <row r="503" spans="5:10" ht="15.75" customHeight="1" x14ac:dyDescent="0.25">
      <c r="E503" s="139"/>
      <c r="J503" s="139"/>
    </row>
    <row r="504" spans="5:10" ht="15.75" customHeight="1" x14ac:dyDescent="0.25">
      <c r="E504" s="139"/>
      <c r="J504" s="139"/>
    </row>
    <row r="505" spans="5:10" ht="15.75" customHeight="1" x14ac:dyDescent="0.25">
      <c r="E505" s="139"/>
      <c r="J505" s="139"/>
    </row>
    <row r="506" spans="5:10" ht="15.75" customHeight="1" x14ac:dyDescent="0.25">
      <c r="E506" s="139"/>
      <c r="J506" s="139"/>
    </row>
    <row r="507" spans="5:10" ht="15.75" customHeight="1" x14ac:dyDescent="0.25">
      <c r="E507" s="139"/>
      <c r="J507" s="139"/>
    </row>
    <row r="508" spans="5:10" ht="15.75" customHeight="1" x14ac:dyDescent="0.25">
      <c r="E508" s="139"/>
      <c r="J508" s="139"/>
    </row>
    <row r="509" spans="5:10" ht="15.75" customHeight="1" x14ac:dyDescent="0.25">
      <c r="E509" s="139"/>
      <c r="J509" s="139"/>
    </row>
    <row r="510" spans="5:10" ht="15.75" customHeight="1" x14ac:dyDescent="0.25">
      <c r="E510" s="139"/>
      <c r="J510" s="139"/>
    </row>
    <row r="511" spans="5:10" ht="15.75" customHeight="1" x14ac:dyDescent="0.25">
      <c r="E511" s="139"/>
      <c r="J511" s="139"/>
    </row>
    <row r="512" spans="5:10" ht="15.75" customHeight="1" x14ac:dyDescent="0.25">
      <c r="E512" s="139"/>
      <c r="J512" s="139"/>
    </row>
    <row r="513" spans="5:10" ht="15.75" customHeight="1" x14ac:dyDescent="0.25">
      <c r="E513" s="139"/>
      <c r="J513" s="139"/>
    </row>
    <row r="514" spans="5:10" ht="15.75" customHeight="1" x14ac:dyDescent="0.25">
      <c r="E514" s="139"/>
      <c r="J514" s="139"/>
    </row>
    <row r="515" spans="5:10" ht="15.75" customHeight="1" x14ac:dyDescent="0.25">
      <c r="E515" s="139"/>
      <c r="J515" s="139"/>
    </row>
    <row r="516" spans="5:10" ht="15.75" customHeight="1" x14ac:dyDescent="0.25">
      <c r="E516" s="139"/>
      <c r="J516" s="139"/>
    </row>
    <row r="517" spans="5:10" ht="15.75" customHeight="1" x14ac:dyDescent="0.25">
      <c r="E517" s="139"/>
      <c r="J517" s="139"/>
    </row>
    <row r="518" spans="5:10" ht="15.75" customHeight="1" x14ac:dyDescent="0.25">
      <c r="E518" s="139"/>
      <c r="J518" s="139"/>
    </row>
    <row r="519" spans="5:10" ht="15.75" customHeight="1" x14ac:dyDescent="0.25">
      <c r="E519" s="139"/>
      <c r="J519" s="139"/>
    </row>
    <row r="520" spans="5:10" ht="15.75" customHeight="1" x14ac:dyDescent="0.25">
      <c r="E520" s="139"/>
      <c r="J520" s="139"/>
    </row>
    <row r="521" spans="5:10" ht="15.75" customHeight="1" x14ac:dyDescent="0.25">
      <c r="E521" s="139"/>
      <c r="J521" s="139"/>
    </row>
    <row r="522" spans="5:10" ht="15.75" customHeight="1" x14ac:dyDescent="0.25">
      <c r="E522" s="139"/>
      <c r="J522" s="139"/>
    </row>
    <row r="523" spans="5:10" ht="15.75" customHeight="1" x14ac:dyDescent="0.25">
      <c r="E523" s="139"/>
      <c r="J523" s="139"/>
    </row>
    <row r="524" spans="5:10" ht="15.75" customHeight="1" x14ac:dyDescent="0.25">
      <c r="E524" s="139"/>
      <c r="J524" s="139"/>
    </row>
    <row r="525" spans="5:10" ht="15.75" customHeight="1" x14ac:dyDescent="0.25">
      <c r="E525" s="139"/>
      <c r="J525" s="139"/>
    </row>
    <row r="526" spans="5:10" ht="15.75" customHeight="1" x14ac:dyDescent="0.25">
      <c r="E526" s="139"/>
      <c r="J526" s="139"/>
    </row>
    <row r="527" spans="5:10" ht="15.75" customHeight="1" x14ac:dyDescent="0.25">
      <c r="E527" s="139"/>
      <c r="J527" s="139"/>
    </row>
    <row r="528" spans="5:10" ht="15.75" customHeight="1" x14ac:dyDescent="0.25">
      <c r="E528" s="139"/>
      <c r="J528" s="139"/>
    </row>
    <row r="529" spans="5:10" ht="15.75" customHeight="1" x14ac:dyDescent="0.25">
      <c r="E529" s="139"/>
      <c r="J529" s="139"/>
    </row>
    <row r="530" spans="5:10" ht="15.75" customHeight="1" x14ac:dyDescent="0.25">
      <c r="E530" s="139"/>
      <c r="J530" s="139"/>
    </row>
    <row r="531" spans="5:10" ht="15.75" customHeight="1" x14ac:dyDescent="0.25">
      <c r="E531" s="139"/>
      <c r="J531" s="139"/>
    </row>
    <row r="532" spans="5:10" ht="15.75" customHeight="1" x14ac:dyDescent="0.25">
      <c r="E532" s="139"/>
      <c r="J532" s="139"/>
    </row>
    <row r="533" spans="5:10" ht="15.75" customHeight="1" x14ac:dyDescent="0.25">
      <c r="E533" s="139"/>
      <c r="J533" s="139"/>
    </row>
    <row r="534" spans="5:10" ht="15.75" customHeight="1" x14ac:dyDescent="0.25">
      <c r="E534" s="139"/>
      <c r="J534" s="139"/>
    </row>
    <row r="535" spans="5:10" ht="15.75" customHeight="1" x14ac:dyDescent="0.25">
      <c r="E535" s="139"/>
      <c r="J535" s="139"/>
    </row>
    <row r="536" spans="5:10" ht="15.75" customHeight="1" x14ac:dyDescent="0.25">
      <c r="E536" s="139"/>
      <c r="J536" s="139"/>
    </row>
    <row r="537" spans="5:10" ht="15.75" customHeight="1" x14ac:dyDescent="0.25">
      <c r="E537" s="139"/>
      <c r="J537" s="139"/>
    </row>
    <row r="538" spans="5:10" ht="15.75" customHeight="1" x14ac:dyDescent="0.25">
      <c r="E538" s="139"/>
      <c r="J538" s="139"/>
    </row>
    <row r="539" spans="5:10" ht="15.75" customHeight="1" x14ac:dyDescent="0.25">
      <c r="E539" s="139"/>
      <c r="J539" s="139"/>
    </row>
    <row r="540" spans="5:10" ht="15.75" customHeight="1" x14ac:dyDescent="0.25">
      <c r="E540" s="139"/>
      <c r="J540" s="139"/>
    </row>
    <row r="541" spans="5:10" ht="15.75" customHeight="1" x14ac:dyDescent="0.25">
      <c r="E541" s="139"/>
      <c r="J541" s="139"/>
    </row>
    <row r="542" spans="5:10" ht="15.75" customHeight="1" x14ac:dyDescent="0.25">
      <c r="E542" s="139"/>
      <c r="J542" s="139"/>
    </row>
    <row r="543" spans="5:10" ht="15.75" customHeight="1" x14ac:dyDescent="0.25">
      <c r="E543" s="139"/>
      <c r="J543" s="139"/>
    </row>
    <row r="544" spans="5:10" ht="15.75" customHeight="1" x14ac:dyDescent="0.25">
      <c r="E544" s="139"/>
      <c r="J544" s="139"/>
    </row>
    <row r="545" spans="5:10" ht="15.75" customHeight="1" x14ac:dyDescent="0.25">
      <c r="E545" s="139"/>
      <c r="J545" s="139"/>
    </row>
    <row r="546" spans="5:10" ht="15.75" customHeight="1" x14ac:dyDescent="0.25">
      <c r="E546" s="139"/>
      <c r="J546" s="139"/>
    </row>
    <row r="547" spans="5:10" ht="15.75" customHeight="1" x14ac:dyDescent="0.25">
      <c r="E547" s="139"/>
      <c r="J547" s="139"/>
    </row>
    <row r="548" spans="5:10" ht="15.75" customHeight="1" x14ac:dyDescent="0.25">
      <c r="E548" s="139"/>
      <c r="J548" s="139"/>
    </row>
    <row r="549" spans="5:10" ht="15.75" customHeight="1" x14ac:dyDescent="0.25">
      <c r="E549" s="139"/>
      <c r="J549" s="139"/>
    </row>
    <row r="550" spans="5:10" ht="15.75" customHeight="1" x14ac:dyDescent="0.25">
      <c r="E550" s="139"/>
      <c r="J550" s="139"/>
    </row>
    <row r="551" spans="5:10" ht="15.75" customHeight="1" x14ac:dyDescent="0.25">
      <c r="E551" s="139"/>
      <c r="J551" s="139"/>
    </row>
    <row r="552" spans="5:10" ht="15.75" customHeight="1" x14ac:dyDescent="0.25">
      <c r="E552" s="139"/>
      <c r="J552" s="139"/>
    </row>
    <row r="553" spans="5:10" ht="15.75" customHeight="1" x14ac:dyDescent="0.25">
      <c r="E553" s="139"/>
      <c r="J553" s="139"/>
    </row>
    <row r="554" spans="5:10" ht="15.75" customHeight="1" x14ac:dyDescent="0.25">
      <c r="E554" s="139"/>
      <c r="J554" s="139"/>
    </row>
    <row r="555" spans="5:10" ht="15.75" customHeight="1" x14ac:dyDescent="0.25">
      <c r="E555" s="139"/>
      <c r="J555" s="139"/>
    </row>
    <row r="556" spans="5:10" ht="15.75" customHeight="1" x14ac:dyDescent="0.25">
      <c r="E556" s="139"/>
      <c r="J556" s="139"/>
    </row>
    <row r="557" spans="5:10" ht="15.75" customHeight="1" x14ac:dyDescent="0.25">
      <c r="E557" s="139"/>
      <c r="J557" s="139"/>
    </row>
    <row r="558" spans="5:10" ht="15.75" customHeight="1" x14ac:dyDescent="0.25">
      <c r="E558" s="139"/>
      <c r="J558" s="139"/>
    </row>
    <row r="559" spans="5:10" ht="15.75" customHeight="1" x14ac:dyDescent="0.25">
      <c r="E559" s="139"/>
      <c r="J559" s="139"/>
    </row>
    <row r="560" spans="5:10" ht="15.75" customHeight="1" x14ac:dyDescent="0.25">
      <c r="E560" s="139"/>
      <c r="J560" s="139"/>
    </row>
    <row r="561" spans="5:10" ht="15.75" customHeight="1" x14ac:dyDescent="0.25">
      <c r="E561" s="139"/>
      <c r="J561" s="139"/>
    </row>
    <row r="562" spans="5:10" ht="15.75" customHeight="1" x14ac:dyDescent="0.25">
      <c r="E562" s="139"/>
      <c r="J562" s="139"/>
    </row>
    <row r="563" spans="5:10" ht="15.75" customHeight="1" x14ac:dyDescent="0.25">
      <c r="E563" s="139"/>
      <c r="J563" s="139"/>
    </row>
    <row r="564" spans="5:10" ht="15.75" customHeight="1" x14ac:dyDescent="0.25">
      <c r="E564" s="139"/>
      <c r="J564" s="139"/>
    </row>
    <row r="565" spans="5:10" ht="15.75" customHeight="1" x14ac:dyDescent="0.25">
      <c r="E565" s="139"/>
      <c r="J565" s="139"/>
    </row>
    <row r="566" spans="5:10" ht="15.75" customHeight="1" x14ac:dyDescent="0.25">
      <c r="E566" s="139"/>
      <c r="J566" s="139"/>
    </row>
    <row r="567" spans="5:10" ht="15.75" customHeight="1" x14ac:dyDescent="0.25">
      <c r="E567" s="139"/>
      <c r="J567" s="139"/>
    </row>
    <row r="568" spans="5:10" ht="15.75" customHeight="1" x14ac:dyDescent="0.25">
      <c r="E568" s="139"/>
      <c r="J568" s="139"/>
    </row>
    <row r="569" spans="5:10" ht="15.75" customHeight="1" x14ac:dyDescent="0.25">
      <c r="E569" s="139"/>
      <c r="J569" s="139"/>
    </row>
    <row r="570" spans="5:10" ht="15.75" customHeight="1" x14ac:dyDescent="0.25">
      <c r="E570" s="139"/>
      <c r="J570" s="139"/>
    </row>
    <row r="571" spans="5:10" ht="15.75" customHeight="1" x14ac:dyDescent="0.25">
      <c r="E571" s="139"/>
      <c r="J571" s="139"/>
    </row>
    <row r="572" spans="5:10" ht="15.75" customHeight="1" x14ac:dyDescent="0.25">
      <c r="E572" s="139"/>
      <c r="J572" s="139"/>
    </row>
    <row r="573" spans="5:10" ht="15.75" customHeight="1" x14ac:dyDescent="0.25">
      <c r="E573" s="139"/>
      <c r="J573" s="139"/>
    </row>
    <row r="574" spans="5:10" ht="15.75" customHeight="1" x14ac:dyDescent="0.25">
      <c r="E574" s="139"/>
      <c r="J574" s="139"/>
    </row>
    <row r="575" spans="5:10" ht="15.75" customHeight="1" x14ac:dyDescent="0.25">
      <c r="E575" s="139"/>
      <c r="J575" s="139"/>
    </row>
    <row r="576" spans="5:10" ht="15.75" customHeight="1" x14ac:dyDescent="0.25">
      <c r="E576" s="139"/>
      <c r="J576" s="139"/>
    </row>
    <row r="577" spans="5:10" ht="15.75" customHeight="1" x14ac:dyDescent="0.25">
      <c r="E577" s="139"/>
      <c r="J577" s="139"/>
    </row>
    <row r="578" spans="5:10" ht="15.75" customHeight="1" x14ac:dyDescent="0.25">
      <c r="E578" s="139"/>
      <c r="J578" s="139"/>
    </row>
    <row r="579" spans="5:10" ht="15.75" customHeight="1" x14ac:dyDescent="0.25">
      <c r="E579" s="139"/>
      <c r="J579" s="139"/>
    </row>
    <row r="580" spans="5:10" ht="15.75" customHeight="1" x14ac:dyDescent="0.25">
      <c r="E580" s="139"/>
      <c r="J580" s="139"/>
    </row>
    <row r="581" spans="5:10" ht="15.75" customHeight="1" x14ac:dyDescent="0.25">
      <c r="E581" s="139"/>
      <c r="J581" s="139"/>
    </row>
    <row r="582" spans="5:10" ht="15.75" customHeight="1" x14ac:dyDescent="0.25">
      <c r="E582" s="139"/>
      <c r="J582" s="139"/>
    </row>
    <row r="583" spans="5:10" ht="15.75" customHeight="1" x14ac:dyDescent="0.25">
      <c r="E583" s="139"/>
      <c r="J583" s="139"/>
    </row>
    <row r="584" spans="5:10" ht="15.75" customHeight="1" x14ac:dyDescent="0.25">
      <c r="E584" s="139"/>
      <c r="J584" s="139"/>
    </row>
    <row r="585" spans="5:10" ht="15.75" customHeight="1" x14ac:dyDescent="0.25">
      <c r="E585" s="139"/>
      <c r="J585" s="139"/>
    </row>
    <row r="586" spans="5:10" ht="15.75" customHeight="1" x14ac:dyDescent="0.25">
      <c r="E586" s="139"/>
      <c r="J586" s="139"/>
    </row>
    <row r="587" spans="5:10" ht="15.75" customHeight="1" x14ac:dyDescent="0.25">
      <c r="E587" s="139"/>
      <c r="J587" s="139"/>
    </row>
    <row r="588" spans="5:10" ht="15.75" customHeight="1" x14ac:dyDescent="0.25">
      <c r="E588" s="139"/>
      <c r="J588" s="139"/>
    </row>
    <row r="589" spans="5:10" ht="15.75" customHeight="1" x14ac:dyDescent="0.25">
      <c r="E589" s="139"/>
      <c r="J589" s="139"/>
    </row>
    <row r="590" spans="5:10" ht="15.75" customHeight="1" x14ac:dyDescent="0.25">
      <c r="E590" s="139"/>
      <c r="J590" s="139"/>
    </row>
    <row r="591" spans="5:10" ht="15.75" customHeight="1" x14ac:dyDescent="0.25">
      <c r="E591" s="139"/>
      <c r="J591" s="139"/>
    </row>
    <row r="592" spans="5:10" ht="15.75" customHeight="1" x14ac:dyDescent="0.25">
      <c r="E592" s="139"/>
      <c r="J592" s="139"/>
    </row>
    <row r="593" spans="5:10" ht="15.75" customHeight="1" x14ac:dyDescent="0.25">
      <c r="E593" s="139"/>
      <c r="J593" s="139"/>
    </row>
    <row r="594" spans="5:10" ht="15.75" customHeight="1" x14ac:dyDescent="0.25">
      <c r="E594" s="139"/>
      <c r="J594" s="139"/>
    </row>
    <row r="595" spans="5:10" ht="15.75" customHeight="1" x14ac:dyDescent="0.25">
      <c r="E595" s="139"/>
      <c r="J595" s="139"/>
    </row>
    <row r="596" spans="5:10" ht="15.75" customHeight="1" x14ac:dyDescent="0.25">
      <c r="E596" s="139"/>
      <c r="J596" s="139"/>
    </row>
    <row r="597" spans="5:10" ht="15.75" customHeight="1" x14ac:dyDescent="0.25">
      <c r="E597" s="139"/>
      <c r="J597" s="139"/>
    </row>
    <row r="598" spans="5:10" ht="15.75" customHeight="1" x14ac:dyDescent="0.25">
      <c r="E598" s="139"/>
      <c r="J598" s="139"/>
    </row>
    <row r="599" spans="5:10" ht="15.75" customHeight="1" x14ac:dyDescent="0.25">
      <c r="E599" s="139"/>
      <c r="J599" s="139"/>
    </row>
    <row r="600" spans="5:10" ht="15.75" customHeight="1" x14ac:dyDescent="0.25">
      <c r="E600" s="139"/>
      <c r="J600" s="139"/>
    </row>
    <row r="601" spans="5:10" ht="15.75" customHeight="1" x14ac:dyDescent="0.25">
      <c r="E601" s="139"/>
      <c r="J601" s="139"/>
    </row>
    <row r="602" spans="5:10" ht="15.75" customHeight="1" x14ac:dyDescent="0.25">
      <c r="E602" s="139"/>
      <c r="J602" s="139"/>
    </row>
    <row r="603" spans="5:10" ht="15.75" customHeight="1" x14ac:dyDescent="0.25">
      <c r="E603" s="139"/>
      <c r="J603" s="139"/>
    </row>
    <row r="604" spans="5:10" ht="15.75" customHeight="1" x14ac:dyDescent="0.25">
      <c r="E604" s="139"/>
      <c r="J604" s="139"/>
    </row>
    <row r="605" spans="5:10" ht="15.75" customHeight="1" x14ac:dyDescent="0.25">
      <c r="E605" s="139"/>
      <c r="J605" s="139"/>
    </row>
    <row r="606" spans="5:10" ht="15.75" customHeight="1" x14ac:dyDescent="0.25">
      <c r="E606" s="139"/>
      <c r="J606" s="139"/>
    </row>
    <row r="607" spans="5:10" ht="15.75" customHeight="1" x14ac:dyDescent="0.25">
      <c r="E607" s="139"/>
      <c r="J607" s="139"/>
    </row>
    <row r="608" spans="5:10" ht="15.75" customHeight="1" x14ac:dyDescent="0.25">
      <c r="E608" s="139"/>
      <c r="J608" s="139"/>
    </row>
    <row r="609" spans="5:10" ht="15.75" customHeight="1" x14ac:dyDescent="0.25">
      <c r="E609" s="139"/>
      <c r="J609" s="139"/>
    </row>
    <row r="610" spans="5:10" ht="15.75" customHeight="1" x14ac:dyDescent="0.25">
      <c r="E610" s="139"/>
      <c r="J610" s="139"/>
    </row>
    <row r="611" spans="5:10" ht="15.75" customHeight="1" x14ac:dyDescent="0.25">
      <c r="E611" s="139"/>
      <c r="J611" s="139"/>
    </row>
    <row r="612" spans="5:10" ht="15.75" customHeight="1" x14ac:dyDescent="0.25">
      <c r="E612" s="139"/>
      <c r="J612" s="139"/>
    </row>
    <row r="613" spans="5:10" ht="15.75" customHeight="1" x14ac:dyDescent="0.25">
      <c r="E613" s="139"/>
      <c r="J613" s="139"/>
    </row>
    <row r="614" spans="5:10" ht="15.75" customHeight="1" x14ac:dyDescent="0.25">
      <c r="E614" s="139"/>
      <c r="J614" s="139"/>
    </row>
    <row r="615" spans="5:10" ht="15.75" customHeight="1" x14ac:dyDescent="0.25">
      <c r="E615" s="139"/>
      <c r="J615" s="139"/>
    </row>
    <row r="616" spans="5:10" ht="15.75" customHeight="1" x14ac:dyDescent="0.25">
      <c r="E616" s="139"/>
      <c r="J616" s="139"/>
    </row>
    <row r="617" spans="5:10" ht="15.75" customHeight="1" x14ac:dyDescent="0.25">
      <c r="E617" s="139"/>
      <c r="J617" s="139"/>
    </row>
    <row r="618" spans="5:10" ht="15.75" customHeight="1" x14ac:dyDescent="0.25">
      <c r="E618" s="139"/>
      <c r="J618" s="139"/>
    </row>
    <row r="619" spans="5:10" ht="15.75" customHeight="1" x14ac:dyDescent="0.25">
      <c r="E619" s="139"/>
      <c r="J619" s="139"/>
    </row>
    <row r="620" spans="5:10" ht="15.75" customHeight="1" x14ac:dyDescent="0.25">
      <c r="E620" s="139"/>
      <c r="J620" s="139"/>
    </row>
    <row r="621" spans="5:10" ht="15.75" customHeight="1" x14ac:dyDescent="0.25">
      <c r="E621" s="139"/>
      <c r="J621" s="139"/>
    </row>
    <row r="622" spans="5:10" ht="15.75" customHeight="1" x14ac:dyDescent="0.25">
      <c r="E622" s="139"/>
      <c r="J622" s="139"/>
    </row>
    <row r="623" spans="5:10" ht="15.75" customHeight="1" x14ac:dyDescent="0.25">
      <c r="E623" s="139"/>
      <c r="J623" s="139"/>
    </row>
    <row r="624" spans="5:10" ht="15.75" customHeight="1" x14ac:dyDescent="0.25">
      <c r="E624" s="139"/>
      <c r="J624" s="139"/>
    </row>
    <row r="625" spans="5:10" ht="15.75" customHeight="1" x14ac:dyDescent="0.25">
      <c r="E625" s="139"/>
      <c r="J625" s="139"/>
    </row>
    <row r="626" spans="5:10" ht="15.75" customHeight="1" x14ac:dyDescent="0.25">
      <c r="E626" s="139"/>
      <c r="J626" s="139"/>
    </row>
    <row r="627" spans="5:10" ht="15.75" customHeight="1" x14ac:dyDescent="0.25">
      <c r="E627" s="139"/>
      <c r="J627" s="139"/>
    </row>
    <row r="628" spans="5:10" ht="15.75" customHeight="1" x14ac:dyDescent="0.25">
      <c r="E628" s="139"/>
      <c r="J628" s="139"/>
    </row>
    <row r="629" spans="5:10" ht="15.75" customHeight="1" x14ac:dyDescent="0.25">
      <c r="E629" s="139"/>
      <c r="J629" s="139"/>
    </row>
    <row r="630" spans="5:10" ht="15.75" customHeight="1" x14ac:dyDescent="0.25">
      <c r="E630" s="139"/>
      <c r="J630" s="139"/>
    </row>
    <row r="631" spans="5:10" ht="15.75" customHeight="1" x14ac:dyDescent="0.25">
      <c r="E631" s="139"/>
      <c r="J631" s="139"/>
    </row>
    <row r="632" spans="5:10" ht="15.75" customHeight="1" x14ac:dyDescent="0.25">
      <c r="E632" s="139"/>
      <c r="J632" s="139"/>
    </row>
    <row r="633" spans="5:10" ht="15.75" customHeight="1" x14ac:dyDescent="0.25">
      <c r="E633" s="139"/>
      <c r="J633" s="139"/>
    </row>
    <row r="634" spans="5:10" ht="15.75" customHeight="1" x14ac:dyDescent="0.25">
      <c r="E634" s="139"/>
      <c r="J634" s="139"/>
    </row>
    <row r="635" spans="5:10" ht="15.75" customHeight="1" x14ac:dyDescent="0.25">
      <c r="E635" s="139"/>
      <c r="J635" s="139"/>
    </row>
    <row r="636" spans="5:10" ht="15.75" customHeight="1" x14ac:dyDescent="0.25">
      <c r="E636" s="139"/>
      <c r="J636" s="139"/>
    </row>
    <row r="637" spans="5:10" ht="15.75" customHeight="1" x14ac:dyDescent="0.25">
      <c r="E637" s="139"/>
      <c r="J637" s="139"/>
    </row>
    <row r="638" spans="5:10" ht="15.75" customHeight="1" x14ac:dyDescent="0.25">
      <c r="E638" s="139"/>
      <c r="J638" s="139"/>
    </row>
    <row r="639" spans="5:10" ht="15.75" customHeight="1" x14ac:dyDescent="0.25">
      <c r="E639" s="139"/>
      <c r="J639" s="139"/>
    </row>
    <row r="640" spans="5:10" ht="15.75" customHeight="1" x14ac:dyDescent="0.25">
      <c r="E640" s="139"/>
      <c r="J640" s="139"/>
    </row>
    <row r="641" spans="5:10" ht="15.75" customHeight="1" x14ac:dyDescent="0.25">
      <c r="E641" s="139"/>
      <c r="J641" s="139"/>
    </row>
    <row r="642" spans="5:10" ht="15.75" customHeight="1" x14ac:dyDescent="0.25">
      <c r="E642" s="139"/>
      <c r="J642" s="139"/>
    </row>
    <row r="643" spans="5:10" ht="15.75" customHeight="1" x14ac:dyDescent="0.25">
      <c r="E643" s="139"/>
      <c r="J643" s="139"/>
    </row>
    <row r="644" spans="5:10" ht="15.75" customHeight="1" x14ac:dyDescent="0.25">
      <c r="E644" s="139"/>
      <c r="J644" s="139"/>
    </row>
    <row r="645" spans="5:10" ht="15.75" customHeight="1" x14ac:dyDescent="0.25">
      <c r="E645" s="139"/>
      <c r="J645" s="139"/>
    </row>
    <row r="646" spans="5:10" ht="15.75" customHeight="1" x14ac:dyDescent="0.25">
      <c r="E646" s="139"/>
      <c r="J646" s="139"/>
    </row>
    <row r="647" spans="5:10" ht="15.75" customHeight="1" x14ac:dyDescent="0.25">
      <c r="E647" s="139"/>
      <c r="J647" s="139"/>
    </row>
    <row r="648" spans="5:10" ht="15.75" customHeight="1" x14ac:dyDescent="0.25">
      <c r="E648" s="139"/>
      <c r="J648" s="139"/>
    </row>
    <row r="649" spans="5:10" ht="15.75" customHeight="1" x14ac:dyDescent="0.25">
      <c r="E649" s="139"/>
      <c r="J649" s="139"/>
    </row>
    <row r="650" spans="5:10" ht="15.75" customHeight="1" x14ac:dyDescent="0.25">
      <c r="E650" s="139"/>
      <c r="J650" s="139"/>
    </row>
    <row r="651" spans="5:10" ht="15.75" customHeight="1" x14ac:dyDescent="0.25">
      <c r="E651" s="139"/>
      <c r="J651" s="139"/>
    </row>
    <row r="652" spans="5:10" ht="15.75" customHeight="1" x14ac:dyDescent="0.25">
      <c r="E652" s="139"/>
      <c r="J652" s="139"/>
    </row>
    <row r="653" spans="5:10" ht="15.75" customHeight="1" x14ac:dyDescent="0.25">
      <c r="E653" s="139"/>
      <c r="J653" s="139"/>
    </row>
    <row r="654" spans="5:10" ht="15.75" customHeight="1" x14ac:dyDescent="0.25">
      <c r="E654" s="139"/>
      <c r="J654" s="139"/>
    </row>
    <row r="655" spans="5:10" ht="15.75" customHeight="1" x14ac:dyDescent="0.25">
      <c r="E655" s="139"/>
      <c r="J655" s="139"/>
    </row>
    <row r="656" spans="5:10" ht="15.75" customHeight="1" x14ac:dyDescent="0.25">
      <c r="E656" s="139"/>
      <c r="J656" s="139"/>
    </row>
    <row r="657" spans="5:10" ht="15.75" customHeight="1" x14ac:dyDescent="0.25">
      <c r="E657" s="139"/>
      <c r="J657" s="139"/>
    </row>
    <row r="658" spans="5:10" ht="15.75" customHeight="1" x14ac:dyDescent="0.25">
      <c r="E658" s="139"/>
      <c r="J658" s="139"/>
    </row>
    <row r="659" spans="5:10" ht="15.75" customHeight="1" x14ac:dyDescent="0.25">
      <c r="E659" s="139"/>
      <c r="J659" s="139"/>
    </row>
    <row r="660" spans="5:10" ht="15.75" customHeight="1" x14ac:dyDescent="0.25">
      <c r="E660" s="139"/>
      <c r="J660" s="139"/>
    </row>
    <row r="661" spans="5:10" ht="15.75" customHeight="1" x14ac:dyDescent="0.25">
      <c r="E661" s="139"/>
      <c r="J661" s="139"/>
    </row>
    <row r="662" spans="5:10" ht="15.75" customHeight="1" x14ac:dyDescent="0.25">
      <c r="E662" s="139"/>
      <c r="J662" s="139"/>
    </row>
    <row r="663" spans="5:10" ht="15.75" customHeight="1" x14ac:dyDescent="0.25">
      <c r="E663" s="139"/>
      <c r="J663" s="139"/>
    </row>
    <row r="664" spans="5:10" ht="15.75" customHeight="1" x14ac:dyDescent="0.25">
      <c r="E664" s="139"/>
      <c r="J664" s="139"/>
    </row>
    <row r="665" spans="5:10" ht="15.75" customHeight="1" x14ac:dyDescent="0.25">
      <c r="E665" s="139"/>
      <c r="J665" s="139"/>
    </row>
    <row r="666" spans="5:10" ht="15.75" customHeight="1" x14ac:dyDescent="0.25">
      <c r="E666" s="139"/>
      <c r="J666" s="139"/>
    </row>
    <row r="667" spans="5:10" ht="15.75" customHeight="1" x14ac:dyDescent="0.25">
      <c r="E667" s="139"/>
      <c r="J667" s="139"/>
    </row>
    <row r="668" spans="5:10" ht="15.75" customHeight="1" x14ac:dyDescent="0.25">
      <c r="E668" s="139"/>
      <c r="J668" s="139"/>
    </row>
    <row r="669" spans="5:10" ht="15.75" customHeight="1" x14ac:dyDescent="0.25">
      <c r="E669" s="139"/>
      <c r="J669" s="139"/>
    </row>
    <row r="670" spans="5:10" ht="15.75" customHeight="1" x14ac:dyDescent="0.25">
      <c r="E670" s="139"/>
      <c r="J670" s="139"/>
    </row>
    <row r="671" spans="5:10" ht="15.75" customHeight="1" x14ac:dyDescent="0.25">
      <c r="E671" s="139"/>
      <c r="J671" s="139"/>
    </row>
    <row r="672" spans="5:10" ht="15.75" customHeight="1" x14ac:dyDescent="0.25">
      <c r="E672" s="139"/>
      <c r="J672" s="139"/>
    </row>
    <row r="673" spans="5:10" ht="15.75" customHeight="1" x14ac:dyDescent="0.25">
      <c r="E673" s="139"/>
      <c r="J673" s="139"/>
    </row>
    <row r="674" spans="5:10" ht="15.75" customHeight="1" x14ac:dyDescent="0.25">
      <c r="E674" s="139"/>
      <c r="J674" s="139"/>
    </row>
    <row r="675" spans="5:10" ht="15.75" customHeight="1" x14ac:dyDescent="0.25">
      <c r="E675" s="139"/>
      <c r="J675" s="139"/>
    </row>
    <row r="676" spans="5:10" ht="15.75" customHeight="1" x14ac:dyDescent="0.25">
      <c r="E676" s="139"/>
      <c r="J676" s="139"/>
    </row>
    <row r="677" spans="5:10" ht="15.75" customHeight="1" x14ac:dyDescent="0.25">
      <c r="E677" s="139"/>
      <c r="J677" s="139"/>
    </row>
    <row r="678" spans="5:10" ht="15.75" customHeight="1" x14ac:dyDescent="0.25">
      <c r="E678" s="139"/>
      <c r="J678" s="139"/>
    </row>
    <row r="679" spans="5:10" ht="15.75" customHeight="1" x14ac:dyDescent="0.25">
      <c r="E679" s="139"/>
      <c r="J679" s="139"/>
    </row>
    <row r="680" spans="5:10" ht="15.75" customHeight="1" x14ac:dyDescent="0.25">
      <c r="E680" s="139"/>
      <c r="J680" s="139"/>
    </row>
    <row r="681" spans="5:10" ht="15.75" customHeight="1" x14ac:dyDescent="0.25">
      <c r="E681" s="139"/>
      <c r="J681" s="139"/>
    </row>
    <row r="682" spans="5:10" ht="15.75" customHeight="1" x14ac:dyDescent="0.25">
      <c r="E682" s="139"/>
      <c r="J682" s="139"/>
    </row>
    <row r="683" spans="5:10" ht="15.75" customHeight="1" x14ac:dyDescent="0.25">
      <c r="E683" s="139"/>
      <c r="J683" s="139"/>
    </row>
    <row r="684" spans="5:10" ht="15.75" customHeight="1" x14ac:dyDescent="0.25">
      <c r="E684" s="139"/>
      <c r="J684" s="139"/>
    </row>
    <row r="685" spans="5:10" ht="15.75" customHeight="1" x14ac:dyDescent="0.25">
      <c r="E685" s="139"/>
      <c r="J685" s="139"/>
    </row>
    <row r="686" spans="5:10" ht="15.75" customHeight="1" x14ac:dyDescent="0.25">
      <c r="E686" s="139"/>
      <c r="J686" s="139"/>
    </row>
    <row r="687" spans="5:10" ht="15.75" customHeight="1" x14ac:dyDescent="0.25">
      <c r="E687" s="139"/>
      <c r="J687" s="139"/>
    </row>
    <row r="688" spans="5:10" ht="15.75" customHeight="1" x14ac:dyDescent="0.25">
      <c r="E688" s="139"/>
      <c r="J688" s="139"/>
    </row>
    <row r="689" spans="5:10" ht="15.75" customHeight="1" x14ac:dyDescent="0.25">
      <c r="E689" s="139"/>
      <c r="J689" s="139"/>
    </row>
    <row r="690" spans="5:10" ht="15.75" customHeight="1" x14ac:dyDescent="0.25">
      <c r="E690" s="139"/>
      <c r="J690" s="139"/>
    </row>
    <row r="691" spans="5:10" ht="15.75" customHeight="1" x14ac:dyDescent="0.25">
      <c r="E691" s="139"/>
      <c r="J691" s="139"/>
    </row>
    <row r="692" spans="5:10" ht="15.75" customHeight="1" x14ac:dyDescent="0.25">
      <c r="E692" s="139"/>
      <c r="J692" s="139"/>
    </row>
    <row r="693" spans="5:10" ht="15.75" customHeight="1" x14ac:dyDescent="0.25">
      <c r="E693" s="139"/>
      <c r="J693" s="139"/>
    </row>
    <row r="694" spans="5:10" ht="15.75" customHeight="1" x14ac:dyDescent="0.25">
      <c r="E694" s="139"/>
      <c r="J694" s="139"/>
    </row>
    <row r="695" spans="5:10" ht="15.75" customHeight="1" x14ac:dyDescent="0.25">
      <c r="E695" s="139"/>
      <c r="J695" s="139"/>
    </row>
    <row r="696" spans="5:10" ht="15.75" customHeight="1" x14ac:dyDescent="0.25">
      <c r="E696" s="139"/>
      <c r="J696" s="139"/>
    </row>
    <row r="697" spans="5:10" ht="15.75" customHeight="1" x14ac:dyDescent="0.25">
      <c r="E697" s="139"/>
      <c r="J697" s="139"/>
    </row>
    <row r="698" spans="5:10" ht="15.75" customHeight="1" x14ac:dyDescent="0.25">
      <c r="E698" s="139"/>
      <c r="J698" s="139"/>
    </row>
    <row r="699" spans="5:10" ht="15.75" customHeight="1" x14ac:dyDescent="0.25">
      <c r="E699" s="139"/>
      <c r="J699" s="139"/>
    </row>
    <row r="700" spans="5:10" ht="15.75" customHeight="1" x14ac:dyDescent="0.25">
      <c r="E700" s="139"/>
      <c r="J700" s="139"/>
    </row>
    <row r="701" spans="5:10" ht="15.75" customHeight="1" x14ac:dyDescent="0.25">
      <c r="E701" s="139"/>
      <c r="J701" s="139"/>
    </row>
    <row r="702" spans="5:10" ht="15.75" customHeight="1" x14ac:dyDescent="0.25">
      <c r="E702" s="139"/>
      <c r="J702" s="139"/>
    </row>
    <row r="703" spans="5:10" ht="15.75" customHeight="1" x14ac:dyDescent="0.25">
      <c r="E703" s="139"/>
      <c r="J703" s="139"/>
    </row>
    <row r="704" spans="5:10" ht="15.75" customHeight="1" x14ac:dyDescent="0.25">
      <c r="E704" s="139"/>
      <c r="J704" s="139"/>
    </row>
    <row r="705" spans="5:10" ht="15.75" customHeight="1" x14ac:dyDescent="0.25">
      <c r="E705" s="139"/>
      <c r="J705" s="139"/>
    </row>
    <row r="706" spans="5:10" ht="15.75" customHeight="1" x14ac:dyDescent="0.25">
      <c r="E706" s="139"/>
      <c r="J706" s="139"/>
    </row>
    <row r="707" spans="5:10" ht="15.75" customHeight="1" x14ac:dyDescent="0.25">
      <c r="E707" s="139"/>
      <c r="J707" s="139"/>
    </row>
    <row r="708" spans="5:10" ht="15.75" customHeight="1" x14ac:dyDescent="0.25">
      <c r="E708" s="139"/>
      <c r="J708" s="139"/>
    </row>
    <row r="709" spans="5:10" ht="15.75" customHeight="1" x14ac:dyDescent="0.25">
      <c r="E709" s="139"/>
      <c r="J709" s="139"/>
    </row>
    <row r="710" spans="5:10" ht="15.75" customHeight="1" x14ac:dyDescent="0.25">
      <c r="E710" s="139"/>
      <c r="J710" s="139"/>
    </row>
    <row r="711" spans="5:10" ht="15.75" customHeight="1" x14ac:dyDescent="0.25">
      <c r="E711" s="139"/>
      <c r="J711" s="139"/>
    </row>
    <row r="712" spans="5:10" ht="15.75" customHeight="1" x14ac:dyDescent="0.25">
      <c r="E712" s="139"/>
      <c r="J712" s="139"/>
    </row>
    <row r="713" spans="5:10" ht="15.75" customHeight="1" x14ac:dyDescent="0.25">
      <c r="E713" s="139"/>
      <c r="J713" s="139"/>
    </row>
    <row r="714" spans="5:10" ht="15.75" customHeight="1" x14ac:dyDescent="0.25">
      <c r="E714" s="139"/>
      <c r="J714" s="139"/>
    </row>
    <row r="715" spans="5:10" ht="15.75" customHeight="1" x14ac:dyDescent="0.25">
      <c r="E715" s="139"/>
      <c r="J715" s="139"/>
    </row>
    <row r="716" spans="5:10" ht="15.75" customHeight="1" x14ac:dyDescent="0.25">
      <c r="E716" s="139"/>
      <c r="J716" s="139"/>
    </row>
    <row r="717" spans="5:10" ht="15.75" customHeight="1" x14ac:dyDescent="0.25">
      <c r="E717" s="139"/>
      <c r="J717" s="139"/>
    </row>
    <row r="718" spans="5:10" ht="15.75" customHeight="1" x14ac:dyDescent="0.25">
      <c r="E718" s="139"/>
      <c r="J718" s="139"/>
    </row>
    <row r="719" spans="5:10" ht="15.75" customHeight="1" x14ac:dyDescent="0.25">
      <c r="E719" s="139"/>
      <c r="J719" s="139"/>
    </row>
    <row r="720" spans="5:10" ht="15.75" customHeight="1" x14ac:dyDescent="0.25">
      <c r="E720" s="139"/>
      <c r="J720" s="139"/>
    </row>
    <row r="721" spans="5:10" ht="15.75" customHeight="1" x14ac:dyDescent="0.25">
      <c r="E721" s="139"/>
      <c r="J721" s="139"/>
    </row>
    <row r="722" spans="5:10" ht="15.75" customHeight="1" x14ac:dyDescent="0.25">
      <c r="E722" s="139"/>
      <c r="J722" s="139"/>
    </row>
    <row r="723" spans="5:10" ht="15.75" customHeight="1" x14ac:dyDescent="0.25">
      <c r="E723" s="139"/>
      <c r="J723" s="139"/>
    </row>
    <row r="724" spans="5:10" ht="15.75" customHeight="1" x14ac:dyDescent="0.25">
      <c r="E724" s="139"/>
      <c r="J724" s="139"/>
    </row>
    <row r="725" spans="5:10" ht="15.75" customHeight="1" x14ac:dyDescent="0.25">
      <c r="E725" s="139"/>
      <c r="J725" s="139"/>
    </row>
    <row r="726" spans="5:10" ht="15.75" customHeight="1" x14ac:dyDescent="0.25">
      <c r="E726" s="139"/>
      <c r="J726" s="139"/>
    </row>
    <row r="727" spans="5:10" ht="15.75" customHeight="1" x14ac:dyDescent="0.25">
      <c r="E727" s="139"/>
      <c r="J727" s="139"/>
    </row>
    <row r="728" spans="5:10" ht="15.75" customHeight="1" x14ac:dyDescent="0.25">
      <c r="E728" s="139"/>
      <c r="J728" s="139"/>
    </row>
    <row r="729" spans="5:10" ht="15.75" customHeight="1" x14ac:dyDescent="0.25">
      <c r="E729" s="139"/>
      <c r="J729" s="139"/>
    </row>
    <row r="730" spans="5:10" ht="15.75" customHeight="1" x14ac:dyDescent="0.25">
      <c r="E730" s="139"/>
      <c r="J730" s="139"/>
    </row>
    <row r="731" spans="5:10" ht="15.75" customHeight="1" x14ac:dyDescent="0.25">
      <c r="E731" s="139"/>
      <c r="J731" s="139"/>
    </row>
    <row r="732" spans="5:10" ht="15.75" customHeight="1" x14ac:dyDescent="0.25">
      <c r="E732" s="139"/>
      <c r="J732" s="139"/>
    </row>
    <row r="733" spans="5:10" ht="15.75" customHeight="1" x14ac:dyDescent="0.25">
      <c r="E733" s="139"/>
      <c r="J733" s="139"/>
    </row>
    <row r="734" spans="5:10" ht="15.75" customHeight="1" x14ac:dyDescent="0.25">
      <c r="E734" s="139"/>
      <c r="J734" s="139"/>
    </row>
    <row r="735" spans="5:10" ht="15.75" customHeight="1" x14ac:dyDescent="0.25">
      <c r="E735" s="139"/>
      <c r="J735" s="139"/>
    </row>
    <row r="736" spans="5:10" ht="15.75" customHeight="1" x14ac:dyDescent="0.25">
      <c r="E736" s="139"/>
      <c r="J736" s="139"/>
    </row>
    <row r="737" spans="5:10" ht="15.75" customHeight="1" x14ac:dyDescent="0.25">
      <c r="E737" s="139"/>
      <c r="J737" s="139"/>
    </row>
    <row r="738" spans="5:10" ht="15.75" customHeight="1" x14ac:dyDescent="0.25">
      <c r="E738" s="139"/>
      <c r="J738" s="139"/>
    </row>
    <row r="739" spans="5:10" ht="15.75" customHeight="1" x14ac:dyDescent="0.25">
      <c r="E739" s="139"/>
      <c r="J739" s="139"/>
    </row>
    <row r="740" spans="5:10" ht="15.75" customHeight="1" x14ac:dyDescent="0.25">
      <c r="E740" s="139"/>
      <c r="J740" s="139"/>
    </row>
    <row r="741" spans="5:10" ht="15.75" customHeight="1" x14ac:dyDescent="0.25">
      <c r="E741" s="139"/>
      <c r="J741" s="139"/>
    </row>
    <row r="742" spans="5:10" ht="15.75" customHeight="1" x14ac:dyDescent="0.25">
      <c r="E742" s="139"/>
      <c r="J742" s="139"/>
    </row>
    <row r="743" spans="5:10" ht="15.75" customHeight="1" x14ac:dyDescent="0.25">
      <c r="E743" s="139"/>
      <c r="J743" s="139"/>
    </row>
    <row r="744" spans="5:10" ht="15.75" customHeight="1" x14ac:dyDescent="0.25">
      <c r="E744" s="139"/>
      <c r="J744" s="139"/>
    </row>
    <row r="745" spans="5:10" ht="15.75" customHeight="1" x14ac:dyDescent="0.25">
      <c r="E745" s="139"/>
      <c r="J745" s="139"/>
    </row>
    <row r="746" spans="5:10" ht="15.75" customHeight="1" x14ac:dyDescent="0.25">
      <c r="E746" s="139"/>
      <c r="J746" s="139"/>
    </row>
    <row r="747" spans="5:10" ht="15.75" customHeight="1" x14ac:dyDescent="0.25">
      <c r="E747" s="139"/>
      <c r="J747" s="139"/>
    </row>
    <row r="748" spans="5:10" ht="15.75" customHeight="1" x14ac:dyDescent="0.25">
      <c r="E748" s="139"/>
      <c r="J748" s="139"/>
    </row>
    <row r="749" spans="5:10" ht="15.75" customHeight="1" x14ac:dyDescent="0.25">
      <c r="E749" s="139"/>
      <c r="J749" s="139"/>
    </row>
    <row r="750" spans="5:10" ht="15.75" customHeight="1" x14ac:dyDescent="0.25">
      <c r="E750" s="139"/>
      <c r="J750" s="139"/>
    </row>
    <row r="751" spans="5:10" ht="15.75" customHeight="1" x14ac:dyDescent="0.25">
      <c r="E751" s="139"/>
      <c r="J751" s="139"/>
    </row>
    <row r="752" spans="5:10" ht="15.75" customHeight="1" x14ac:dyDescent="0.25">
      <c r="E752" s="139"/>
      <c r="J752" s="139"/>
    </row>
    <row r="753" spans="5:10" ht="15.75" customHeight="1" x14ac:dyDescent="0.25">
      <c r="E753" s="139"/>
      <c r="J753" s="139"/>
    </row>
    <row r="754" spans="5:10" ht="15.75" customHeight="1" x14ac:dyDescent="0.25">
      <c r="E754" s="139"/>
      <c r="J754" s="139"/>
    </row>
    <row r="755" spans="5:10" ht="15.75" customHeight="1" x14ac:dyDescent="0.25">
      <c r="E755" s="139"/>
      <c r="J755" s="139"/>
    </row>
    <row r="756" spans="5:10" ht="15.75" customHeight="1" x14ac:dyDescent="0.25">
      <c r="E756" s="139"/>
      <c r="J756" s="139"/>
    </row>
    <row r="757" spans="5:10" ht="15.75" customHeight="1" x14ac:dyDescent="0.25">
      <c r="E757" s="139"/>
      <c r="J757" s="139"/>
    </row>
    <row r="758" spans="5:10" ht="15.75" customHeight="1" x14ac:dyDescent="0.25">
      <c r="E758" s="139"/>
      <c r="J758" s="139"/>
    </row>
    <row r="759" spans="5:10" ht="15.75" customHeight="1" x14ac:dyDescent="0.25">
      <c r="E759" s="139"/>
      <c r="J759" s="139"/>
    </row>
    <row r="760" spans="5:10" ht="15.75" customHeight="1" x14ac:dyDescent="0.25">
      <c r="E760" s="139"/>
      <c r="J760" s="139"/>
    </row>
    <row r="761" spans="5:10" ht="15.75" customHeight="1" x14ac:dyDescent="0.25">
      <c r="E761" s="139"/>
      <c r="J761" s="139"/>
    </row>
    <row r="762" spans="5:10" ht="15.75" customHeight="1" x14ac:dyDescent="0.25">
      <c r="E762" s="139"/>
      <c r="J762" s="139"/>
    </row>
    <row r="763" spans="5:10" ht="15.75" customHeight="1" x14ac:dyDescent="0.25">
      <c r="E763" s="139"/>
      <c r="J763" s="139"/>
    </row>
    <row r="764" spans="5:10" ht="15.75" customHeight="1" x14ac:dyDescent="0.25">
      <c r="E764" s="139"/>
      <c r="J764" s="139"/>
    </row>
    <row r="765" spans="5:10" ht="15.75" customHeight="1" x14ac:dyDescent="0.25">
      <c r="E765" s="139"/>
      <c r="J765" s="139"/>
    </row>
    <row r="766" spans="5:10" ht="15.75" customHeight="1" x14ac:dyDescent="0.25">
      <c r="E766" s="139"/>
      <c r="J766" s="139"/>
    </row>
    <row r="767" spans="5:10" ht="15.75" customHeight="1" x14ac:dyDescent="0.25">
      <c r="E767" s="139"/>
      <c r="J767" s="139"/>
    </row>
    <row r="768" spans="5:10" ht="15.75" customHeight="1" x14ac:dyDescent="0.25">
      <c r="E768" s="139"/>
      <c r="J768" s="139"/>
    </row>
    <row r="769" spans="5:10" ht="15.75" customHeight="1" x14ac:dyDescent="0.25">
      <c r="E769" s="139"/>
      <c r="J769" s="139"/>
    </row>
    <row r="770" spans="5:10" ht="15.75" customHeight="1" x14ac:dyDescent="0.25">
      <c r="E770" s="139"/>
      <c r="J770" s="139"/>
    </row>
    <row r="771" spans="5:10" ht="15.75" customHeight="1" x14ac:dyDescent="0.25">
      <c r="E771" s="139"/>
      <c r="J771" s="139"/>
    </row>
    <row r="772" spans="5:10" ht="15.75" customHeight="1" x14ac:dyDescent="0.25">
      <c r="E772" s="139"/>
      <c r="J772" s="139"/>
    </row>
    <row r="773" spans="5:10" ht="15.75" customHeight="1" x14ac:dyDescent="0.25">
      <c r="E773" s="139"/>
      <c r="J773" s="139"/>
    </row>
    <row r="774" spans="5:10" ht="15.75" customHeight="1" x14ac:dyDescent="0.25">
      <c r="E774" s="139"/>
      <c r="J774" s="139"/>
    </row>
    <row r="775" spans="5:10" ht="15.75" customHeight="1" x14ac:dyDescent="0.25">
      <c r="E775" s="139"/>
      <c r="J775" s="139"/>
    </row>
    <row r="776" spans="5:10" ht="15.75" customHeight="1" x14ac:dyDescent="0.25">
      <c r="E776" s="139"/>
      <c r="J776" s="139"/>
    </row>
    <row r="777" spans="5:10" ht="15.75" customHeight="1" x14ac:dyDescent="0.25">
      <c r="E777" s="139"/>
      <c r="J777" s="139"/>
    </row>
    <row r="778" spans="5:10" ht="15.75" customHeight="1" x14ac:dyDescent="0.25">
      <c r="E778" s="139"/>
      <c r="J778" s="139"/>
    </row>
    <row r="779" spans="5:10" ht="15.75" customHeight="1" x14ac:dyDescent="0.25">
      <c r="E779" s="139"/>
      <c r="J779" s="139"/>
    </row>
    <row r="780" spans="5:10" ht="15.75" customHeight="1" x14ac:dyDescent="0.25">
      <c r="E780" s="139"/>
      <c r="J780" s="139"/>
    </row>
    <row r="781" spans="5:10" ht="15.75" customHeight="1" x14ac:dyDescent="0.25">
      <c r="E781" s="139"/>
      <c r="J781" s="139"/>
    </row>
    <row r="782" spans="5:10" ht="15.75" customHeight="1" x14ac:dyDescent="0.25">
      <c r="E782" s="139"/>
      <c r="J782" s="139"/>
    </row>
    <row r="783" spans="5:10" ht="15.75" customHeight="1" x14ac:dyDescent="0.25">
      <c r="E783" s="139"/>
      <c r="J783" s="139"/>
    </row>
    <row r="784" spans="5:10" ht="15.75" customHeight="1" x14ac:dyDescent="0.25">
      <c r="E784" s="139"/>
      <c r="J784" s="139"/>
    </row>
    <row r="785" spans="5:10" ht="15.75" customHeight="1" x14ac:dyDescent="0.25">
      <c r="E785" s="139"/>
      <c r="J785" s="139"/>
    </row>
    <row r="786" spans="5:10" ht="15.75" customHeight="1" x14ac:dyDescent="0.25">
      <c r="E786" s="139"/>
      <c r="J786" s="139"/>
    </row>
    <row r="787" spans="5:10" ht="15.75" customHeight="1" x14ac:dyDescent="0.25">
      <c r="E787" s="139"/>
      <c r="J787" s="139"/>
    </row>
    <row r="788" spans="5:10" ht="15.75" customHeight="1" x14ac:dyDescent="0.25">
      <c r="E788" s="139"/>
      <c r="J788" s="139"/>
    </row>
    <row r="789" spans="5:10" ht="15.75" customHeight="1" x14ac:dyDescent="0.25">
      <c r="E789" s="139"/>
      <c r="J789" s="139"/>
    </row>
    <row r="790" spans="5:10" ht="15.75" customHeight="1" x14ac:dyDescent="0.25">
      <c r="E790" s="139"/>
      <c r="J790" s="139"/>
    </row>
    <row r="791" spans="5:10" ht="15.75" customHeight="1" x14ac:dyDescent="0.25">
      <c r="E791" s="139"/>
      <c r="J791" s="139"/>
    </row>
    <row r="792" spans="5:10" ht="15.75" customHeight="1" x14ac:dyDescent="0.25">
      <c r="E792" s="139"/>
      <c r="J792" s="139"/>
    </row>
    <row r="793" spans="5:10" ht="15.75" customHeight="1" x14ac:dyDescent="0.25">
      <c r="E793" s="139"/>
      <c r="J793" s="139"/>
    </row>
    <row r="794" spans="5:10" ht="15.75" customHeight="1" x14ac:dyDescent="0.25">
      <c r="E794" s="139"/>
      <c r="J794" s="139"/>
    </row>
    <row r="795" spans="5:10" ht="15.75" customHeight="1" x14ac:dyDescent="0.25">
      <c r="E795" s="139"/>
      <c r="J795" s="139"/>
    </row>
    <row r="796" spans="5:10" ht="15.75" customHeight="1" x14ac:dyDescent="0.25">
      <c r="E796" s="139"/>
      <c r="J796" s="139"/>
    </row>
    <row r="797" spans="5:10" ht="15.75" customHeight="1" x14ac:dyDescent="0.25">
      <c r="E797" s="139"/>
      <c r="J797" s="139"/>
    </row>
    <row r="798" spans="5:10" ht="15.75" customHeight="1" x14ac:dyDescent="0.25">
      <c r="E798" s="139"/>
      <c r="J798" s="139"/>
    </row>
    <row r="799" spans="5:10" ht="15.75" customHeight="1" x14ac:dyDescent="0.25">
      <c r="E799" s="139"/>
      <c r="J799" s="139"/>
    </row>
    <row r="800" spans="5:10" ht="15.75" customHeight="1" x14ac:dyDescent="0.25">
      <c r="E800" s="139"/>
      <c r="J800" s="139"/>
    </row>
    <row r="801" spans="5:10" ht="15.75" customHeight="1" x14ac:dyDescent="0.25">
      <c r="E801" s="139"/>
      <c r="J801" s="139"/>
    </row>
    <row r="802" spans="5:10" ht="15.75" customHeight="1" x14ac:dyDescent="0.25">
      <c r="E802" s="139"/>
      <c r="J802" s="139"/>
    </row>
    <row r="803" spans="5:10" ht="15.75" customHeight="1" x14ac:dyDescent="0.25">
      <c r="E803" s="139"/>
      <c r="J803" s="139"/>
    </row>
    <row r="804" spans="5:10" ht="15.75" customHeight="1" x14ac:dyDescent="0.25">
      <c r="E804" s="139"/>
      <c r="J804" s="139"/>
    </row>
    <row r="805" spans="5:10" ht="15.75" customHeight="1" x14ac:dyDescent="0.25">
      <c r="E805" s="139"/>
      <c r="J805" s="139"/>
    </row>
    <row r="806" spans="5:10" ht="15.75" customHeight="1" x14ac:dyDescent="0.25">
      <c r="E806" s="139"/>
      <c r="J806" s="139"/>
    </row>
    <row r="807" spans="5:10" ht="15.75" customHeight="1" x14ac:dyDescent="0.25">
      <c r="E807" s="139"/>
      <c r="J807" s="139"/>
    </row>
    <row r="808" spans="5:10" ht="15.75" customHeight="1" x14ac:dyDescent="0.25">
      <c r="E808" s="139"/>
      <c r="J808" s="139"/>
    </row>
    <row r="809" spans="5:10" ht="15.75" customHeight="1" x14ac:dyDescent="0.25">
      <c r="E809" s="139"/>
      <c r="J809" s="139"/>
    </row>
    <row r="810" spans="5:10" ht="15.75" customHeight="1" x14ac:dyDescent="0.25">
      <c r="E810" s="139"/>
      <c r="J810" s="139"/>
    </row>
    <row r="811" spans="5:10" ht="15.75" customHeight="1" x14ac:dyDescent="0.25">
      <c r="E811" s="139"/>
      <c r="J811" s="139"/>
    </row>
    <row r="812" spans="5:10" ht="15.75" customHeight="1" x14ac:dyDescent="0.25">
      <c r="E812" s="139"/>
      <c r="J812" s="139"/>
    </row>
    <row r="813" spans="5:10" ht="15.75" customHeight="1" x14ac:dyDescent="0.25">
      <c r="E813" s="139"/>
      <c r="J813" s="139"/>
    </row>
    <row r="814" spans="5:10" ht="15.75" customHeight="1" x14ac:dyDescent="0.25">
      <c r="E814" s="139"/>
      <c r="J814" s="139"/>
    </row>
    <row r="815" spans="5:10" ht="15.75" customHeight="1" x14ac:dyDescent="0.25">
      <c r="E815" s="139"/>
      <c r="J815" s="139"/>
    </row>
    <row r="816" spans="5:10" ht="15.75" customHeight="1" x14ac:dyDescent="0.25">
      <c r="E816" s="139"/>
      <c r="J816" s="139"/>
    </row>
    <row r="817" spans="5:10" ht="15.75" customHeight="1" x14ac:dyDescent="0.25">
      <c r="E817" s="139"/>
      <c r="J817" s="139"/>
    </row>
    <row r="818" spans="5:10" ht="15.75" customHeight="1" x14ac:dyDescent="0.25">
      <c r="E818" s="139"/>
      <c r="J818" s="139"/>
    </row>
    <row r="819" spans="5:10" ht="15.75" customHeight="1" x14ac:dyDescent="0.25">
      <c r="E819" s="139"/>
      <c r="J819" s="139"/>
    </row>
    <row r="820" spans="5:10" ht="15.75" customHeight="1" x14ac:dyDescent="0.25">
      <c r="E820" s="139"/>
      <c r="J820" s="139"/>
    </row>
    <row r="821" spans="5:10" ht="15.75" customHeight="1" x14ac:dyDescent="0.25">
      <c r="E821" s="139"/>
      <c r="J821" s="139"/>
    </row>
    <row r="822" spans="5:10" ht="15.75" customHeight="1" x14ac:dyDescent="0.25">
      <c r="E822" s="139"/>
      <c r="J822" s="139"/>
    </row>
    <row r="823" spans="5:10" ht="15.75" customHeight="1" x14ac:dyDescent="0.25">
      <c r="E823" s="139"/>
      <c r="J823" s="139"/>
    </row>
    <row r="824" spans="5:10" ht="15.75" customHeight="1" x14ac:dyDescent="0.25">
      <c r="E824" s="139"/>
      <c r="J824" s="139"/>
    </row>
    <row r="825" spans="5:10" ht="15.75" customHeight="1" x14ac:dyDescent="0.25">
      <c r="E825" s="139"/>
      <c r="J825" s="139"/>
    </row>
    <row r="826" spans="5:10" ht="15.75" customHeight="1" x14ac:dyDescent="0.25">
      <c r="E826" s="139"/>
      <c r="J826" s="139"/>
    </row>
    <row r="827" spans="5:10" ht="15.75" customHeight="1" x14ac:dyDescent="0.25">
      <c r="E827" s="139"/>
      <c r="J827" s="139"/>
    </row>
    <row r="828" spans="5:10" ht="15.75" customHeight="1" x14ac:dyDescent="0.25">
      <c r="E828" s="139"/>
      <c r="J828" s="139"/>
    </row>
    <row r="829" spans="5:10" ht="15.75" customHeight="1" x14ac:dyDescent="0.25">
      <c r="E829" s="139"/>
      <c r="J829" s="139"/>
    </row>
    <row r="830" spans="5:10" ht="15.75" customHeight="1" x14ac:dyDescent="0.25">
      <c r="E830" s="139"/>
      <c r="J830" s="139"/>
    </row>
    <row r="831" spans="5:10" ht="15.75" customHeight="1" x14ac:dyDescent="0.25">
      <c r="E831" s="139"/>
      <c r="J831" s="139"/>
    </row>
    <row r="832" spans="5:10" ht="15.75" customHeight="1" x14ac:dyDescent="0.25">
      <c r="E832" s="139"/>
      <c r="J832" s="139"/>
    </row>
    <row r="833" spans="5:10" ht="15.75" customHeight="1" x14ac:dyDescent="0.25">
      <c r="E833" s="139"/>
      <c r="J833" s="139"/>
    </row>
    <row r="834" spans="5:10" ht="15.75" customHeight="1" x14ac:dyDescent="0.25">
      <c r="E834" s="139"/>
      <c r="J834" s="139"/>
    </row>
    <row r="835" spans="5:10" ht="15.75" customHeight="1" x14ac:dyDescent="0.25">
      <c r="E835" s="139"/>
      <c r="J835" s="139"/>
    </row>
    <row r="836" spans="5:10" ht="15.75" customHeight="1" x14ac:dyDescent="0.25">
      <c r="E836" s="139"/>
      <c r="J836" s="139"/>
    </row>
    <row r="837" spans="5:10" ht="15.75" customHeight="1" x14ac:dyDescent="0.25">
      <c r="E837" s="139"/>
      <c r="J837" s="139"/>
    </row>
    <row r="838" spans="5:10" ht="15.75" customHeight="1" x14ac:dyDescent="0.25">
      <c r="E838" s="139"/>
      <c r="J838" s="139"/>
    </row>
    <row r="839" spans="5:10" ht="15.75" customHeight="1" x14ac:dyDescent="0.25">
      <c r="E839" s="139"/>
      <c r="J839" s="139"/>
    </row>
    <row r="840" spans="5:10" ht="15.75" customHeight="1" x14ac:dyDescent="0.25">
      <c r="E840" s="139"/>
      <c r="J840" s="139"/>
    </row>
    <row r="841" spans="5:10" ht="15.75" customHeight="1" x14ac:dyDescent="0.25">
      <c r="E841" s="139"/>
      <c r="J841" s="139"/>
    </row>
    <row r="842" spans="5:10" ht="15.75" customHeight="1" x14ac:dyDescent="0.25">
      <c r="E842" s="139"/>
      <c r="J842" s="139"/>
    </row>
    <row r="843" spans="5:10" ht="15.75" customHeight="1" x14ac:dyDescent="0.25">
      <c r="E843" s="139"/>
      <c r="J843" s="139"/>
    </row>
    <row r="844" spans="5:10" ht="15.75" customHeight="1" x14ac:dyDescent="0.25">
      <c r="E844" s="139"/>
      <c r="J844" s="139"/>
    </row>
    <row r="845" spans="5:10" ht="15.75" customHeight="1" x14ac:dyDescent="0.25">
      <c r="E845" s="139"/>
      <c r="J845" s="139"/>
    </row>
    <row r="846" spans="5:10" ht="15.75" customHeight="1" x14ac:dyDescent="0.25">
      <c r="E846" s="139"/>
      <c r="J846" s="139"/>
    </row>
    <row r="847" spans="5:10" ht="15.75" customHeight="1" x14ac:dyDescent="0.25">
      <c r="E847" s="139"/>
      <c r="J847" s="139"/>
    </row>
    <row r="848" spans="5:10" ht="15.75" customHeight="1" x14ac:dyDescent="0.25">
      <c r="E848" s="139"/>
      <c r="J848" s="139"/>
    </row>
    <row r="849" spans="5:10" ht="15.75" customHeight="1" x14ac:dyDescent="0.25">
      <c r="E849" s="139"/>
      <c r="J849" s="139"/>
    </row>
    <row r="850" spans="5:10" ht="15.75" customHeight="1" x14ac:dyDescent="0.25">
      <c r="E850" s="139"/>
      <c r="J850" s="139"/>
    </row>
    <row r="851" spans="5:10" ht="15.75" customHeight="1" x14ac:dyDescent="0.25">
      <c r="E851" s="139"/>
      <c r="J851" s="139"/>
    </row>
    <row r="852" spans="5:10" ht="15.75" customHeight="1" x14ac:dyDescent="0.25">
      <c r="E852" s="139"/>
      <c r="J852" s="139"/>
    </row>
    <row r="853" spans="5:10" ht="15.75" customHeight="1" x14ac:dyDescent="0.25">
      <c r="E853" s="139"/>
      <c r="J853" s="139"/>
    </row>
    <row r="854" spans="5:10" ht="15.75" customHeight="1" x14ac:dyDescent="0.25">
      <c r="E854" s="139"/>
      <c r="J854" s="139"/>
    </row>
    <row r="855" spans="5:10" ht="15.75" customHeight="1" x14ac:dyDescent="0.25">
      <c r="E855" s="139"/>
      <c r="J855" s="139"/>
    </row>
    <row r="856" spans="5:10" ht="15.75" customHeight="1" x14ac:dyDescent="0.25">
      <c r="E856" s="139"/>
      <c r="J856" s="139"/>
    </row>
    <row r="857" spans="5:10" ht="15.75" customHeight="1" x14ac:dyDescent="0.25">
      <c r="E857" s="139"/>
      <c r="J857" s="139"/>
    </row>
    <row r="858" spans="5:10" ht="15.75" customHeight="1" x14ac:dyDescent="0.25">
      <c r="E858" s="139"/>
      <c r="J858" s="139"/>
    </row>
    <row r="859" spans="5:10" ht="15.75" customHeight="1" x14ac:dyDescent="0.25">
      <c r="E859" s="139"/>
      <c r="J859" s="139"/>
    </row>
    <row r="860" spans="5:10" ht="15.75" customHeight="1" x14ac:dyDescent="0.25">
      <c r="E860" s="139"/>
      <c r="J860" s="139"/>
    </row>
    <row r="861" spans="5:10" ht="15.75" customHeight="1" x14ac:dyDescent="0.25">
      <c r="E861" s="139"/>
      <c r="J861" s="139"/>
    </row>
    <row r="862" spans="5:10" ht="15.75" customHeight="1" x14ac:dyDescent="0.25">
      <c r="E862" s="139"/>
      <c r="J862" s="139"/>
    </row>
    <row r="863" spans="5:10" ht="15.75" customHeight="1" x14ac:dyDescent="0.25">
      <c r="E863" s="139"/>
      <c r="J863" s="139"/>
    </row>
    <row r="864" spans="5:10" ht="15.75" customHeight="1" x14ac:dyDescent="0.25">
      <c r="E864" s="139"/>
      <c r="J864" s="139"/>
    </row>
    <row r="865" spans="5:10" ht="15.75" customHeight="1" x14ac:dyDescent="0.25">
      <c r="E865" s="139"/>
      <c r="J865" s="139"/>
    </row>
    <row r="866" spans="5:10" ht="15.75" customHeight="1" x14ac:dyDescent="0.25">
      <c r="E866" s="139"/>
      <c r="J866" s="139"/>
    </row>
    <row r="867" spans="5:10" ht="15.75" customHeight="1" x14ac:dyDescent="0.25">
      <c r="E867" s="139"/>
      <c r="J867" s="139"/>
    </row>
    <row r="868" spans="5:10" ht="15.75" customHeight="1" x14ac:dyDescent="0.25">
      <c r="E868" s="139"/>
      <c r="J868" s="139"/>
    </row>
    <row r="869" spans="5:10" ht="15.75" customHeight="1" x14ac:dyDescent="0.25">
      <c r="E869" s="139"/>
      <c r="J869" s="139"/>
    </row>
    <row r="870" spans="5:10" ht="15.75" customHeight="1" x14ac:dyDescent="0.25">
      <c r="E870" s="139"/>
      <c r="J870" s="139"/>
    </row>
    <row r="871" spans="5:10" ht="15.75" customHeight="1" x14ac:dyDescent="0.25">
      <c r="E871" s="139"/>
      <c r="J871" s="139"/>
    </row>
    <row r="872" spans="5:10" ht="15.75" customHeight="1" x14ac:dyDescent="0.25">
      <c r="E872" s="139"/>
      <c r="J872" s="139"/>
    </row>
    <row r="873" spans="5:10" ht="15.75" customHeight="1" x14ac:dyDescent="0.25">
      <c r="E873" s="139"/>
      <c r="J873" s="139"/>
    </row>
    <row r="874" spans="5:10" ht="15.75" customHeight="1" x14ac:dyDescent="0.25">
      <c r="E874" s="139"/>
      <c r="J874" s="139"/>
    </row>
    <row r="875" spans="5:10" ht="15.75" customHeight="1" x14ac:dyDescent="0.25">
      <c r="E875" s="139"/>
      <c r="J875" s="139"/>
    </row>
    <row r="876" spans="5:10" ht="15.75" customHeight="1" x14ac:dyDescent="0.25">
      <c r="E876" s="139"/>
      <c r="J876" s="139"/>
    </row>
    <row r="877" spans="5:10" ht="15.75" customHeight="1" x14ac:dyDescent="0.25">
      <c r="E877" s="139"/>
      <c r="J877" s="139"/>
    </row>
    <row r="878" spans="5:10" ht="15.75" customHeight="1" x14ac:dyDescent="0.25">
      <c r="E878" s="139"/>
      <c r="J878" s="139"/>
    </row>
    <row r="879" spans="5:10" ht="15.75" customHeight="1" x14ac:dyDescent="0.25">
      <c r="E879" s="139"/>
      <c r="J879" s="139"/>
    </row>
    <row r="880" spans="5:10" ht="15.75" customHeight="1" x14ac:dyDescent="0.25">
      <c r="E880" s="139"/>
      <c r="J880" s="139"/>
    </row>
    <row r="881" spans="5:10" ht="15.75" customHeight="1" x14ac:dyDescent="0.25">
      <c r="E881" s="139"/>
      <c r="J881" s="139"/>
    </row>
    <row r="882" spans="5:10" ht="15.75" customHeight="1" x14ac:dyDescent="0.25">
      <c r="E882" s="139"/>
      <c r="J882" s="139"/>
    </row>
    <row r="883" spans="5:10" ht="15.75" customHeight="1" x14ac:dyDescent="0.25">
      <c r="E883" s="139"/>
      <c r="J883" s="139"/>
    </row>
    <row r="884" spans="5:10" ht="15.75" customHeight="1" x14ac:dyDescent="0.25">
      <c r="E884" s="139"/>
      <c r="J884" s="139"/>
    </row>
    <row r="885" spans="5:10" ht="15.75" customHeight="1" x14ac:dyDescent="0.25">
      <c r="E885" s="139"/>
      <c r="J885" s="139"/>
    </row>
    <row r="886" spans="5:10" ht="15.75" customHeight="1" x14ac:dyDescent="0.25">
      <c r="E886" s="139"/>
      <c r="J886" s="139"/>
    </row>
    <row r="887" spans="5:10" ht="15.75" customHeight="1" x14ac:dyDescent="0.25">
      <c r="E887" s="139"/>
      <c r="J887" s="139"/>
    </row>
    <row r="888" spans="5:10" ht="15.75" customHeight="1" x14ac:dyDescent="0.25">
      <c r="E888" s="139"/>
      <c r="J888" s="139"/>
    </row>
    <row r="889" spans="5:10" ht="15.75" customHeight="1" x14ac:dyDescent="0.25">
      <c r="E889" s="139"/>
      <c r="J889" s="139"/>
    </row>
    <row r="890" spans="5:10" ht="15.75" customHeight="1" x14ac:dyDescent="0.25">
      <c r="E890" s="139"/>
      <c r="J890" s="139"/>
    </row>
    <row r="891" spans="5:10" ht="15.75" customHeight="1" x14ac:dyDescent="0.25">
      <c r="E891" s="139"/>
      <c r="J891" s="139"/>
    </row>
    <row r="892" spans="5:10" ht="15.75" customHeight="1" x14ac:dyDescent="0.25">
      <c r="E892" s="139"/>
      <c r="J892" s="139"/>
    </row>
    <row r="893" spans="5:10" ht="15.75" customHeight="1" x14ac:dyDescent="0.25">
      <c r="E893" s="139"/>
      <c r="J893" s="139"/>
    </row>
    <row r="894" spans="5:10" ht="15.75" customHeight="1" x14ac:dyDescent="0.25">
      <c r="E894" s="139"/>
      <c r="J894" s="139"/>
    </row>
    <row r="895" spans="5:10" ht="15.75" customHeight="1" x14ac:dyDescent="0.25">
      <c r="E895" s="139"/>
      <c r="J895" s="139"/>
    </row>
    <row r="896" spans="5:10" ht="15.75" customHeight="1" x14ac:dyDescent="0.25">
      <c r="E896" s="139"/>
      <c r="J896" s="139"/>
    </row>
    <row r="897" spans="5:10" ht="15.75" customHeight="1" x14ac:dyDescent="0.25">
      <c r="E897" s="139"/>
      <c r="J897" s="139"/>
    </row>
    <row r="898" spans="5:10" ht="15.75" customHeight="1" x14ac:dyDescent="0.25">
      <c r="E898" s="139"/>
      <c r="J898" s="139"/>
    </row>
    <row r="899" spans="5:10" ht="15.75" customHeight="1" x14ac:dyDescent="0.25">
      <c r="E899" s="139"/>
      <c r="J899" s="139"/>
    </row>
    <row r="900" spans="5:10" ht="15.75" customHeight="1" x14ac:dyDescent="0.25">
      <c r="E900" s="139"/>
      <c r="J900" s="139"/>
    </row>
    <row r="901" spans="5:10" ht="15.75" customHeight="1" x14ac:dyDescent="0.25">
      <c r="E901" s="139"/>
      <c r="J901" s="139"/>
    </row>
    <row r="902" spans="5:10" ht="15.75" customHeight="1" x14ac:dyDescent="0.25">
      <c r="E902" s="139"/>
      <c r="J902" s="139"/>
    </row>
    <row r="903" spans="5:10" ht="15.75" customHeight="1" x14ac:dyDescent="0.25">
      <c r="E903" s="139"/>
      <c r="J903" s="139"/>
    </row>
    <row r="904" spans="5:10" ht="15.75" customHeight="1" x14ac:dyDescent="0.25">
      <c r="E904" s="139"/>
      <c r="J904" s="139"/>
    </row>
    <row r="905" spans="5:10" ht="15.75" customHeight="1" x14ac:dyDescent="0.25">
      <c r="E905" s="139"/>
      <c r="J905" s="139"/>
    </row>
    <row r="906" spans="5:10" ht="15.75" customHeight="1" x14ac:dyDescent="0.25">
      <c r="E906" s="139"/>
      <c r="J906" s="139"/>
    </row>
    <row r="907" spans="5:10" ht="15.75" customHeight="1" x14ac:dyDescent="0.25">
      <c r="E907" s="139"/>
      <c r="J907" s="139"/>
    </row>
    <row r="908" spans="5:10" ht="15.75" customHeight="1" x14ac:dyDescent="0.25">
      <c r="E908" s="139"/>
      <c r="J908" s="139"/>
    </row>
    <row r="909" spans="5:10" ht="15.75" customHeight="1" x14ac:dyDescent="0.25">
      <c r="E909" s="139"/>
      <c r="J909" s="139"/>
    </row>
    <row r="910" spans="5:10" ht="15.75" customHeight="1" x14ac:dyDescent="0.25">
      <c r="E910" s="139"/>
      <c r="J910" s="139"/>
    </row>
    <row r="911" spans="5:10" ht="15.75" customHeight="1" x14ac:dyDescent="0.25">
      <c r="E911" s="139"/>
      <c r="J911" s="139"/>
    </row>
    <row r="912" spans="5:10" ht="15.75" customHeight="1" x14ac:dyDescent="0.25">
      <c r="E912" s="139"/>
      <c r="J912" s="139"/>
    </row>
    <row r="913" spans="5:10" ht="15.75" customHeight="1" x14ac:dyDescent="0.25">
      <c r="E913" s="139"/>
      <c r="J913" s="139"/>
    </row>
    <row r="914" spans="5:10" ht="15.75" customHeight="1" x14ac:dyDescent="0.25">
      <c r="E914" s="139"/>
      <c r="J914" s="139"/>
    </row>
    <row r="915" spans="5:10" ht="15.75" customHeight="1" x14ac:dyDescent="0.25">
      <c r="E915" s="139"/>
      <c r="J915" s="139"/>
    </row>
    <row r="916" spans="5:10" ht="15.75" customHeight="1" x14ac:dyDescent="0.25">
      <c r="E916" s="139"/>
      <c r="J916" s="139"/>
    </row>
    <row r="917" spans="5:10" ht="15.75" customHeight="1" x14ac:dyDescent="0.25">
      <c r="E917" s="139"/>
      <c r="J917" s="139"/>
    </row>
    <row r="918" spans="5:10" ht="15.75" customHeight="1" x14ac:dyDescent="0.25">
      <c r="E918" s="139"/>
      <c r="J918" s="139"/>
    </row>
    <row r="919" spans="5:10" ht="15.75" customHeight="1" x14ac:dyDescent="0.25">
      <c r="E919" s="139"/>
      <c r="J919" s="139"/>
    </row>
    <row r="920" spans="5:10" ht="15.75" customHeight="1" x14ac:dyDescent="0.25">
      <c r="E920" s="139"/>
      <c r="J920" s="139"/>
    </row>
    <row r="921" spans="5:10" ht="15.75" customHeight="1" x14ac:dyDescent="0.25">
      <c r="E921" s="139"/>
      <c r="J921" s="139"/>
    </row>
    <row r="922" spans="5:10" ht="15.75" customHeight="1" x14ac:dyDescent="0.25">
      <c r="E922" s="139"/>
      <c r="J922" s="139"/>
    </row>
    <row r="923" spans="5:10" ht="15.75" customHeight="1" x14ac:dyDescent="0.25">
      <c r="E923" s="139"/>
      <c r="J923" s="139"/>
    </row>
    <row r="924" spans="5:10" ht="15.75" customHeight="1" x14ac:dyDescent="0.25">
      <c r="E924" s="139"/>
      <c r="J924" s="139"/>
    </row>
    <row r="925" spans="5:10" ht="15.75" customHeight="1" x14ac:dyDescent="0.25">
      <c r="E925" s="139"/>
      <c r="J925" s="139"/>
    </row>
    <row r="926" spans="5:10" ht="15.75" customHeight="1" x14ac:dyDescent="0.25">
      <c r="E926" s="139"/>
      <c r="J926" s="139"/>
    </row>
    <row r="927" spans="5:10" ht="15.75" customHeight="1" x14ac:dyDescent="0.25">
      <c r="E927" s="139"/>
      <c r="J927" s="139"/>
    </row>
    <row r="928" spans="5:10" ht="15.75" customHeight="1" x14ac:dyDescent="0.25">
      <c r="E928" s="139"/>
      <c r="J928" s="139"/>
    </row>
    <row r="929" spans="5:10" ht="15.75" customHeight="1" x14ac:dyDescent="0.25">
      <c r="E929" s="139"/>
      <c r="J929" s="139"/>
    </row>
    <row r="930" spans="5:10" ht="15.75" customHeight="1" x14ac:dyDescent="0.25">
      <c r="E930" s="139"/>
      <c r="J930" s="139"/>
    </row>
    <row r="931" spans="5:10" ht="15.75" customHeight="1" x14ac:dyDescent="0.25">
      <c r="E931" s="139"/>
      <c r="J931" s="139"/>
    </row>
    <row r="932" spans="5:10" ht="15.75" customHeight="1" x14ac:dyDescent="0.25">
      <c r="E932" s="139"/>
      <c r="J932" s="139"/>
    </row>
    <row r="933" spans="5:10" ht="15.75" customHeight="1" x14ac:dyDescent="0.25">
      <c r="E933" s="139"/>
      <c r="J933" s="139"/>
    </row>
    <row r="934" spans="5:10" ht="15.75" customHeight="1" x14ac:dyDescent="0.25">
      <c r="E934" s="139"/>
      <c r="J934" s="139"/>
    </row>
    <row r="935" spans="5:10" ht="15.75" customHeight="1" x14ac:dyDescent="0.25">
      <c r="E935" s="139"/>
      <c r="J935" s="139"/>
    </row>
    <row r="936" spans="5:10" ht="15.75" customHeight="1" x14ac:dyDescent="0.25">
      <c r="E936" s="139"/>
      <c r="J936" s="139"/>
    </row>
    <row r="937" spans="5:10" ht="15.75" customHeight="1" x14ac:dyDescent="0.25">
      <c r="E937" s="139"/>
      <c r="J937" s="139"/>
    </row>
    <row r="938" spans="5:10" ht="15.75" customHeight="1" x14ac:dyDescent="0.25">
      <c r="E938" s="139"/>
      <c r="J938" s="139"/>
    </row>
    <row r="939" spans="5:10" ht="15.75" customHeight="1" x14ac:dyDescent="0.25">
      <c r="E939" s="139"/>
      <c r="J939" s="139"/>
    </row>
    <row r="940" spans="5:10" ht="15.75" customHeight="1" x14ac:dyDescent="0.25">
      <c r="E940" s="139"/>
      <c r="J940" s="139"/>
    </row>
    <row r="941" spans="5:10" ht="15.75" customHeight="1" x14ac:dyDescent="0.25">
      <c r="E941" s="139"/>
      <c r="J941" s="139"/>
    </row>
    <row r="942" spans="5:10" ht="15.75" customHeight="1" x14ac:dyDescent="0.25">
      <c r="E942" s="139"/>
      <c r="J942" s="139"/>
    </row>
    <row r="943" spans="5:10" ht="15.75" customHeight="1" x14ac:dyDescent="0.25">
      <c r="E943" s="139"/>
      <c r="J943" s="139"/>
    </row>
    <row r="944" spans="5:10" ht="15.75" customHeight="1" x14ac:dyDescent="0.25">
      <c r="E944" s="139"/>
      <c r="J944" s="139"/>
    </row>
    <row r="945" spans="5:10" ht="15.75" customHeight="1" x14ac:dyDescent="0.25">
      <c r="E945" s="139"/>
      <c r="J945" s="139"/>
    </row>
    <row r="946" spans="5:10" ht="15.75" customHeight="1" x14ac:dyDescent="0.25">
      <c r="E946" s="139"/>
      <c r="J946" s="139"/>
    </row>
    <row r="947" spans="5:10" ht="15.75" customHeight="1" x14ac:dyDescent="0.25">
      <c r="E947" s="139"/>
      <c r="J947" s="139"/>
    </row>
    <row r="948" spans="5:10" ht="15.75" customHeight="1" x14ac:dyDescent="0.25">
      <c r="E948" s="139"/>
      <c r="J948" s="139"/>
    </row>
    <row r="949" spans="5:10" ht="15.75" customHeight="1" x14ac:dyDescent="0.25">
      <c r="E949" s="139"/>
      <c r="J949" s="139"/>
    </row>
    <row r="950" spans="5:10" ht="15.75" customHeight="1" x14ac:dyDescent="0.25">
      <c r="E950" s="139"/>
      <c r="J950" s="139"/>
    </row>
    <row r="951" spans="5:10" ht="15.75" customHeight="1" x14ac:dyDescent="0.25">
      <c r="E951" s="139"/>
      <c r="J951" s="139"/>
    </row>
    <row r="952" spans="5:10" ht="15.75" customHeight="1" x14ac:dyDescent="0.25">
      <c r="E952" s="139"/>
      <c r="J952" s="139"/>
    </row>
    <row r="953" spans="5:10" ht="15.75" customHeight="1" x14ac:dyDescent="0.25">
      <c r="E953" s="139"/>
      <c r="J953" s="139"/>
    </row>
    <row r="954" spans="5:10" ht="15.75" customHeight="1" x14ac:dyDescent="0.25">
      <c r="E954" s="139"/>
      <c r="J954" s="139"/>
    </row>
    <row r="955" spans="5:10" ht="15.75" customHeight="1" x14ac:dyDescent="0.25">
      <c r="E955" s="139"/>
      <c r="J955" s="139"/>
    </row>
    <row r="956" spans="5:10" ht="15.75" customHeight="1" x14ac:dyDescent="0.25">
      <c r="E956" s="139"/>
      <c r="J956" s="139"/>
    </row>
    <row r="957" spans="5:10" ht="15.75" customHeight="1" x14ac:dyDescent="0.25">
      <c r="E957" s="139"/>
      <c r="J957" s="139"/>
    </row>
    <row r="958" spans="5:10" ht="15.75" customHeight="1" x14ac:dyDescent="0.25">
      <c r="E958" s="139"/>
      <c r="J958" s="139"/>
    </row>
    <row r="959" spans="5:10" ht="15.75" customHeight="1" x14ac:dyDescent="0.25">
      <c r="E959" s="139"/>
      <c r="J959" s="139"/>
    </row>
    <row r="960" spans="5:10" ht="15.75" customHeight="1" x14ac:dyDescent="0.25">
      <c r="E960" s="139"/>
      <c r="J960" s="139"/>
    </row>
    <row r="961" spans="5:10" ht="15.75" customHeight="1" x14ac:dyDescent="0.25">
      <c r="E961" s="139"/>
      <c r="J961" s="139"/>
    </row>
    <row r="962" spans="5:10" ht="15.75" customHeight="1" x14ac:dyDescent="0.25">
      <c r="E962" s="139"/>
      <c r="J962" s="139"/>
    </row>
    <row r="963" spans="5:10" ht="15.75" customHeight="1" x14ac:dyDescent="0.25">
      <c r="E963" s="139"/>
      <c r="J963" s="139"/>
    </row>
    <row r="964" spans="5:10" ht="15.75" customHeight="1" x14ac:dyDescent="0.25">
      <c r="E964" s="139"/>
      <c r="J964" s="139"/>
    </row>
    <row r="965" spans="5:10" ht="15.75" customHeight="1" x14ac:dyDescent="0.25">
      <c r="E965" s="139"/>
      <c r="J965" s="139"/>
    </row>
    <row r="966" spans="5:10" ht="15.75" customHeight="1" x14ac:dyDescent="0.25">
      <c r="E966" s="139"/>
      <c r="J966" s="139"/>
    </row>
    <row r="967" spans="5:10" ht="15.75" customHeight="1" x14ac:dyDescent="0.25">
      <c r="E967" s="139"/>
      <c r="J967" s="139"/>
    </row>
    <row r="968" spans="5:10" ht="15.75" customHeight="1" x14ac:dyDescent="0.25">
      <c r="E968" s="139"/>
      <c r="J968" s="139"/>
    </row>
    <row r="969" spans="5:10" ht="15.75" customHeight="1" x14ac:dyDescent="0.25">
      <c r="E969" s="139"/>
      <c r="J969" s="139"/>
    </row>
    <row r="970" spans="5:10" ht="15.75" customHeight="1" x14ac:dyDescent="0.25">
      <c r="E970" s="139"/>
      <c r="J970" s="139"/>
    </row>
    <row r="971" spans="5:10" ht="15.75" customHeight="1" x14ac:dyDescent="0.25">
      <c r="E971" s="139"/>
      <c r="J971" s="139"/>
    </row>
    <row r="972" spans="5:10" ht="15.75" customHeight="1" x14ac:dyDescent="0.25">
      <c r="E972" s="139"/>
      <c r="J972" s="139"/>
    </row>
    <row r="973" spans="5:10" ht="15.75" customHeight="1" x14ac:dyDescent="0.25">
      <c r="E973" s="139"/>
      <c r="J973" s="139"/>
    </row>
    <row r="974" spans="5:10" ht="15.75" customHeight="1" x14ac:dyDescent="0.25">
      <c r="E974" s="139"/>
      <c r="J974" s="139"/>
    </row>
    <row r="975" spans="5:10" ht="15.75" customHeight="1" x14ac:dyDescent="0.25">
      <c r="E975" s="139"/>
      <c r="J975" s="139"/>
    </row>
    <row r="976" spans="5:10" ht="15.75" customHeight="1" x14ac:dyDescent="0.25">
      <c r="E976" s="139"/>
      <c r="J976" s="139"/>
    </row>
    <row r="977" spans="5:10" ht="15.75" customHeight="1" x14ac:dyDescent="0.25">
      <c r="E977" s="139"/>
      <c r="J977" s="139"/>
    </row>
    <row r="978" spans="5:10" ht="15.75" customHeight="1" x14ac:dyDescent="0.25">
      <c r="E978" s="139"/>
      <c r="J978" s="139"/>
    </row>
    <row r="979" spans="5:10" ht="15.75" customHeight="1" x14ac:dyDescent="0.25">
      <c r="E979" s="139"/>
      <c r="J979" s="139"/>
    </row>
    <row r="980" spans="5:10" ht="15.75" customHeight="1" x14ac:dyDescent="0.25">
      <c r="E980" s="139"/>
      <c r="J980" s="139"/>
    </row>
    <row r="981" spans="5:10" ht="15.75" customHeight="1" x14ac:dyDescent="0.25">
      <c r="E981" s="139"/>
      <c r="J981" s="139"/>
    </row>
    <row r="982" spans="5:10" ht="15.75" customHeight="1" x14ac:dyDescent="0.25">
      <c r="E982" s="139"/>
      <c r="J982" s="139"/>
    </row>
    <row r="983" spans="5:10" ht="15.75" customHeight="1" x14ac:dyDescent="0.25">
      <c r="E983" s="139"/>
      <c r="J983" s="139"/>
    </row>
    <row r="984" spans="5:10" ht="15.75" customHeight="1" x14ac:dyDescent="0.25">
      <c r="E984" s="139"/>
      <c r="J984" s="139"/>
    </row>
    <row r="985" spans="5:10" ht="15.75" customHeight="1" x14ac:dyDescent="0.25">
      <c r="E985" s="139"/>
      <c r="J985" s="139"/>
    </row>
    <row r="986" spans="5:10" ht="15.75" customHeight="1" x14ac:dyDescent="0.25">
      <c r="E986" s="139"/>
      <c r="J986" s="139"/>
    </row>
    <row r="987" spans="5:10" ht="15.75" customHeight="1" x14ac:dyDescent="0.25">
      <c r="E987" s="139"/>
      <c r="J987" s="139"/>
    </row>
    <row r="988" spans="5:10" ht="15.75" customHeight="1" x14ac:dyDescent="0.25">
      <c r="E988" s="139"/>
      <c r="J988" s="139"/>
    </row>
    <row r="989" spans="5:10" ht="15.75" customHeight="1" x14ac:dyDescent="0.25">
      <c r="E989" s="139"/>
      <c r="J989" s="139"/>
    </row>
    <row r="990" spans="5:10" ht="15.75" customHeight="1" x14ac:dyDescent="0.25">
      <c r="E990" s="139"/>
      <c r="J990" s="139"/>
    </row>
    <row r="991" spans="5:10" ht="15.75" customHeight="1" x14ac:dyDescent="0.25">
      <c r="E991" s="139"/>
      <c r="J991" s="139"/>
    </row>
    <row r="992" spans="5:10" ht="15.75" customHeight="1" x14ac:dyDescent="0.25">
      <c r="E992" s="139"/>
      <c r="J992" s="139"/>
    </row>
    <row r="993" spans="5:10" ht="15.75" customHeight="1" x14ac:dyDescent="0.25">
      <c r="E993" s="139"/>
      <c r="J993" s="139"/>
    </row>
    <row r="994" spans="5:10" ht="15.75" customHeight="1" x14ac:dyDescent="0.25">
      <c r="E994" s="139"/>
      <c r="J994" s="139"/>
    </row>
    <row r="995" spans="5:10" ht="15.75" customHeight="1" x14ac:dyDescent="0.25">
      <c r="E995" s="139"/>
      <c r="J995" s="139"/>
    </row>
    <row r="996" spans="5:10" ht="15.75" customHeight="1" x14ac:dyDescent="0.25">
      <c r="E996" s="139"/>
      <c r="J996" s="139"/>
    </row>
    <row r="997" spans="5:10" ht="15.75" customHeight="1" x14ac:dyDescent="0.25">
      <c r="E997" s="139"/>
      <c r="J997" s="139"/>
    </row>
    <row r="998" spans="5:10" ht="15.75" customHeight="1" x14ac:dyDescent="0.25">
      <c r="E998" s="139"/>
      <c r="J998" s="139"/>
    </row>
    <row r="999" spans="5:10" ht="15.75" customHeight="1" x14ac:dyDescent="0.25">
      <c r="E999" s="139"/>
      <c r="J999" s="139"/>
    </row>
    <row r="1000" spans="5:10" ht="15.75" customHeight="1" x14ac:dyDescent="0.25">
      <c r="E1000" s="139"/>
      <c r="J1000" s="139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D00-000000000000}">
          <x14:formula1>
            <xm:f>January!$B$27:$C$44</xm:f>
          </x14:formula1>
          <xm:sqref>E5:E1000</xm:sqref>
        </x14:dataValidation>
        <x14:dataValidation type="list" allowBlank="1" xr:uid="{00000000-0002-0000-0D00-000001000000}">
          <x14:formula1>
            <xm:f>January!$H$27:$I$44</xm:f>
          </x14:formula1>
          <xm:sqref>J5:J1000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M1000"/>
  <sheetViews>
    <sheetView showGridLines="0" workbookViewId="0"/>
  </sheetViews>
  <sheetFormatPr defaultColWidth="12.6640625" defaultRowHeight="15" customHeight="1" x14ac:dyDescent="0.25"/>
  <cols>
    <col min="1" max="1" width="6.109375" customWidth="1"/>
    <col min="2" max="3" width="8.88671875" customWidth="1"/>
    <col min="4" max="4" width="16.77734375" customWidth="1"/>
    <col min="5" max="5" width="14.88671875" customWidth="1"/>
    <col min="6" max="6" width="11" customWidth="1"/>
    <col min="7" max="7" width="16.21875" customWidth="1"/>
    <col min="8" max="8" width="8.88671875" customWidth="1"/>
    <col min="9" max="9" width="17" customWidth="1"/>
    <col min="10" max="10" width="12.6640625" customWidth="1"/>
    <col min="11" max="11" width="12.33203125" customWidth="1"/>
    <col min="12" max="12" width="13.77734375" customWidth="1"/>
    <col min="13" max="13" width="6.109375" customWidth="1"/>
  </cols>
  <sheetData>
    <row r="1" spans="1:13" ht="12" customHeight="1" x14ac:dyDescent="0.3">
      <c r="A1" s="142"/>
      <c r="B1" s="142"/>
      <c r="C1" s="142"/>
      <c r="D1" s="142"/>
      <c r="E1" s="142"/>
      <c r="F1" s="142"/>
      <c r="G1" s="143"/>
      <c r="H1" s="142"/>
      <c r="I1" s="142"/>
      <c r="J1" s="142"/>
      <c r="K1" s="142"/>
      <c r="L1" s="142"/>
      <c r="M1" s="142"/>
    </row>
    <row r="2" spans="1:13" ht="21" customHeight="1" x14ac:dyDescent="0.25">
      <c r="A2" s="144"/>
      <c r="B2" s="269" t="s">
        <v>28</v>
      </c>
      <c r="C2" s="266"/>
      <c r="D2" s="266"/>
      <c r="E2" s="266"/>
      <c r="F2" s="266"/>
      <c r="G2" s="266"/>
      <c r="H2" s="266"/>
      <c r="I2" s="270" t="s">
        <v>1</v>
      </c>
      <c r="J2" s="266"/>
      <c r="K2" s="266"/>
      <c r="L2" s="266"/>
      <c r="M2" s="144"/>
    </row>
    <row r="3" spans="1:13" ht="16.5" customHeight="1" x14ac:dyDescent="0.25">
      <c r="A3" s="145"/>
      <c r="B3" s="271" t="s">
        <v>29</v>
      </c>
      <c r="C3" s="266"/>
      <c r="D3" s="266"/>
      <c r="E3" s="266"/>
      <c r="F3" s="266"/>
      <c r="G3" s="266"/>
      <c r="H3" s="146"/>
      <c r="I3" s="272" t="s">
        <v>30</v>
      </c>
      <c r="J3" s="266"/>
      <c r="K3" s="266"/>
      <c r="L3" s="266"/>
      <c r="M3" s="147"/>
    </row>
    <row r="4" spans="1:13" ht="10.5" customHeight="1" x14ac:dyDescent="0.25">
      <c r="A4" s="145"/>
      <c r="B4" s="266"/>
      <c r="C4" s="266"/>
      <c r="D4" s="266"/>
      <c r="E4" s="266"/>
      <c r="F4" s="266"/>
      <c r="G4" s="266"/>
      <c r="H4" s="146"/>
      <c r="I4" s="273" t="s">
        <v>31</v>
      </c>
      <c r="J4" s="266"/>
      <c r="K4" s="266"/>
      <c r="L4" s="266"/>
      <c r="M4" s="266"/>
    </row>
    <row r="5" spans="1:13" ht="15.75" customHeight="1" x14ac:dyDescent="0.25">
      <c r="A5" s="145"/>
      <c r="B5" s="271" t="s">
        <v>32</v>
      </c>
      <c r="C5" s="266"/>
      <c r="D5" s="266"/>
      <c r="E5" s="266"/>
      <c r="F5" s="266"/>
      <c r="G5" s="266"/>
      <c r="H5" s="146"/>
      <c r="I5" s="266"/>
      <c r="J5" s="266"/>
      <c r="K5" s="266"/>
      <c r="L5" s="266"/>
      <c r="M5" s="266"/>
    </row>
    <row r="6" spans="1:13" ht="23.25" customHeight="1" x14ac:dyDescent="0.3">
      <c r="A6" s="148"/>
      <c r="B6" s="266"/>
      <c r="C6" s="266"/>
      <c r="D6" s="266"/>
      <c r="E6" s="266"/>
      <c r="F6" s="266"/>
      <c r="G6" s="266"/>
      <c r="H6" s="149"/>
      <c r="I6" s="142"/>
      <c r="J6" s="142"/>
      <c r="K6" s="142"/>
      <c r="L6" s="142"/>
      <c r="M6" s="142"/>
    </row>
    <row r="7" spans="1:13" ht="30" customHeight="1" x14ac:dyDescent="0.3">
      <c r="A7" s="150"/>
      <c r="B7" s="151"/>
      <c r="C7" s="151"/>
      <c r="D7" s="151"/>
      <c r="E7" s="152"/>
      <c r="F7" s="155"/>
      <c r="G7" s="155"/>
      <c r="H7" s="155"/>
      <c r="I7" s="155"/>
      <c r="J7" s="153"/>
      <c r="K7" s="153"/>
      <c r="L7" s="153"/>
      <c r="M7" s="153"/>
    </row>
    <row r="8" spans="1:13" ht="18" customHeight="1" x14ac:dyDescent="0.3">
      <c r="A8" s="156"/>
      <c r="B8" s="275" t="s">
        <v>65</v>
      </c>
      <c r="C8" s="266"/>
      <c r="D8" s="266"/>
      <c r="E8" s="266"/>
      <c r="F8" s="153"/>
      <c r="G8" s="157"/>
      <c r="H8" s="153"/>
      <c r="I8" s="158"/>
      <c r="J8" s="274" t="s">
        <v>34</v>
      </c>
      <c r="K8" s="266"/>
      <c r="L8" s="159">
        <f>Mei!E17</f>
        <v>3000000</v>
      </c>
      <c r="M8" s="153"/>
    </row>
    <row r="9" spans="1:13" ht="18" customHeight="1" x14ac:dyDescent="0.25">
      <c r="A9" s="156"/>
      <c r="B9" s="266"/>
      <c r="C9" s="266"/>
      <c r="D9" s="266"/>
      <c r="E9" s="266"/>
      <c r="F9" s="153"/>
      <c r="G9" s="157"/>
      <c r="H9" s="153"/>
      <c r="I9" s="160"/>
      <c r="J9" s="153"/>
      <c r="K9" s="153"/>
      <c r="M9" s="153"/>
    </row>
    <row r="10" spans="1:13" ht="18" customHeight="1" x14ac:dyDescent="0.25">
      <c r="A10" s="153"/>
      <c r="B10" s="161"/>
      <c r="C10" s="161"/>
      <c r="D10" s="161"/>
      <c r="E10" s="161"/>
      <c r="F10" s="153"/>
      <c r="G10" s="157"/>
      <c r="H10" s="153"/>
      <c r="I10" s="160"/>
      <c r="J10" s="153"/>
      <c r="K10" s="153"/>
      <c r="L10" s="157"/>
      <c r="M10" s="153"/>
    </row>
    <row r="11" spans="1:13" ht="12" customHeight="1" x14ac:dyDescent="0.3">
      <c r="A11" s="150"/>
      <c r="B11" s="162"/>
      <c r="C11" s="162"/>
      <c r="D11" s="163"/>
      <c r="E11" s="150"/>
      <c r="F11" s="150"/>
      <c r="G11" s="158"/>
      <c r="H11" s="164"/>
      <c r="I11" s="165"/>
      <c r="J11" s="165"/>
      <c r="K11" s="165"/>
      <c r="L11" s="166"/>
      <c r="M11" s="150"/>
    </row>
    <row r="12" spans="1:13" ht="18" customHeight="1" x14ac:dyDescent="0.3">
      <c r="A12" s="158"/>
      <c r="B12" s="150"/>
      <c r="C12" s="158"/>
      <c r="D12" s="276" t="str">
        <f ca="1">IFERROR(__xludf.DUMMYFUNCTION("SPARKLINE(D17,{""charttype"",""column"";""ymin"", 0; ""ymax"",MAX(D17:E17);""firstcolor"",""#334960""})"),"")</f>
        <v/>
      </c>
      <c r="E12" s="278" t="str">
        <f ca="1">IFERROR(__xludf.DUMMYFUNCTION("SPARKLINE(E17,{""charttype"",""column"";""ymin"", 0; ""ymax"",max(D17:E17);""firstcolor"",""#f46524""})"),"")</f>
        <v/>
      </c>
      <c r="F12" s="150"/>
      <c r="G12" s="150"/>
      <c r="H12" s="167"/>
      <c r="I12" s="168"/>
      <c r="J12" s="168"/>
      <c r="K12" s="168"/>
      <c r="L12" s="169"/>
      <c r="M12" s="158"/>
    </row>
    <row r="13" spans="1:13" ht="18" customHeight="1" x14ac:dyDescent="0.6">
      <c r="A13" s="158"/>
      <c r="B13" s="150"/>
      <c r="C13" s="150"/>
      <c r="D13" s="277"/>
      <c r="E13" s="266"/>
      <c r="F13" s="150"/>
      <c r="G13" s="150"/>
      <c r="H13" s="167"/>
      <c r="I13" s="279">
        <f>IFERROR(E17/D17-1, "")</f>
        <v>0</v>
      </c>
      <c r="J13" s="266"/>
      <c r="K13" s="266"/>
      <c r="L13" s="169"/>
      <c r="M13" s="170"/>
    </row>
    <row r="14" spans="1:13" ht="24" customHeight="1" x14ac:dyDescent="0.6">
      <c r="A14" s="150"/>
      <c r="B14" s="150"/>
      <c r="C14" s="150"/>
      <c r="D14" s="277"/>
      <c r="E14" s="266"/>
      <c r="F14" s="150"/>
      <c r="G14" s="150"/>
      <c r="H14" s="167"/>
      <c r="I14" s="280" t="str">
        <f>IF(I13 &lt; 0, "Decrease in total savings", "Increase in total savings")</f>
        <v>Increase in total savings</v>
      </c>
      <c r="J14" s="281"/>
      <c r="K14" s="281"/>
      <c r="L14" s="169"/>
      <c r="M14" s="170"/>
    </row>
    <row r="15" spans="1:13" ht="39.75" customHeight="1" x14ac:dyDescent="0.6">
      <c r="A15" s="150"/>
      <c r="B15" s="150"/>
      <c r="C15" s="150"/>
      <c r="D15" s="277"/>
      <c r="E15" s="266"/>
      <c r="F15" s="150"/>
      <c r="G15" s="150"/>
      <c r="H15" s="167"/>
      <c r="I15" s="279">
        <f>IFERROR(E17-D17, 0)</f>
        <v>0</v>
      </c>
      <c r="J15" s="266"/>
      <c r="K15" s="266"/>
      <c r="L15" s="169"/>
      <c r="M15" s="170"/>
    </row>
    <row r="16" spans="1:13" ht="18" customHeight="1" x14ac:dyDescent="0.35">
      <c r="A16" s="150"/>
      <c r="B16" s="162"/>
      <c r="C16" s="171"/>
      <c r="D16" s="172" t="s">
        <v>35</v>
      </c>
      <c r="E16" s="173" t="s">
        <v>36</v>
      </c>
      <c r="F16" s="171"/>
      <c r="G16" s="162"/>
      <c r="H16" s="167"/>
      <c r="I16" s="282" t="str">
        <f>IF(J15&lt;0, "Spent this month", "Saved this month")</f>
        <v>Saved this month</v>
      </c>
      <c r="J16" s="266"/>
      <c r="K16" s="266"/>
      <c r="L16" s="169"/>
      <c r="M16" s="174"/>
    </row>
    <row r="17" spans="1:13" ht="18" customHeight="1" x14ac:dyDescent="0.3">
      <c r="A17" s="158"/>
      <c r="B17" s="150"/>
      <c r="C17" s="158"/>
      <c r="D17" s="175">
        <f>IF(ISBLANK(L8),0,L8)</f>
        <v>3000000</v>
      </c>
      <c r="E17" s="176">
        <f>D17+(I22-C22)</f>
        <v>3000000</v>
      </c>
      <c r="F17" s="158"/>
      <c r="G17" s="150"/>
      <c r="H17" s="167"/>
      <c r="I17" s="283"/>
      <c r="J17" s="266"/>
      <c r="K17" s="266"/>
      <c r="L17" s="169"/>
      <c r="M17" s="158"/>
    </row>
    <row r="18" spans="1:13" ht="12" customHeight="1" x14ac:dyDescent="0.3">
      <c r="A18" s="158"/>
      <c r="B18" s="177"/>
      <c r="C18" s="177"/>
      <c r="D18" s="177"/>
      <c r="E18" s="157">
        <f>SUM(I7:I10)+SUM(G7:G10)</f>
        <v>0</v>
      </c>
      <c r="F18" s="177"/>
      <c r="G18" s="158"/>
      <c r="H18" s="178"/>
      <c r="I18" s="179"/>
      <c r="J18" s="180"/>
      <c r="K18" s="179"/>
      <c r="L18" s="181"/>
      <c r="M18" s="158"/>
    </row>
    <row r="19" spans="1:13" ht="24" customHeight="1" x14ac:dyDescent="0.3">
      <c r="A19" s="158"/>
      <c r="B19" s="177"/>
      <c r="C19" s="177"/>
      <c r="D19" s="177"/>
      <c r="E19" s="177"/>
      <c r="F19" s="177"/>
      <c r="G19" s="158"/>
      <c r="H19" s="158"/>
      <c r="I19" s="158"/>
      <c r="J19" s="151"/>
      <c r="K19" s="158"/>
      <c r="L19" s="158"/>
      <c r="M19" s="158"/>
    </row>
    <row r="20" spans="1:13" ht="24" customHeight="1" x14ac:dyDescent="0.25">
      <c r="A20" s="182"/>
      <c r="B20" s="284" t="s">
        <v>10</v>
      </c>
      <c r="C20" s="266"/>
      <c r="D20" s="266"/>
      <c r="E20" s="266"/>
      <c r="F20" s="266"/>
      <c r="G20" s="182"/>
      <c r="H20" s="183" t="s">
        <v>9</v>
      </c>
      <c r="I20" s="183"/>
      <c r="J20" s="184"/>
      <c r="K20" s="182"/>
      <c r="L20" s="182"/>
      <c r="M20" s="182"/>
    </row>
    <row r="21" spans="1:13" ht="19.5" customHeight="1" x14ac:dyDescent="0.25">
      <c r="A21" s="185"/>
      <c r="B21" s="186" t="s">
        <v>37</v>
      </c>
      <c r="C21" s="187">
        <f>D26</f>
        <v>22450000</v>
      </c>
      <c r="D21" s="285" t="str">
        <f ca="1">IFERROR(__xludf.DUMMYFUNCTION("SPARKLINE(C21,{""charttype"",""bar"";""max"",max(C21:C22);""color1"",""#AEB7C0""})"),"")</f>
        <v/>
      </c>
      <c r="E21" s="266"/>
      <c r="F21" s="266"/>
      <c r="G21" s="185"/>
      <c r="H21" s="186" t="s">
        <v>37</v>
      </c>
      <c r="I21" s="187">
        <f>J26</f>
        <v>0</v>
      </c>
      <c r="J21" s="285" t="str">
        <f ca="1">IFERROR(__xludf.DUMMYFUNCTION("SPARKLINE(I21,{""charttype"",""bar"";""max"",max(I21:I22);""color1"",""#AEB7C0""})"),"")</f>
        <v/>
      </c>
      <c r="K21" s="266"/>
      <c r="L21" s="266"/>
      <c r="M21" s="185"/>
    </row>
    <row r="22" spans="1:13" ht="19.5" customHeight="1" x14ac:dyDescent="0.25">
      <c r="A22" s="188"/>
      <c r="B22" s="189" t="s">
        <v>38</v>
      </c>
      <c r="C22" s="190">
        <f>E26</f>
        <v>0</v>
      </c>
      <c r="D22" s="286" t="str">
        <f ca="1">IFERROR(__xludf.DUMMYFUNCTION("SPARKLINE(C22,{""charttype"",""bar"";""max"",max(C21:C22);""color1"",""#334960""})"),"")</f>
        <v/>
      </c>
      <c r="E22" s="266"/>
      <c r="F22" s="266"/>
      <c r="G22" s="177"/>
      <c r="H22" s="189" t="s">
        <v>38</v>
      </c>
      <c r="I22" s="190">
        <f>K26</f>
        <v>0</v>
      </c>
      <c r="J22" s="286" t="str">
        <f ca="1">IFERROR(__xludf.DUMMYFUNCTION("SPARKLINE(I22,{""charttype"",""bar"";""max"",max(I21:I22);""color1"",""#334960""})"),"")</f>
        <v/>
      </c>
      <c r="K22" s="266"/>
      <c r="L22" s="266"/>
      <c r="M22" s="188"/>
    </row>
    <row r="23" spans="1:13" ht="30" customHeight="1" x14ac:dyDescent="0.3">
      <c r="A23" s="150"/>
      <c r="B23" s="191"/>
      <c r="C23" s="192"/>
      <c r="D23" s="287"/>
      <c r="E23" s="266"/>
      <c r="F23" s="266"/>
      <c r="G23" s="150"/>
      <c r="H23" s="191"/>
      <c r="I23" s="192"/>
      <c r="J23" s="287"/>
      <c r="K23" s="266"/>
      <c r="L23" s="266"/>
      <c r="M23" s="188"/>
    </row>
    <row r="24" spans="1:13" ht="29.25" customHeight="1" x14ac:dyDescent="0.25">
      <c r="A24" s="193"/>
      <c r="B24" s="288" t="s">
        <v>10</v>
      </c>
      <c r="C24" s="266"/>
      <c r="D24" s="194"/>
      <c r="E24" s="194"/>
      <c r="F24" s="194"/>
      <c r="G24" s="195"/>
      <c r="H24" s="196" t="s">
        <v>9</v>
      </c>
      <c r="I24" s="197"/>
      <c r="J24" s="194"/>
      <c r="K24" s="194"/>
      <c r="L24" s="194"/>
      <c r="M24" s="193"/>
    </row>
    <row r="25" spans="1:13" ht="19.5" customHeight="1" x14ac:dyDescent="0.45">
      <c r="A25" s="198"/>
      <c r="B25" s="199"/>
      <c r="C25" s="200"/>
      <c r="D25" s="199" t="s">
        <v>37</v>
      </c>
      <c r="E25" s="199" t="s">
        <v>38</v>
      </c>
      <c r="F25" s="199" t="s">
        <v>39</v>
      </c>
      <c r="G25" s="201"/>
      <c r="H25" s="202"/>
      <c r="I25" s="203"/>
      <c r="J25" s="199" t="s">
        <v>37</v>
      </c>
      <c r="K25" s="199" t="s">
        <v>38</v>
      </c>
      <c r="L25" s="199" t="s">
        <v>39</v>
      </c>
      <c r="M25" s="198"/>
    </row>
    <row r="26" spans="1:13" ht="17.25" customHeight="1" x14ac:dyDescent="0.25">
      <c r="A26" s="204"/>
      <c r="B26" s="205" t="s">
        <v>40</v>
      </c>
      <c r="C26" s="205"/>
      <c r="D26" s="206">
        <f t="shared" ref="D26:F26" si="0">SUM(D27:D1044)</f>
        <v>22450000</v>
      </c>
      <c r="E26" s="206">
        <f t="shared" si="0"/>
        <v>0</v>
      </c>
      <c r="F26" s="206">
        <f t="shared" si="0"/>
        <v>22450000</v>
      </c>
      <c r="G26" s="207"/>
      <c r="H26" s="208" t="s">
        <v>40</v>
      </c>
      <c r="I26" s="206"/>
      <c r="J26" s="206">
        <f t="shared" ref="J26:L26" si="1">SUM(J27:J44)</f>
        <v>0</v>
      </c>
      <c r="K26" s="206">
        <f t="shared" si="1"/>
        <v>0</v>
      </c>
      <c r="L26" s="206">
        <f t="shared" si="1"/>
        <v>0</v>
      </c>
      <c r="M26" s="204"/>
    </row>
    <row r="27" spans="1:13" ht="18" hidden="1" customHeight="1" x14ac:dyDescent="0.25">
      <c r="A27" s="209"/>
      <c r="B27" s="289"/>
      <c r="C27" s="290"/>
      <c r="D27" s="210"/>
      <c r="E27" s="211" t="str">
        <f>IF(ISBLANK($B27), "", SUMIF('Trans Jun'!$E:$E,$B27,'Trans Jun'!$C:$C))</f>
        <v/>
      </c>
      <c r="F27" s="211" t="str">
        <f t="shared" ref="F27:F43" si="2">IF(ISBLANK($B27), "", D27-E27)</f>
        <v/>
      </c>
      <c r="G27" s="190"/>
      <c r="H27" s="291"/>
      <c r="I27" s="292"/>
      <c r="J27" s="212"/>
      <c r="K27" s="211" t="str">
        <f>IF(ISBLANK($H27), "", SUMIF('Trans Jun'!$J:$J,$H27,'Trans Jun'!$H:$H))</f>
        <v/>
      </c>
      <c r="L27" s="211" t="str">
        <f t="shared" ref="L27:L44" si="3">IF(ISBLANK($H27), "", K27-J27)</f>
        <v/>
      </c>
      <c r="M27" s="209"/>
    </row>
    <row r="28" spans="1:13" ht="18" customHeight="1" x14ac:dyDescent="0.25">
      <c r="A28" s="209"/>
      <c r="B28" s="267" t="s">
        <v>15</v>
      </c>
      <c r="C28" s="268"/>
      <c r="D28" s="213">
        <v>7000000</v>
      </c>
      <c r="E28" s="214">
        <f>IF(ISBLANK($B28), "", SUMIF('Trans Jun'!$E:$E,$B28,'Trans Jun'!$C:$C))</f>
        <v>0</v>
      </c>
      <c r="F28" s="214">
        <f t="shared" si="2"/>
        <v>7000000</v>
      </c>
      <c r="G28" s="215"/>
      <c r="H28" s="267" t="s">
        <v>41</v>
      </c>
      <c r="I28" s="268"/>
      <c r="J28" s="213"/>
      <c r="K28" s="211">
        <f>IF(ISBLANK($H28), "", SUMIF('Trans Jun'!$J:$J,$H28,'Trans Jun'!$H:$H))</f>
        <v>0</v>
      </c>
      <c r="L28" s="214">
        <f t="shared" si="3"/>
        <v>0</v>
      </c>
      <c r="M28" s="209"/>
    </row>
    <row r="29" spans="1:13" ht="18" customHeight="1" x14ac:dyDescent="0.25">
      <c r="A29" s="209"/>
      <c r="B29" s="267" t="s">
        <v>23</v>
      </c>
      <c r="C29" s="268"/>
      <c r="D29" s="213">
        <v>500000</v>
      </c>
      <c r="E29" s="214">
        <f>IF(ISBLANK($B29), "", SUMIF('Trans Jun'!$E:$E,$B29,'Trans Jun'!$C:$C))</f>
        <v>0</v>
      </c>
      <c r="F29" s="214">
        <f t="shared" si="2"/>
        <v>500000</v>
      </c>
      <c r="G29" s="217"/>
      <c r="H29" s="267" t="s">
        <v>42</v>
      </c>
      <c r="I29" s="268"/>
      <c r="J29" s="213"/>
      <c r="K29" s="211">
        <f>IF(ISBLANK($H29), "", SUMIF('Trans Jun'!$J:$J,$H29,'Trans Jun'!$H:$H))</f>
        <v>0</v>
      </c>
      <c r="L29" s="214">
        <f t="shared" si="3"/>
        <v>0</v>
      </c>
      <c r="M29" s="209"/>
    </row>
    <row r="30" spans="1:13" ht="18" customHeight="1" x14ac:dyDescent="0.25">
      <c r="A30" s="188"/>
      <c r="B30" s="267" t="s">
        <v>24</v>
      </c>
      <c r="C30" s="268"/>
      <c r="D30" s="213">
        <v>600000</v>
      </c>
      <c r="E30" s="214">
        <f>IF(ISBLANK($B30), "", SUMIF('Trans Jun'!$E:$E,$B30,'Trans Jun'!$C:$C))</f>
        <v>0</v>
      </c>
      <c r="F30" s="214">
        <f t="shared" si="2"/>
        <v>600000</v>
      </c>
      <c r="G30" s="217"/>
      <c r="H30" s="267" t="s">
        <v>43</v>
      </c>
      <c r="I30" s="268"/>
      <c r="J30" s="213"/>
      <c r="K30" s="211">
        <f>IF(ISBLANK($H30), "", SUMIF('Trans Jun'!$J:$J,$H30,'Trans Jun'!$H:$H))</f>
        <v>0</v>
      </c>
      <c r="L30" s="214">
        <f t="shared" si="3"/>
        <v>0</v>
      </c>
      <c r="M30" s="188"/>
    </row>
    <row r="31" spans="1:13" ht="18" customHeight="1" x14ac:dyDescent="0.25">
      <c r="A31" s="188"/>
      <c r="B31" s="267" t="s">
        <v>44</v>
      </c>
      <c r="C31" s="268"/>
      <c r="D31" s="213">
        <v>5000000</v>
      </c>
      <c r="E31" s="214">
        <f>IF(ISBLANK($B31), "", SUMIF('Trans Jun'!$E:$E,$B31,'Trans Jun'!$C:$C))</f>
        <v>0</v>
      </c>
      <c r="F31" s="214">
        <f t="shared" si="2"/>
        <v>5000000</v>
      </c>
      <c r="G31" s="217"/>
      <c r="H31" s="267" t="s">
        <v>45</v>
      </c>
      <c r="I31" s="268"/>
      <c r="J31" s="213"/>
      <c r="K31" s="211">
        <f>IF(ISBLANK($H31), "", SUMIF('Trans Jun'!$J:$J,$H31,'Trans Jun'!$H:$H))</f>
        <v>0</v>
      </c>
      <c r="L31" s="214">
        <f t="shared" si="3"/>
        <v>0</v>
      </c>
      <c r="M31" s="188"/>
    </row>
    <row r="32" spans="1:13" ht="18" customHeight="1" x14ac:dyDescent="0.25">
      <c r="A32" s="188"/>
      <c r="B32" s="267" t="s">
        <v>46</v>
      </c>
      <c r="C32" s="268"/>
      <c r="D32" s="213">
        <v>4000000</v>
      </c>
      <c r="E32" s="214">
        <f>IF(ISBLANK($B32), "", SUMIF('Trans Jun'!$E:$E,$B32,'Trans Jun'!$C:$C))</f>
        <v>0</v>
      </c>
      <c r="F32" s="214">
        <f t="shared" si="2"/>
        <v>4000000</v>
      </c>
      <c r="G32" s="216"/>
      <c r="H32" s="267" t="s">
        <v>47</v>
      </c>
      <c r="I32" s="268"/>
      <c r="J32" s="213"/>
      <c r="K32" s="211">
        <f>IF(ISBLANK($H32), "", SUMIF('Trans Jun'!$J:$J,$H32,'Trans Jun'!$H:$H))</f>
        <v>0</v>
      </c>
      <c r="L32" s="214">
        <f t="shared" si="3"/>
        <v>0</v>
      </c>
      <c r="M32" s="188"/>
    </row>
    <row r="33" spans="1:13" ht="18" customHeight="1" x14ac:dyDescent="0.25">
      <c r="A33" s="188"/>
      <c r="B33" s="267" t="s">
        <v>48</v>
      </c>
      <c r="C33" s="268"/>
      <c r="D33" s="213">
        <v>1500000</v>
      </c>
      <c r="E33" s="214">
        <f>IF(ISBLANK($B33), "", SUMIF('Trans Jun'!$E:$E,$B33,'Trans Jun'!$C:$C))</f>
        <v>0</v>
      </c>
      <c r="F33" s="214">
        <f t="shared" si="2"/>
        <v>1500000</v>
      </c>
      <c r="G33" s="217"/>
      <c r="H33" s="267" t="s">
        <v>49</v>
      </c>
      <c r="I33" s="268"/>
      <c r="J33" s="218"/>
      <c r="K33" s="211">
        <f>IF(ISBLANK($H33), "", SUMIF('Trans Jun'!$J:$J,$H33,'Trans Jun'!$H:$H))</f>
        <v>0</v>
      </c>
      <c r="L33" s="214">
        <f t="shared" si="3"/>
        <v>0</v>
      </c>
      <c r="M33" s="188"/>
    </row>
    <row r="34" spans="1:13" ht="18" customHeight="1" x14ac:dyDescent="0.25">
      <c r="A34" s="188"/>
      <c r="B34" s="267" t="s">
        <v>50</v>
      </c>
      <c r="C34" s="268"/>
      <c r="D34" s="213">
        <v>500000</v>
      </c>
      <c r="E34" s="214">
        <f>IF(ISBLANK($B34), "", SUMIF('Trans Jun'!$E:$E,$B34,'Trans Jun'!$C:$C))</f>
        <v>0</v>
      </c>
      <c r="F34" s="214">
        <f t="shared" si="2"/>
        <v>500000</v>
      </c>
      <c r="G34" s="217"/>
      <c r="H34" s="267" t="s">
        <v>51</v>
      </c>
      <c r="I34" s="268"/>
      <c r="J34" s="218"/>
      <c r="K34" s="211">
        <f>IF(ISBLANK($H34), "", SUMIF('Trans Jun'!$J:$J,$H34,'Trans Jun'!$H:$H))</f>
        <v>0</v>
      </c>
      <c r="L34" s="214">
        <f t="shared" si="3"/>
        <v>0</v>
      </c>
      <c r="M34" s="188"/>
    </row>
    <row r="35" spans="1:13" ht="18" customHeight="1" x14ac:dyDescent="0.3">
      <c r="A35" s="188"/>
      <c r="B35" s="267" t="s">
        <v>52</v>
      </c>
      <c r="C35" s="268"/>
      <c r="D35" s="213">
        <v>500000</v>
      </c>
      <c r="E35" s="214">
        <f>IF(ISBLANK($B35), "", SUMIF('Trans Jun'!$E:$E,$B35,'Trans Jun'!$C:$C))</f>
        <v>0</v>
      </c>
      <c r="F35" s="214">
        <f t="shared" si="2"/>
        <v>500000</v>
      </c>
      <c r="G35" s="217"/>
      <c r="H35" s="293"/>
      <c r="I35" s="268"/>
      <c r="J35" s="219"/>
      <c r="K35" s="211" t="str">
        <f>IF(ISBLANK($H35), "", SUMIF('Trans Jun'!$J:$J,$H35,'Trans Jun'!$H:$H))</f>
        <v/>
      </c>
      <c r="L35" s="214" t="str">
        <f t="shared" si="3"/>
        <v/>
      </c>
      <c r="M35" s="188"/>
    </row>
    <row r="36" spans="1:13" ht="18" customHeight="1" x14ac:dyDescent="0.3">
      <c r="A36" s="188"/>
      <c r="B36" s="267" t="s">
        <v>53</v>
      </c>
      <c r="C36" s="268"/>
      <c r="D36" s="213">
        <v>500000</v>
      </c>
      <c r="E36" s="214">
        <f>IF(ISBLANK($B36), "", SUMIF('Trans Jun'!$E:$E,$B36,'Trans Jun'!$C:$C))</f>
        <v>0</v>
      </c>
      <c r="F36" s="214">
        <f t="shared" si="2"/>
        <v>500000</v>
      </c>
      <c r="G36" s="216"/>
      <c r="H36" s="293"/>
      <c r="I36" s="268"/>
      <c r="J36" s="219"/>
      <c r="K36" s="211" t="str">
        <f>IF(ISBLANK($H36), "", SUMIF('Trans Jun'!$J:$J,$H36,'Trans Jun'!$H:$H))</f>
        <v/>
      </c>
      <c r="L36" s="214" t="str">
        <f t="shared" si="3"/>
        <v/>
      </c>
      <c r="M36" s="188"/>
    </row>
    <row r="37" spans="1:13" ht="18" customHeight="1" x14ac:dyDescent="0.3">
      <c r="A37" s="188"/>
      <c r="B37" s="267" t="s">
        <v>54</v>
      </c>
      <c r="C37" s="268"/>
      <c r="D37" s="213">
        <v>500000</v>
      </c>
      <c r="E37" s="214">
        <f>IF(ISBLANK($B37), "", SUMIF('Trans Jun'!$E:$E,$B37,'Trans Jun'!$C:$C))</f>
        <v>0</v>
      </c>
      <c r="F37" s="214">
        <f t="shared" si="2"/>
        <v>500000</v>
      </c>
      <c r="G37" s="216"/>
      <c r="H37" s="293"/>
      <c r="I37" s="268"/>
      <c r="J37" s="219"/>
      <c r="K37" s="211" t="str">
        <f>IF(ISBLANK($H37), "", SUMIF('Trans Jun'!$J:$J,$H37,'Trans Jun'!$H:$H))</f>
        <v/>
      </c>
      <c r="L37" s="214" t="str">
        <f t="shared" si="3"/>
        <v/>
      </c>
      <c r="M37" s="188"/>
    </row>
    <row r="38" spans="1:13" ht="18" customHeight="1" x14ac:dyDescent="0.3">
      <c r="A38" s="188"/>
      <c r="B38" s="267" t="s">
        <v>55</v>
      </c>
      <c r="C38" s="268"/>
      <c r="D38" s="213">
        <v>200000</v>
      </c>
      <c r="E38" s="214">
        <f>IF(ISBLANK($B38), "", SUMIF('Trans Jun'!$E:$E,$B38,'Trans Jun'!$C:$C))</f>
        <v>0</v>
      </c>
      <c r="F38" s="214">
        <f t="shared" si="2"/>
        <v>200000</v>
      </c>
      <c r="G38" s="217"/>
      <c r="H38" s="293"/>
      <c r="I38" s="268"/>
      <c r="J38" s="219"/>
      <c r="K38" s="211" t="str">
        <f>IF(ISBLANK($H38), "", SUMIF('Trans Jun'!$J:$J,$H38,'Trans Jun'!$H:$H))</f>
        <v/>
      </c>
      <c r="L38" s="214" t="str">
        <f t="shared" si="3"/>
        <v/>
      </c>
      <c r="M38" s="188"/>
    </row>
    <row r="39" spans="1:13" ht="18" customHeight="1" x14ac:dyDescent="0.3">
      <c r="A39" s="188"/>
      <c r="B39" s="267" t="s">
        <v>56</v>
      </c>
      <c r="C39" s="268"/>
      <c r="D39" s="213">
        <v>150000</v>
      </c>
      <c r="E39" s="214">
        <f>IF(ISBLANK($B39), "", SUMIF('Trans Jun'!$E:$E,$B39,'Trans Jun'!$C:$C))</f>
        <v>0</v>
      </c>
      <c r="F39" s="214">
        <f t="shared" si="2"/>
        <v>150000</v>
      </c>
      <c r="G39" s="216"/>
      <c r="H39" s="293"/>
      <c r="I39" s="268"/>
      <c r="J39" s="219"/>
      <c r="K39" s="211" t="str">
        <f>IF(ISBLANK($H39), "", SUMIF('Trans Jun'!$J:$J,$H39,'Trans Jun'!$H:$H))</f>
        <v/>
      </c>
      <c r="L39" s="214" t="str">
        <f t="shared" si="3"/>
        <v/>
      </c>
      <c r="M39" s="188"/>
    </row>
    <row r="40" spans="1:13" ht="18" customHeight="1" x14ac:dyDescent="0.3">
      <c r="A40" s="188"/>
      <c r="B40" s="267" t="s">
        <v>57</v>
      </c>
      <c r="C40" s="268"/>
      <c r="D40" s="213">
        <v>1500000</v>
      </c>
      <c r="E40" s="214">
        <f>IF(ISBLANK($B40), "", SUMIF('Trans Jun'!$E:$E,$B40,'Trans Jun'!$C:$C))</f>
        <v>0</v>
      </c>
      <c r="F40" s="214">
        <f t="shared" si="2"/>
        <v>1500000</v>
      </c>
      <c r="G40" s="249"/>
      <c r="H40" s="293"/>
      <c r="I40" s="268"/>
      <c r="J40" s="219"/>
      <c r="K40" s="211" t="str">
        <f>IF(ISBLANK($H40), "", SUMIF('Trans Jun'!$J:$J,$H40,'Trans Jun'!$H:$H))</f>
        <v/>
      </c>
      <c r="L40" s="214" t="str">
        <f t="shared" si="3"/>
        <v/>
      </c>
      <c r="M40" s="188"/>
    </row>
    <row r="41" spans="1:13" ht="18" customHeight="1" x14ac:dyDescent="0.3">
      <c r="A41" s="188"/>
      <c r="B41" s="267" t="s">
        <v>58</v>
      </c>
      <c r="C41" s="268"/>
      <c r="D41" s="220">
        <v>0</v>
      </c>
      <c r="E41" s="214">
        <f>IF(ISBLANK($B41), "", SUMIF('Trans Jun'!$E:$E,$B41,'Trans Jun'!$C:$C))</f>
        <v>0</v>
      </c>
      <c r="F41" s="214">
        <f t="shared" si="2"/>
        <v>0</v>
      </c>
      <c r="G41" s="217"/>
      <c r="H41" s="293"/>
      <c r="I41" s="268"/>
      <c r="J41" s="219"/>
      <c r="K41" s="211" t="str">
        <f>IF(ISBLANK($H41), "", SUMIF('Trans Jun'!$J:$J,$H41,'Trans Jun'!$H:$H))</f>
        <v/>
      </c>
      <c r="L41" s="214" t="str">
        <f t="shared" si="3"/>
        <v/>
      </c>
      <c r="M41" s="188"/>
    </row>
    <row r="42" spans="1:13" ht="19.5" customHeight="1" x14ac:dyDescent="0.3">
      <c r="A42" s="188"/>
      <c r="B42" s="267" t="s">
        <v>59</v>
      </c>
      <c r="C42" s="268"/>
      <c r="D42" s="213">
        <v>0</v>
      </c>
      <c r="E42" s="214">
        <f>IF(ISBLANK($B42), "", SUMIF('Trans Jun'!$E:$E,$B42,'Trans Jun'!$C:$C))</f>
        <v>0</v>
      </c>
      <c r="F42" s="214">
        <f t="shared" si="2"/>
        <v>0</v>
      </c>
      <c r="G42" s="216"/>
      <c r="H42" s="293"/>
      <c r="I42" s="268"/>
      <c r="J42" s="219"/>
      <c r="K42" s="211" t="str">
        <f>IF(ISBLANK($H42), "", SUMIF('Trans Jun'!$J:$J,$H42,'Trans Jun'!$H:$H))</f>
        <v/>
      </c>
      <c r="L42" s="214" t="str">
        <f t="shared" si="3"/>
        <v/>
      </c>
      <c r="M42" s="188"/>
    </row>
    <row r="43" spans="1:13" ht="18" customHeight="1" x14ac:dyDescent="0.3">
      <c r="A43" s="188"/>
      <c r="B43" s="267"/>
      <c r="C43" s="268"/>
      <c r="D43" s="220"/>
      <c r="E43" s="211"/>
      <c r="F43" s="214" t="str">
        <f t="shared" si="2"/>
        <v/>
      </c>
      <c r="G43" s="216"/>
      <c r="H43" s="267"/>
      <c r="I43" s="268"/>
      <c r="J43" s="218"/>
      <c r="K43" s="211" t="str">
        <f>IF(ISBLANK($H43), "", SUMIF('Trans Jun'!$J:$J,$H43,'Trans Jun'!$H:$H))</f>
        <v/>
      </c>
      <c r="L43" s="214" t="str">
        <f t="shared" si="3"/>
        <v/>
      </c>
      <c r="M43" s="188"/>
    </row>
    <row r="44" spans="1:13" ht="18" customHeight="1" x14ac:dyDescent="0.25">
      <c r="A44" s="188"/>
      <c r="B44" s="267"/>
      <c r="C44" s="268"/>
      <c r="D44" s="218"/>
      <c r="E44" s="211" t="str">
        <f>IF(ISBLANK($B44), "", SUMIF('Trans Jun'!$E:$E,$B44,'Trans Jun'!$C:$C))</f>
        <v/>
      </c>
      <c r="F44" s="214"/>
      <c r="G44" s="216"/>
      <c r="H44" s="267"/>
      <c r="I44" s="268"/>
      <c r="J44" s="218"/>
      <c r="K44" s="211" t="str">
        <f>IF(ISBLANK($H44), "", SUMIF('Trans Jun'!$J:$J,$H44,'Trans Jun'!$H:$H))</f>
        <v/>
      </c>
      <c r="L44" s="214" t="str">
        <f t="shared" si="3"/>
        <v/>
      </c>
      <c r="M44" s="188"/>
    </row>
    <row r="45" spans="1:13" ht="18" customHeight="1" x14ac:dyDescent="0.25">
      <c r="A45" s="188"/>
      <c r="B45" s="221"/>
      <c r="C45" s="221"/>
      <c r="D45" s="222"/>
      <c r="E45" s="211"/>
      <c r="F45" s="214"/>
      <c r="G45" s="216"/>
      <c r="H45" s="221"/>
      <c r="I45" s="221"/>
      <c r="J45" s="222"/>
      <c r="K45" s="211"/>
      <c r="L45" s="214"/>
      <c r="M45" s="188"/>
    </row>
    <row r="46" spans="1:13" ht="18" customHeight="1" x14ac:dyDescent="0.25">
      <c r="A46" s="188"/>
      <c r="B46" s="221"/>
      <c r="C46" s="221"/>
      <c r="D46" s="222"/>
      <c r="E46" s="211"/>
      <c r="F46" s="214"/>
      <c r="G46" s="216"/>
      <c r="H46" s="221"/>
      <c r="I46" s="221"/>
      <c r="J46" s="222"/>
      <c r="K46" s="211"/>
      <c r="L46" s="214"/>
      <c r="M46" s="188"/>
    </row>
    <row r="47" spans="1:13" ht="18" customHeight="1" x14ac:dyDescent="0.25">
      <c r="A47" s="188"/>
      <c r="B47" s="221"/>
      <c r="C47" s="221"/>
      <c r="D47" s="222"/>
      <c r="E47" s="211"/>
      <c r="F47" s="214"/>
      <c r="G47" s="216"/>
      <c r="H47" s="221"/>
      <c r="I47" s="221"/>
      <c r="J47" s="222"/>
      <c r="K47" s="211"/>
      <c r="L47" s="214"/>
      <c r="M47" s="188"/>
    </row>
    <row r="48" spans="1:13" ht="18" customHeight="1" x14ac:dyDescent="0.25">
      <c r="A48" s="188"/>
      <c r="B48" s="221"/>
      <c r="C48" s="221"/>
      <c r="D48" s="222"/>
      <c r="E48" s="211"/>
      <c r="F48" s="214"/>
      <c r="G48" s="216"/>
      <c r="H48" s="221"/>
      <c r="I48" s="221"/>
      <c r="J48" s="222"/>
      <c r="K48" s="211"/>
      <c r="L48" s="214"/>
      <c r="M48" s="188"/>
    </row>
    <row r="49" spans="1:13" ht="18" customHeight="1" x14ac:dyDescent="0.25">
      <c r="A49" s="188"/>
      <c r="B49" s="221"/>
      <c r="C49" s="221"/>
      <c r="D49" s="222"/>
      <c r="E49" s="211"/>
      <c r="F49" s="214"/>
      <c r="G49" s="216"/>
      <c r="H49" s="221"/>
      <c r="I49" s="221"/>
      <c r="J49" s="222"/>
      <c r="K49" s="211"/>
      <c r="L49" s="214"/>
      <c r="M49" s="188"/>
    </row>
    <row r="50" spans="1:13" ht="18" customHeight="1" x14ac:dyDescent="0.25">
      <c r="A50" s="188"/>
      <c r="B50" s="221"/>
      <c r="C50" s="221"/>
      <c r="D50" s="222"/>
      <c r="E50" s="211"/>
      <c r="F50" s="214"/>
      <c r="G50" s="216"/>
      <c r="H50" s="221"/>
      <c r="I50" s="221"/>
      <c r="J50" s="222"/>
      <c r="K50" s="211"/>
      <c r="L50" s="214"/>
      <c r="M50" s="188"/>
    </row>
    <row r="51" spans="1:13" ht="18" customHeight="1" x14ac:dyDescent="0.25">
      <c r="A51" s="188"/>
      <c r="B51" s="221"/>
      <c r="C51" s="221"/>
      <c r="D51" s="222"/>
      <c r="E51" s="211"/>
      <c r="F51" s="214"/>
      <c r="G51" s="216"/>
      <c r="H51" s="221"/>
      <c r="I51" s="221"/>
      <c r="J51" s="222"/>
      <c r="K51" s="211"/>
      <c r="L51" s="214"/>
      <c r="M51" s="188"/>
    </row>
    <row r="52" spans="1:13" ht="18" customHeight="1" x14ac:dyDescent="0.25">
      <c r="A52" s="188"/>
      <c r="B52" s="221"/>
      <c r="C52" s="221"/>
      <c r="D52" s="222"/>
      <c r="E52" s="211"/>
      <c r="F52" s="214"/>
      <c r="G52" s="216"/>
      <c r="H52" s="221"/>
      <c r="I52" s="221"/>
      <c r="J52" s="222"/>
      <c r="K52" s="211"/>
      <c r="L52" s="214"/>
      <c r="M52" s="188"/>
    </row>
    <row r="53" spans="1:13" ht="18" customHeight="1" x14ac:dyDescent="0.25">
      <c r="A53" s="188"/>
      <c r="B53" s="221"/>
      <c r="C53" s="221"/>
      <c r="D53" s="222"/>
      <c r="E53" s="211"/>
      <c r="F53" s="214"/>
      <c r="G53" s="216"/>
      <c r="H53" s="221"/>
      <c r="I53" s="221"/>
      <c r="J53" s="222"/>
      <c r="K53" s="211"/>
      <c r="L53" s="214"/>
      <c r="M53" s="188"/>
    </row>
    <row r="54" spans="1:13" ht="18" customHeight="1" x14ac:dyDescent="0.25">
      <c r="A54" s="188"/>
      <c r="B54" s="221"/>
      <c r="C54" s="221"/>
      <c r="D54" s="222"/>
      <c r="E54" s="211"/>
      <c r="F54" s="214"/>
      <c r="G54" s="216"/>
      <c r="H54" s="221"/>
      <c r="I54" s="221"/>
      <c r="J54" s="222"/>
      <c r="K54" s="211"/>
      <c r="L54" s="214"/>
      <c r="M54" s="188"/>
    </row>
    <row r="55" spans="1:13" ht="18" customHeight="1" x14ac:dyDescent="0.25">
      <c r="A55" s="188"/>
      <c r="B55" s="221"/>
      <c r="C55" s="221"/>
      <c r="D55" s="222"/>
      <c r="E55" s="211"/>
      <c r="F55" s="214"/>
      <c r="G55" s="216"/>
      <c r="H55" s="221"/>
      <c r="I55" s="221"/>
      <c r="J55" s="222"/>
      <c r="K55" s="211"/>
      <c r="L55" s="214"/>
      <c r="M55" s="188"/>
    </row>
    <row r="56" spans="1:13" ht="18" customHeight="1" x14ac:dyDescent="0.25">
      <c r="A56" s="188"/>
      <c r="B56" s="221"/>
      <c r="C56" s="221"/>
      <c r="D56" s="222"/>
      <c r="E56" s="211"/>
      <c r="F56" s="214"/>
      <c r="G56" s="216"/>
      <c r="H56" s="221"/>
      <c r="I56" s="221"/>
      <c r="J56" s="222"/>
      <c r="K56" s="211"/>
      <c r="L56" s="214"/>
      <c r="M56" s="188"/>
    </row>
    <row r="57" spans="1:13" ht="18" customHeight="1" x14ac:dyDescent="0.25">
      <c r="A57" s="188"/>
      <c r="B57" s="221"/>
      <c r="C57" s="221"/>
      <c r="D57" s="222"/>
      <c r="E57" s="211"/>
      <c r="F57" s="214"/>
      <c r="G57" s="216"/>
      <c r="H57" s="221"/>
      <c r="I57" s="221"/>
      <c r="J57" s="222"/>
      <c r="K57" s="211"/>
      <c r="L57" s="214"/>
      <c r="M57" s="188"/>
    </row>
    <row r="58" spans="1:13" ht="18" customHeight="1" x14ac:dyDescent="0.25">
      <c r="A58" s="188"/>
      <c r="B58" s="221"/>
      <c r="C58" s="221"/>
      <c r="D58" s="222"/>
      <c r="E58" s="211"/>
      <c r="F58" s="214"/>
      <c r="G58" s="216"/>
      <c r="H58" s="221"/>
      <c r="I58" s="221"/>
      <c r="J58" s="222"/>
      <c r="K58" s="211"/>
      <c r="L58" s="214"/>
      <c r="M58" s="188"/>
    </row>
    <row r="59" spans="1:13" ht="18" customHeight="1" x14ac:dyDescent="0.25">
      <c r="A59" s="188"/>
      <c r="B59" s="221"/>
      <c r="C59" s="221"/>
      <c r="D59" s="222"/>
      <c r="E59" s="211"/>
      <c r="F59" s="214"/>
      <c r="G59" s="216"/>
      <c r="H59" s="221"/>
      <c r="I59" s="221"/>
      <c r="J59" s="222"/>
      <c r="K59" s="211"/>
      <c r="L59" s="214"/>
      <c r="M59" s="188"/>
    </row>
    <row r="60" spans="1:13" ht="18" customHeight="1" x14ac:dyDescent="0.25">
      <c r="A60" s="188"/>
      <c r="B60" s="221"/>
      <c r="C60" s="221"/>
      <c r="D60" s="222"/>
      <c r="E60" s="211"/>
      <c r="F60" s="214"/>
      <c r="G60" s="216"/>
      <c r="H60" s="221"/>
      <c r="I60" s="221"/>
      <c r="J60" s="222"/>
      <c r="K60" s="211"/>
      <c r="L60" s="214"/>
      <c r="M60" s="188"/>
    </row>
    <row r="61" spans="1:13" ht="18" customHeight="1" x14ac:dyDescent="0.25">
      <c r="A61" s="188"/>
      <c r="B61" s="221"/>
      <c r="C61" s="221"/>
      <c r="D61" s="222"/>
      <c r="E61" s="211"/>
      <c r="F61" s="214"/>
      <c r="G61" s="216"/>
      <c r="H61" s="221"/>
      <c r="I61" s="221"/>
      <c r="J61" s="222"/>
      <c r="K61" s="211"/>
      <c r="L61" s="214"/>
      <c r="M61" s="188"/>
    </row>
    <row r="62" spans="1:13" ht="18" customHeight="1" x14ac:dyDescent="0.25">
      <c r="A62" s="188"/>
      <c r="B62" s="221"/>
      <c r="C62" s="221"/>
      <c r="D62" s="222"/>
      <c r="E62" s="211"/>
      <c r="F62" s="214"/>
      <c r="G62" s="216"/>
      <c r="H62" s="221"/>
      <c r="I62" s="221"/>
      <c r="J62" s="222"/>
      <c r="K62" s="211"/>
      <c r="L62" s="214"/>
      <c r="M62" s="188"/>
    </row>
    <row r="63" spans="1:13" ht="18" customHeight="1" x14ac:dyDescent="0.25">
      <c r="A63" s="188"/>
      <c r="B63" s="221"/>
      <c r="C63" s="221"/>
      <c r="D63" s="222"/>
      <c r="E63" s="211"/>
      <c r="F63" s="214"/>
      <c r="G63" s="216"/>
      <c r="H63" s="221"/>
      <c r="I63" s="221"/>
      <c r="J63" s="222"/>
      <c r="K63" s="211"/>
      <c r="L63" s="214"/>
      <c r="M63" s="188"/>
    </row>
    <row r="64" spans="1:13" ht="18" customHeight="1" x14ac:dyDescent="0.25">
      <c r="A64" s="188"/>
      <c r="B64" s="221"/>
      <c r="C64" s="221"/>
      <c r="D64" s="222"/>
      <c r="E64" s="211"/>
      <c r="F64" s="214"/>
      <c r="G64" s="216"/>
      <c r="H64" s="221"/>
      <c r="I64" s="221"/>
      <c r="J64" s="222"/>
      <c r="K64" s="211"/>
      <c r="L64" s="214"/>
      <c r="M64" s="188"/>
    </row>
    <row r="65" spans="1:13" ht="18" customHeight="1" x14ac:dyDescent="0.25">
      <c r="A65" s="188"/>
      <c r="B65" s="221"/>
      <c r="C65" s="221"/>
      <c r="D65" s="222"/>
      <c r="E65" s="211"/>
      <c r="F65" s="214"/>
      <c r="G65" s="216"/>
      <c r="H65" s="221"/>
      <c r="I65" s="221"/>
      <c r="J65" s="222"/>
      <c r="K65" s="211"/>
      <c r="L65" s="214"/>
      <c r="M65" s="188"/>
    </row>
    <row r="66" spans="1:13" ht="18" customHeight="1" x14ac:dyDescent="0.25">
      <c r="A66" s="188"/>
      <c r="B66" s="221"/>
      <c r="C66" s="221"/>
      <c r="D66" s="222"/>
      <c r="E66" s="211"/>
      <c r="F66" s="214"/>
      <c r="G66" s="216"/>
      <c r="H66" s="221"/>
      <c r="I66" s="221"/>
      <c r="J66" s="222"/>
      <c r="K66" s="211"/>
      <c r="L66" s="214"/>
      <c r="M66" s="188"/>
    </row>
    <row r="67" spans="1:13" ht="18" customHeight="1" x14ac:dyDescent="0.25">
      <c r="A67" s="188"/>
      <c r="B67" s="221"/>
      <c r="C67" s="221"/>
      <c r="D67" s="222"/>
      <c r="E67" s="211"/>
      <c r="F67" s="214"/>
      <c r="G67" s="216"/>
      <c r="H67" s="221"/>
      <c r="I67" s="221"/>
      <c r="J67" s="222"/>
      <c r="K67" s="211"/>
      <c r="L67" s="214"/>
      <c r="M67" s="188"/>
    </row>
    <row r="68" spans="1:13" ht="18" customHeight="1" x14ac:dyDescent="0.25">
      <c r="A68" s="188"/>
      <c r="B68" s="221"/>
      <c r="C68" s="221"/>
      <c r="D68" s="222"/>
      <c r="E68" s="211"/>
      <c r="F68" s="214"/>
      <c r="G68" s="216"/>
      <c r="H68" s="221"/>
      <c r="I68" s="221"/>
      <c r="J68" s="222"/>
      <c r="K68" s="211"/>
      <c r="L68" s="214"/>
      <c r="M68" s="188"/>
    </row>
    <row r="69" spans="1:13" ht="18" customHeight="1" x14ac:dyDescent="0.25">
      <c r="A69" s="188"/>
      <c r="B69" s="221"/>
      <c r="C69" s="221"/>
      <c r="D69" s="222"/>
      <c r="E69" s="211"/>
      <c r="F69" s="214"/>
      <c r="G69" s="216"/>
      <c r="H69" s="221"/>
      <c r="I69" s="221"/>
      <c r="J69" s="222"/>
      <c r="K69" s="211"/>
      <c r="L69" s="214"/>
      <c r="M69" s="188"/>
    </row>
    <row r="70" spans="1:13" ht="18" customHeight="1" x14ac:dyDescent="0.25">
      <c r="A70" s="188"/>
      <c r="B70" s="221"/>
      <c r="C70" s="221"/>
      <c r="D70" s="222"/>
      <c r="E70" s="211"/>
      <c r="F70" s="214"/>
      <c r="G70" s="216"/>
      <c r="H70" s="221"/>
      <c r="I70" s="221"/>
      <c r="J70" s="222"/>
      <c r="K70" s="211"/>
      <c r="L70" s="214"/>
      <c r="M70" s="188"/>
    </row>
    <row r="71" spans="1:13" ht="18" customHeight="1" x14ac:dyDescent="0.25">
      <c r="A71" s="188"/>
      <c r="B71" s="221"/>
      <c r="C71" s="221"/>
      <c r="D71" s="222"/>
      <c r="E71" s="211"/>
      <c r="F71" s="214"/>
      <c r="G71" s="216"/>
      <c r="H71" s="221"/>
      <c r="I71" s="221"/>
      <c r="J71" s="222"/>
      <c r="K71" s="211"/>
      <c r="L71" s="214"/>
      <c r="M71" s="188"/>
    </row>
    <row r="72" spans="1:13" ht="18" customHeight="1" x14ac:dyDescent="0.25">
      <c r="A72" s="188"/>
      <c r="B72" s="221"/>
      <c r="C72" s="221"/>
      <c r="D72" s="222"/>
      <c r="E72" s="211"/>
      <c r="F72" s="214"/>
      <c r="G72" s="216"/>
      <c r="H72" s="221"/>
      <c r="I72" s="221"/>
      <c r="J72" s="222"/>
      <c r="K72" s="211"/>
      <c r="L72" s="214"/>
      <c r="M72" s="188"/>
    </row>
    <row r="73" spans="1:13" ht="18" customHeight="1" x14ac:dyDescent="0.25">
      <c r="A73" s="188"/>
      <c r="B73" s="221"/>
      <c r="C73" s="221"/>
      <c r="D73" s="222"/>
      <c r="E73" s="211"/>
      <c r="F73" s="214"/>
      <c r="G73" s="216"/>
      <c r="H73" s="221"/>
      <c r="I73" s="221"/>
      <c r="J73" s="222"/>
      <c r="K73" s="211"/>
      <c r="L73" s="214"/>
      <c r="M73" s="188"/>
    </row>
    <row r="74" spans="1:13" ht="18" customHeight="1" x14ac:dyDescent="0.25">
      <c r="A74" s="188"/>
      <c r="B74" s="221"/>
      <c r="C74" s="221"/>
      <c r="D74" s="222"/>
      <c r="E74" s="211"/>
      <c r="F74" s="214"/>
      <c r="G74" s="216"/>
      <c r="H74" s="221"/>
      <c r="I74" s="221"/>
      <c r="J74" s="222"/>
      <c r="K74" s="211"/>
      <c r="L74" s="214"/>
      <c r="M74" s="188"/>
    </row>
    <row r="75" spans="1:13" ht="18" customHeight="1" x14ac:dyDescent="0.25">
      <c r="A75" s="188"/>
      <c r="B75" s="221"/>
      <c r="C75" s="221"/>
      <c r="D75" s="222"/>
      <c r="E75" s="211"/>
      <c r="F75" s="214"/>
      <c r="G75" s="216"/>
      <c r="H75" s="221"/>
      <c r="I75" s="221"/>
      <c r="J75" s="222"/>
      <c r="K75" s="211"/>
      <c r="L75" s="214"/>
      <c r="M75" s="188"/>
    </row>
    <row r="76" spans="1:13" ht="18" customHeight="1" x14ac:dyDescent="0.25">
      <c r="A76" s="188"/>
      <c r="B76" s="221"/>
      <c r="C76" s="221"/>
      <c r="D76" s="222"/>
      <c r="E76" s="211"/>
      <c r="F76" s="214"/>
      <c r="G76" s="216"/>
      <c r="H76" s="221"/>
      <c r="I76" s="221"/>
      <c r="J76" s="222"/>
      <c r="K76" s="211"/>
      <c r="L76" s="214"/>
      <c r="M76" s="188"/>
    </row>
    <row r="77" spans="1:13" ht="18" customHeight="1" x14ac:dyDescent="0.25">
      <c r="A77" s="188"/>
      <c r="B77" s="221"/>
      <c r="C77" s="221"/>
      <c r="D77" s="222"/>
      <c r="E77" s="211"/>
      <c r="F77" s="214"/>
      <c r="G77" s="216"/>
      <c r="H77" s="221"/>
      <c r="I77" s="221"/>
      <c r="J77" s="222"/>
      <c r="K77" s="211"/>
      <c r="L77" s="214"/>
      <c r="M77" s="188"/>
    </row>
    <row r="78" spans="1:13" ht="18" customHeight="1" x14ac:dyDescent="0.25">
      <c r="A78" s="188"/>
      <c r="B78" s="221"/>
      <c r="C78" s="221"/>
      <c r="D78" s="222"/>
      <c r="E78" s="211"/>
      <c r="F78" s="214"/>
      <c r="G78" s="216"/>
      <c r="H78" s="221"/>
      <c r="I78" s="221"/>
      <c r="J78" s="222"/>
      <c r="K78" s="211"/>
      <c r="L78" s="214"/>
      <c r="M78" s="188"/>
    </row>
    <row r="79" spans="1:13" ht="18" customHeight="1" x14ac:dyDescent="0.25">
      <c r="A79" s="188"/>
      <c r="B79" s="221"/>
      <c r="C79" s="221"/>
      <c r="D79" s="222"/>
      <c r="E79" s="211"/>
      <c r="F79" s="214"/>
      <c r="G79" s="216"/>
      <c r="H79" s="221"/>
      <c r="I79" s="221"/>
      <c r="J79" s="222"/>
      <c r="K79" s="211"/>
      <c r="L79" s="214"/>
      <c r="M79" s="188"/>
    </row>
    <row r="80" spans="1:13" ht="18" customHeight="1" x14ac:dyDescent="0.25">
      <c r="A80" s="188"/>
      <c r="B80" s="221"/>
      <c r="C80" s="221"/>
      <c r="D80" s="222"/>
      <c r="E80" s="211"/>
      <c r="F80" s="214"/>
      <c r="G80" s="216"/>
      <c r="H80" s="221"/>
      <c r="I80" s="221"/>
      <c r="J80" s="222"/>
      <c r="K80" s="211"/>
      <c r="L80" s="214"/>
      <c r="M80" s="188"/>
    </row>
    <row r="81" spans="1:13" ht="18" customHeight="1" x14ac:dyDescent="0.25">
      <c r="A81" s="188"/>
      <c r="B81" s="221"/>
      <c r="C81" s="221"/>
      <c r="D81" s="222"/>
      <c r="E81" s="211"/>
      <c r="F81" s="214"/>
      <c r="G81" s="216"/>
      <c r="H81" s="221"/>
      <c r="I81" s="221"/>
      <c r="J81" s="222"/>
      <c r="K81" s="211"/>
      <c r="L81" s="214"/>
      <c r="M81" s="188"/>
    </row>
    <row r="82" spans="1:13" ht="18" customHeight="1" x14ac:dyDescent="0.25">
      <c r="A82" s="188"/>
      <c r="B82" s="221"/>
      <c r="C82" s="221"/>
      <c r="D82" s="222"/>
      <c r="E82" s="211"/>
      <c r="F82" s="214"/>
      <c r="G82" s="216"/>
      <c r="H82" s="221"/>
      <c r="I82" s="221"/>
      <c r="J82" s="222"/>
      <c r="K82" s="211"/>
      <c r="L82" s="214"/>
      <c r="M82" s="188"/>
    </row>
    <row r="83" spans="1:13" ht="18" customHeight="1" x14ac:dyDescent="0.25">
      <c r="A83" s="188"/>
      <c r="B83" s="221"/>
      <c r="C83" s="221"/>
      <c r="D83" s="222"/>
      <c r="E83" s="211"/>
      <c r="F83" s="214"/>
      <c r="G83" s="216"/>
      <c r="H83" s="221"/>
      <c r="I83" s="221"/>
      <c r="J83" s="222"/>
      <c r="K83" s="211"/>
      <c r="L83" s="214"/>
      <c r="M83" s="188"/>
    </row>
    <row r="84" spans="1:13" ht="18" customHeight="1" x14ac:dyDescent="0.25">
      <c r="A84" s="188"/>
      <c r="B84" s="221"/>
      <c r="C84" s="221"/>
      <c r="D84" s="222"/>
      <c r="E84" s="211"/>
      <c r="F84" s="214"/>
      <c r="G84" s="216"/>
      <c r="H84" s="221"/>
      <c r="I84" s="221"/>
      <c r="J84" s="222"/>
      <c r="K84" s="211"/>
      <c r="L84" s="214"/>
      <c r="M84" s="188"/>
    </row>
    <row r="85" spans="1:13" ht="18" customHeight="1" x14ac:dyDescent="0.25">
      <c r="A85" s="188"/>
      <c r="B85" s="221"/>
      <c r="C85" s="221"/>
      <c r="D85" s="222"/>
      <c r="E85" s="211"/>
      <c r="F85" s="214"/>
      <c r="G85" s="216"/>
      <c r="H85" s="221"/>
      <c r="I85" s="221"/>
      <c r="J85" s="222"/>
      <c r="K85" s="211"/>
      <c r="L85" s="214"/>
      <c r="M85" s="188"/>
    </row>
    <row r="86" spans="1:13" ht="18" customHeight="1" x14ac:dyDescent="0.25">
      <c r="A86" s="188"/>
      <c r="B86" s="221"/>
      <c r="C86" s="221"/>
      <c r="D86" s="222"/>
      <c r="E86" s="211"/>
      <c r="F86" s="214"/>
      <c r="G86" s="216"/>
      <c r="H86" s="221"/>
      <c r="I86" s="221"/>
      <c r="J86" s="222"/>
      <c r="K86" s="211"/>
      <c r="L86" s="214"/>
      <c r="M86" s="188"/>
    </row>
    <row r="87" spans="1:13" ht="18" customHeight="1" x14ac:dyDescent="0.25">
      <c r="A87" s="188"/>
      <c r="B87" s="221"/>
      <c r="C87" s="221"/>
      <c r="D87" s="222"/>
      <c r="E87" s="211"/>
      <c r="F87" s="214"/>
      <c r="G87" s="216"/>
      <c r="H87" s="221"/>
      <c r="I87" s="221"/>
      <c r="J87" s="222"/>
      <c r="K87" s="211"/>
      <c r="L87" s="214"/>
      <c r="M87" s="188"/>
    </row>
    <row r="88" spans="1:13" ht="18" customHeight="1" x14ac:dyDescent="0.25">
      <c r="A88" s="188"/>
      <c r="B88" s="221"/>
      <c r="C88" s="221"/>
      <c r="D88" s="222"/>
      <c r="E88" s="211"/>
      <c r="F88" s="214"/>
      <c r="G88" s="216"/>
      <c r="H88" s="221"/>
      <c r="I88" s="221"/>
      <c r="J88" s="222"/>
      <c r="K88" s="211"/>
      <c r="L88" s="214"/>
      <c r="M88" s="188"/>
    </row>
    <row r="89" spans="1:13" ht="18" customHeight="1" x14ac:dyDescent="0.25">
      <c r="A89" s="188"/>
      <c r="B89" s="221"/>
      <c r="C89" s="221"/>
      <c r="D89" s="222"/>
      <c r="E89" s="211"/>
      <c r="F89" s="214"/>
      <c r="G89" s="216"/>
      <c r="H89" s="221"/>
      <c r="I89" s="221"/>
      <c r="J89" s="222"/>
      <c r="K89" s="211"/>
      <c r="L89" s="214"/>
      <c r="M89" s="188"/>
    </row>
    <row r="90" spans="1:13" ht="18" customHeight="1" x14ac:dyDescent="0.25">
      <c r="A90" s="188"/>
      <c r="B90" s="221"/>
      <c r="C90" s="221"/>
      <c r="D90" s="222"/>
      <c r="E90" s="211"/>
      <c r="F90" s="214"/>
      <c r="G90" s="216"/>
      <c r="H90" s="221"/>
      <c r="I90" s="221"/>
      <c r="J90" s="222"/>
      <c r="K90" s="211"/>
      <c r="L90" s="214"/>
      <c r="M90" s="188"/>
    </row>
    <row r="91" spans="1:13" ht="18" customHeight="1" x14ac:dyDescent="0.25">
      <c r="A91" s="188"/>
      <c r="B91" s="221"/>
      <c r="C91" s="221"/>
      <c r="D91" s="222"/>
      <c r="E91" s="211"/>
      <c r="F91" s="214"/>
      <c r="G91" s="216"/>
      <c r="H91" s="221"/>
      <c r="I91" s="221"/>
      <c r="J91" s="222"/>
      <c r="K91" s="211"/>
      <c r="L91" s="214"/>
      <c r="M91" s="188"/>
    </row>
    <row r="92" spans="1:13" ht="18" customHeight="1" x14ac:dyDescent="0.25">
      <c r="A92" s="188"/>
      <c r="B92" s="221"/>
      <c r="C92" s="221"/>
      <c r="D92" s="222"/>
      <c r="E92" s="211"/>
      <c r="F92" s="214"/>
      <c r="G92" s="216"/>
      <c r="H92" s="221"/>
      <c r="I92" s="221"/>
      <c r="J92" s="222"/>
      <c r="K92" s="211"/>
      <c r="L92" s="214"/>
      <c r="M92" s="188"/>
    </row>
    <row r="93" spans="1:13" ht="18" customHeight="1" x14ac:dyDescent="0.25">
      <c r="A93" s="188"/>
      <c r="B93" s="221"/>
      <c r="C93" s="221"/>
      <c r="D93" s="222"/>
      <c r="E93" s="211"/>
      <c r="F93" s="214"/>
      <c r="G93" s="216"/>
      <c r="H93" s="221"/>
      <c r="I93" s="221"/>
      <c r="J93" s="222"/>
      <c r="K93" s="211"/>
      <c r="L93" s="214"/>
      <c r="M93" s="188"/>
    </row>
    <row r="94" spans="1:13" ht="18" customHeight="1" x14ac:dyDescent="0.25">
      <c r="A94" s="188"/>
      <c r="B94" s="221"/>
      <c r="C94" s="221"/>
      <c r="D94" s="222"/>
      <c r="E94" s="211"/>
      <c r="F94" s="214"/>
      <c r="G94" s="216"/>
      <c r="H94" s="221"/>
      <c r="I94" s="221"/>
      <c r="J94" s="222"/>
      <c r="K94" s="211"/>
      <c r="L94" s="214"/>
      <c r="M94" s="188"/>
    </row>
    <row r="95" spans="1:13" ht="18" customHeight="1" x14ac:dyDescent="0.25">
      <c r="A95" s="188"/>
      <c r="B95" s="221"/>
      <c r="C95" s="221"/>
      <c r="D95" s="222"/>
      <c r="E95" s="211"/>
      <c r="F95" s="214"/>
      <c r="G95" s="216"/>
      <c r="H95" s="221"/>
      <c r="I95" s="221"/>
      <c r="J95" s="222"/>
      <c r="K95" s="211"/>
      <c r="L95" s="214"/>
      <c r="M95" s="188"/>
    </row>
    <row r="96" spans="1:13" ht="18" customHeight="1" x14ac:dyDescent="0.25">
      <c r="A96" s="188"/>
      <c r="B96" s="221"/>
      <c r="C96" s="221"/>
      <c r="D96" s="222"/>
      <c r="E96" s="211"/>
      <c r="F96" s="214"/>
      <c r="G96" s="216"/>
      <c r="H96" s="221"/>
      <c r="I96" s="221"/>
      <c r="J96" s="222"/>
      <c r="K96" s="211"/>
      <c r="L96" s="214"/>
      <c r="M96" s="188"/>
    </row>
    <row r="97" spans="1:13" ht="18" customHeight="1" x14ac:dyDescent="0.25">
      <c r="A97" s="188"/>
      <c r="B97" s="221"/>
      <c r="C97" s="221"/>
      <c r="D97" s="222"/>
      <c r="E97" s="211"/>
      <c r="F97" s="214"/>
      <c r="G97" s="216"/>
      <c r="H97" s="221"/>
      <c r="I97" s="221"/>
      <c r="J97" s="222"/>
      <c r="K97" s="211"/>
      <c r="L97" s="214"/>
      <c r="M97" s="188"/>
    </row>
    <row r="98" spans="1:13" ht="18" customHeight="1" x14ac:dyDescent="0.25">
      <c r="A98" s="188"/>
      <c r="B98" s="221"/>
      <c r="C98" s="221"/>
      <c r="D98" s="222"/>
      <c r="E98" s="211"/>
      <c r="F98" s="214"/>
      <c r="G98" s="216"/>
      <c r="H98" s="221"/>
      <c r="I98" s="221"/>
      <c r="J98" s="222"/>
      <c r="K98" s="211"/>
      <c r="L98" s="214"/>
      <c r="M98" s="188"/>
    </row>
    <row r="99" spans="1:13" ht="18" customHeight="1" x14ac:dyDescent="0.25">
      <c r="A99" s="188"/>
      <c r="B99" s="221"/>
      <c r="C99" s="221"/>
      <c r="D99" s="222"/>
      <c r="E99" s="211"/>
      <c r="F99" s="214"/>
      <c r="G99" s="216"/>
      <c r="H99" s="221"/>
      <c r="I99" s="221"/>
      <c r="J99" s="222"/>
      <c r="K99" s="211"/>
      <c r="L99" s="214"/>
      <c r="M99" s="188"/>
    </row>
    <row r="100" spans="1:13" ht="18" customHeight="1" x14ac:dyDescent="0.25">
      <c r="A100" s="188"/>
      <c r="B100" s="221"/>
      <c r="C100" s="221"/>
      <c r="D100" s="222"/>
      <c r="E100" s="211"/>
      <c r="F100" s="214"/>
      <c r="G100" s="216"/>
      <c r="H100" s="221"/>
      <c r="I100" s="221"/>
      <c r="J100" s="222"/>
      <c r="K100" s="211"/>
      <c r="L100" s="214"/>
      <c r="M100" s="188"/>
    </row>
    <row r="101" spans="1:13" ht="18" customHeight="1" x14ac:dyDescent="0.25">
      <c r="A101" s="188"/>
      <c r="B101" s="221"/>
      <c r="C101" s="221"/>
      <c r="D101" s="222"/>
      <c r="E101" s="211"/>
      <c r="F101" s="214"/>
      <c r="G101" s="216"/>
      <c r="H101" s="221"/>
      <c r="I101" s="221"/>
      <c r="J101" s="222"/>
      <c r="K101" s="211"/>
      <c r="L101" s="214"/>
      <c r="M101" s="188"/>
    </row>
    <row r="102" spans="1:13" ht="18" customHeight="1" x14ac:dyDescent="0.25">
      <c r="A102" s="188"/>
      <c r="B102" s="221"/>
      <c r="C102" s="221"/>
      <c r="D102" s="222"/>
      <c r="E102" s="211"/>
      <c r="F102" s="214"/>
      <c r="G102" s="216"/>
      <c r="H102" s="221"/>
      <c r="I102" s="221"/>
      <c r="J102" s="222"/>
      <c r="K102" s="211"/>
      <c r="L102" s="214"/>
      <c r="M102" s="188"/>
    </row>
    <row r="103" spans="1:13" ht="18" customHeight="1" x14ac:dyDescent="0.25">
      <c r="A103" s="188"/>
      <c r="B103" s="221"/>
      <c r="C103" s="221"/>
      <c r="D103" s="222"/>
      <c r="E103" s="211"/>
      <c r="F103" s="214"/>
      <c r="G103" s="216"/>
      <c r="H103" s="221"/>
      <c r="I103" s="221"/>
      <c r="J103" s="222"/>
      <c r="K103" s="211"/>
      <c r="L103" s="214"/>
      <c r="M103" s="188"/>
    </row>
    <row r="104" spans="1:13" ht="18" customHeight="1" x14ac:dyDescent="0.25">
      <c r="A104" s="188"/>
      <c r="B104" s="221"/>
      <c r="C104" s="221"/>
      <c r="D104" s="222"/>
      <c r="E104" s="211"/>
      <c r="F104" s="214"/>
      <c r="G104" s="216"/>
      <c r="H104" s="221"/>
      <c r="I104" s="221"/>
      <c r="J104" s="222"/>
      <c r="K104" s="211"/>
      <c r="L104" s="214"/>
      <c r="M104" s="188"/>
    </row>
    <row r="105" spans="1:13" ht="18" customHeight="1" x14ac:dyDescent="0.25">
      <c r="A105" s="188"/>
      <c r="B105" s="221"/>
      <c r="C105" s="221"/>
      <c r="D105" s="222"/>
      <c r="E105" s="211"/>
      <c r="F105" s="214"/>
      <c r="G105" s="216"/>
      <c r="H105" s="221"/>
      <c r="I105" s="221"/>
      <c r="J105" s="222"/>
      <c r="K105" s="211"/>
      <c r="L105" s="214"/>
      <c r="M105" s="188"/>
    </row>
    <row r="106" spans="1:13" ht="18" customHeight="1" x14ac:dyDescent="0.25">
      <c r="A106" s="188"/>
      <c r="B106" s="221"/>
      <c r="C106" s="221"/>
      <c r="D106" s="222"/>
      <c r="E106" s="211"/>
      <c r="F106" s="214"/>
      <c r="G106" s="216"/>
      <c r="H106" s="221"/>
      <c r="I106" s="221"/>
      <c r="J106" s="222"/>
      <c r="K106" s="211"/>
      <c r="L106" s="214"/>
      <c r="M106" s="188"/>
    </row>
    <row r="107" spans="1:13" ht="18" customHeight="1" x14ac:dyDescent="0.25">
      <c r="A107" s="188"/>
      <c r="B107" s="221"/>
      <c r="C107" s="221"/>
      <c r="D107" s="222"/>
      <c r="E107" s="211"/>
      <c r="F107" s="214"/>
      <c r="G107" s="216"/>
      <c r="H107" s="221"/>
      <c r="I107" s="221"/>
      <c r="J107" s="222"/>
      <c r="K107" s="211"/>
      <c r="L107" s="214"/>
      <c r="M107" s="188"/>
    </row>
    <row r="108" spans="1:13" ht="18" customHeight="1" x14ac:dyDescent="0.25">
      <c r="A108" s="188"/>
      <c r="B108" s="221"/>
      <c r="C108" s="221"/>
      <c r="D108" s="222"/>
      <c r="E108" s="211"/>
      <c r="F108" s="214"/>
      <c r="G108" s="216"/>
      <c r="H108" s="221"/>
      <c r="I108" s="221"/>
      <c r="J108" s="222"/>
      <c r="K108" s="211"/>
      <c r="L108" s="214"/>
      <c r="M108" s="188"/>
    </row>
    <row r="109" spans="1:13" ht="18" customHeight="1" x14ac:dyDescent="0.25">
      <c r="A109" s="188"/>
      <c r="B109" s="221"/>
      <c r="C109" s="221"/>
      <c r="D109" s="222"/>
      <c r="E109" s="211"/>
      <c r="F109" s="214"/>
      <c r="G109" s="216"/>
      <c r="H109" s="221"/>
      <c r="I109" s="221"/>
      <c r="J109" s="222"/>
      <c r="K109" s="211"/>
      <c r="L109" s="214"/>
      <c r="M109" s="188"/>
    </row>
    <row r="110" spans="1:13" ht="18" customHeight="1" x14ac:dyDescent="0.25">
      <c r="A110" s="188"/>
      <c r="B110" s="221"/>
      <c r="C110" s="221"/>
      <c r="D110" s="222"/>
      <c r="E110" s="211"/>
      <c r="F110" s="214"/>
      <c r="G110" s="216"/>
      <c r="H110" s="221"/>
      <c r="I110" s="221"/>
      <c r="J110" s="222"/>
      <c r="K110" s="211"/>
      <c r="L110" s="214"/>
      <c r="M110" s="188"/>
    </row>
    <row r="111" spans="1:13" ht="18" customHeight="1" x14ac:dyDescent="0.25">
      <c r="A111" s="188"/>
      <c r="B111" s="221"/>
      <c r="C111" s="221"/>
      <c r="D111" s="222"/>
      <c r="E111" s="211"/>
      <c r="F111" s="214"/>
      <c r="G111" s="216"/>
      <c r="H111" s="221"/>
      <c r="I111" s="221"/>
      <c r="J111" s="222"/>
      <c r="K111" s="211"/>
      <c r="L111" s="214"/>
      <c r="M111" s="188"/>
    </row>
    <row r="112" spans="1:13" ht="18" customHeight="1" x14ac:dyDescent="0.25">
      <c r="A112" s="188"/>
      <c r="B112" s="221"/>
      <c r="C112" s="221"/>
      <c r="D112" s="222"/>
      <c r="E112" s="211"/>
      <c r="F112" s="214"/>
      <c r="G112" s="216"/>
      <c r="H112" s="221"/>
      <c r="I112" s="221"/>
      <c r="J112" s="222"/>
      <c r="K112" s="211"/>
      <c r="L112" s="214"/>
      <c r="M112" s="188"/>
    </row>
    <row r="113" spans="1:13" ht="18" customHeight="1" x14ac:dyDescent="0.25">
      <c r="A113" s="188"/>
      <c r="B113" s="221"/>
      <c r="C113" s="221"/>
      <c r="D113" s="222"/>
      <c r="E113" s="211"/>
      <c r="F113" s="214"/>
      <c r="G113" s="216"/>
      <c r="H113" s="221"/>
      <c r="I113" s="221"/>
      <c r="J113" s="222"/>
      <c r="K113" s="211"/>
      <c r="L113" s="214"/>
      <c r="M113" s="188"/>
    </row>
    <row r="114" spans="1:13" ht="18" customHeight="1" x14ac:dyDescent="0.25">
      <c r="A114" s="188"/>
      <c r="B114" s="221"/>
      <c r="C114" s="221"/>
      <c r="D114" s="222"/>
      <c r="E114" s="211"/>
      <c r="F114" s="214"/>
      <c r="G114" s="216"/>
      <c r="H114" s="221"/>
      <c r="I114" s="221"/>
      <c r="J114" s="222"/>
      <c r="K114" s="211"/>
      <c r="L114" s="214"/>
      <c r="M114" s="188"/>
    </row>
    <row r="115" spans="1:13" ht="18" customHeight="1" x14ac:dyDescent="0.25">
      <c r="A115" s="188"/>
      <c r="B115" s="221"/>
      <c r="C115" s="221"/>
      <c r="D115" s="222"/>
      <c r="E115" s="211"/>
      <c r="F115" s="214"/>
      <c r="G115" s="216"/>
      <c r="H115" s="221"/>
      <c r="I115" s="221"/>
      <c r="J115" s="222"/>
      <c r="K115" s="211"/>
      <c r="L115" s="214"/>
      <c r="M115" s="188"/>
    </row>
    <row r="116" spans="1:13" ht="18" customHeight="1" x14ac:dyDescent="0.25">
      <c r="A116" s="188"/>
      <c r="B116" s="221"/>
      <c r="C116" s="221"/>
      <c r="D116" s="222"/>
      <c r="E116" s="211"/>
      <c r="F116" s="214"/>
      <c r="G116" s="216"/>
      <c r="H116" s="221"/>
      <c r="I116" s="221"/>
      <c r="J116" s="222"/>
      <c r="K116" s="211"/>
      <c r="L116" s="214"/>
      <c r="M116" s="188"/>
    </row>
    <row r="117" spans="1:13" ht="18" customHeight="1" x14ac:dyDescent="0.25">
      <c r="A117" s="188"/>
      <c r="B117" s="221"/>
      <c r="C117" s="221"/>
      <c r="D117" s="222"/>
      <c r="E117" s="211"/>
      <c r="F117" s="214"/>
      <c r="G117" s="216"/>
      <c r="H117" s="221"/>
      <c r="I117" s="221"/>
      <c r="J117" s="222"/>
      <c r="K117" s="211"/>
      <c r="L117" s="214"/>
      <c r="M117" s="188"/>
    </row>
    <row r="118" spans="1:13" ht="18" customHeight="1" x14ac:dyDescent="0.25">
      <c r="A118" s="188"/>
      <c r="B118" s="221"/>
      <c r="C118" s="221"/>
      <c r="D118" s="222"/>
      <c r="E118" s="211"/>
      <c r="F118" s="214"/>
      <c r="G118" s="216"/>
      <c r="H118" s="221"/>
      <c r="I118" s="221"/>
      <c r="J118" s="222"/>
      <c r="K118" s="211"/>
      <c r="L118" s="214"/>
      <c r="M118" s="188"/>
    </row>
    <row r="119" spans="1:13" ht="18" customHeight="1" x14ac:dyDescent="0.25">
      <c r="A119" s="188"/>
      <c r="B119" s="221"/>
      <c r="C119" s="221"/>
      <c r="D119" s="222"/>
      <c r="E119" s="211"/>
      <c r="F119" s="214"/>
      <c r="G119" s="216"/>
      <c r="H119" s="221"/>
      <c r="I119" s="221"/>
      <c r="J119" s="222"/>
      <c r="K119" s="211"/>
      <c r="L119" s="214"/>
      <c r="M119" s="188"/>
    </row>
    <row r="120" spans="1:13" ht="18" customHeight="1" x14ac:dyDescent="0.25">
      <c r="A120" s="188"/>
      <c r="B120" s="221"/>
      <c r="C120" s="221"/>
      <c r="D120" s="222"/>
      <c r="E120" s="211"/>
      <c r="F120" s="214"/>
      <c r="G120" s="216"/>
      <c r="H120" s="221"/>
      <c r="I120" s="221"/>
      <c r="J120" s="222"/>
      <c r="K120" s="211"/>
      <c r="L120" s="214"/>
      <c r="M120" s="188"/>
    </row>
    <row r="121" spans="1:13" ht="18" customHeight="1" x14ac:dyDescent="0.25">
      <c r="A121" s="188"/>
      <c r="B121" s="221"/>
      <c r="C121" s="221"/>
      <c r="D121" s="222"/>
      <c r="E121" s="211"/>
      <c r="F121" s="214"/>
      <c r="G121" s="216"/>
      <c r="H121" s="221"/>
      <c r="I121" s="221"/>
      <c r="J121" s="222"/>
      <c r="K121" s="211"/>
      <c r="L121" s="214"/>
      <c r="M121" s="188"/>
    </row>
    <row r="122" spans="1:13" ht="18" customHeight="1" x14ac:dyDescent="0.25">
      <c r="A122" s="188"/>
      <c r="B122" s="221"/>
      <c r="C122" s="221"/>
      <c r="D122" s="222"/>
      <c r="E122" s="211"/>
      <c r="F122" s="214"/>
      <c r="G122" s="216"/>
      <c r="H122" s="221"/>
      <c r="I122" s="221"/>
      <c r="J122" s="222"/>
      <c r="K122" s="211"/>
      <c r="L122" s="214"/>
      <c r="M122" s="188"/>
    </row>
    <row r="123" spans="1:13" ht="18" customHeight="1" x14ac:dyDescent="0.25">
      <c r="A123" s="188"/>
      <c r="B123" s="221"/>
      <c r="C123" s="221"/>
      <c r="D123" s="222"/>
      <c r="E123" s="211"/>
      <c r="F123" s="214"/>
      <c r="G123" s="216"/>
      <c r="H123" s="221"/>
      <c r="I123" s="221"/>
      <c r="J123" s="222"/>
      <c r="K123" s="211"/>
      <c r="L123" s="214"/>
      <c r="M123" s="188"/>
    </row>
    <row r="124" spans="1:13" ht="18" customHeight="1" x14ac:dyDescent="0.25">
      <c r="A124" s="188"/>
      <c r="B124" s="221"/>
      <c r="C124" s="221"/>
      <c r="D124" s="222"/>
      <c r="E124" s="211"/>
      <c r="F124" s="214"/>
      <c r="G124" s="216"/>
      <c r="H124" s="221"/>
      <c r="I124" s="221"/>
      <c r="J124" s="222"/>
      <c r="K124" s="211"/>
      <c r="L124" s="214"/>
      <c r="M124" s="188"/>
    </row>
    <row r="125" spans="1:13" ht="18" customHeight="1" x14ac:dyDescent="0.25">
      <c r="A125" s="188"/>
      <c r="B125" s="221"/>
      <c r="C125" s="221"/>
      <c r="D125" s="222"/>
      <c r="E125" s="211"/>
      <c r="F125" s="214"/>
      <c r="G125" s="216"/>
      <c r="H125" s="221"/>
      <c r="I125" s="221"/>
      <c r="J125" s="222"/>
      <c r="K125" s="211"/>
      <c r="L125" s="214"/>
      <c r="M125" s="188"/>
    </row>
    <row r="126" spans="1:13" ht="18" customHeight="1" x14ac:dyDescent="0.25">
      <c r="A126" s="188"/>
      <c r="B126" s="221"/>
      <c r="C126" s="221"/>
      <c r="D126" s="222"/>
      <c r="E126" s="211"/>
      <c r="F126" s="214"/>
      <c r="G126" s="216"/>
      <c r="H126" s="221"/>
      <c r="I126" s="221"/>
      <c r="J126" s="222"/>
      <c r="K126" s="211"/>
      <c r="L126" s="214"/>
      <c r="M126" s="188"/>
    </row>
    <row r="127" spans="1:13" ht="18" customHeight="1" x14ac:dyDescent="0.25">
      <c r="A127" s="188"/>
      <c r="B127" s="221"/>
      <c r="C127" s="221"/>
      <c r="D127" s="222"/>
      <c r="E127" s="211"/>
      <c r="F127" s="214"/>
      <c r="G127" s="216"/>
      <c r="H127" s="221"/>
      <c r="I127" s="221"/>
      <c r="J127" s="222"/>
      <c r="K127" s="211"/>
      <c r="L127" s="214"/>
      <c r="M127" s="188"/>
    </row>
    <row r="128" spans="1:13" ht="18" customHeight="1" x14ac:dyDescent="0.25">
      <c r="A128" s="188"/>
      <c r="B128" s="221"/>
      <c r="C128" s="221"/>
      <c r="D128" s="222"/>
      <c r="E128" s="211"/>
      <c r="F128" s="214"/>
      <c r="G128" s="216"/>
      <c r="H128" s="221"/>
      <c r="I128" s="221"/>
      <c r="J128" s="222"/>
      <c r="K128" s="211"/>
      <c r="L128" s="214"/>
      <c r="M128" s="188"/>
    </row>
    <row r="129" spans="1:13" ht="18" customHeight="1" x14ac:dyDescent="0.25">
      <c r="A129" s="188"/>
      <c r="B129" s="221"/>
      <c r="C129" s="221"/>
      <c r="D129" s="222"/>
      <c r="E129" s="211"/>
      <c r="F129" s="214"/>
      <c r="G129" s="216"/>
      <c r="H129" s="221"/>
      <c r="I129" s="221"/>
      <c r="J129" s="222"/>
      <c r="K129" s="211"/>
      <c r="L129" s="214"/>
      <c r="M129" s="188"/>
    </row>
    <row r="130" spans="1:13" ht="18" customHeight="1" x14ac:dyDescent="0.25">
      <c r="A130" s="188"/>
      <c r="B130" s="221"/>
      <c r="C130" s="221"/>
      <c r="D130" s="222"/>
      <c r="E130" s="211"/>
      <c r="F130" s="214"/>
      <c r="G130" s="216"/>
      <c r="H130" s="221"/>
      <c r="I130" s="221"/>
      <c r="J130" s="222"/>
      <c r="K130" s="211"/>
      <c r="L130" s="214"/>
      <c r="M130" s="188"/>
    </row>
    <row r="131" spans="1:13" ht="18" customHeight="1" x14ac:dyDescent="0.25">
      <c r="A131" s="188"/>
      <c r="B131" s="221"/>
      <c r="C131" s="221"/>
      <c r="D131" s="222"/>
      <c r="E131" s="211"/>
      <c r="F131" s="214"/>
      <c r="G131" s="216"/>
      <c r="H131" s="221"/>
      <c r="I131" s="221"/>
      <c r="J131" s="222"/>
      <c r="K131" s="211"/>
      <c r="L131" s="214"/>
      <c r="M131" s="188"/>
    </row>
    <row r="132" spans="1:13" ht="18" customHeight="1" x14ac:dyDescent="0.25">
      <c r="A132" s="188"/>
      <c r="B132" s="221"/>
      <c r="C132" s="221"/>
      <c r="D132" s="222"/>
      <c r="E132" s="211"/>
      <c r="F132" s="214"/>
      <c r="G132" s="216"/>
      <c r="H132" s="221"/>
      <c r="I132" s="221"/>
      <c r="J132" s="222"/>
      <c r="K132" s="211"/>
      <c r="L132" s="214"/>
      <c r="M132" s="188"/>
    </row>
    <row r="133" spans="1:13" ht="18" customHeight="1" x14ac:dyDescent="0.25">
      <c r="A133" s="188"/>
      <c r="B133" s="221"/>
      <c r="C133" s="221"/>
      <c r="D133" s="222"/>
      <c r="E133" s="211"/>
      <c r="F133" s="214"/>
      <c r="G133" s="216"/>
      <c r="H133" s="221"/>
      <c r="I133" s="221"/>
      <c r="J133" s="222"/>
      <c r="K133" s="211"/>
      <c r="L133" s="214"/>
      <c r="M133" s="188"/>
    </row>
    <row r="134" spans="1:13" ht="18" customHeight="1" x14ac:dyDescent="0.25">
      <c r="A134" s="188"/>
      <c r="B134" s="221"/>
      <c r="C134" s="221"/>
      <c r="D134" s="222"/>
      <c r="E134" s="211"/>
      <c r="F134" s="214"/>
      <c r="G134" s="216"/>
      <c r="H134" s="221"/>
      <c r="I134" s="221"/>
      <c r="J134" s="222"/>
      <c r="K134" s="211"/>
      <c r="L134" s="214"/>
      <c r="M134" s="188"/>
    </row>
    <row r="135" spans="1:13" ht="18" customHeight="1" x14ac:dyDescent="0.25">
      <c r="A135" s="188"/>
      <c r="B135" s="221"/>
      <c r="C135" s="221"/>
      <c r="D135" s="222"/>
      <c r="E135" s="211"/>
      <c r="F135" s="214"/>
      <c r="G135" s="216"/>
      <c r="H135" s="221"/>
      <c r="I135" s="221"/>
      <c r="J135" s="222"/>
      <c r="K135" s="211"/>
      <c r="L135" s="214"/>
      <c r="M135" s="188"/>
    </row>
    <row r="136" spans="1:13" ht="18" customHeight="1" x14ac:dyDescent="0.25">
      <c r="A136" s="188"/>
      <c r="B136" s="221"/>
      <c r="C136" s="221"/>
      <c r="D136" s="222"/>
      <c r="E136" s="211"/>
      <c r="F136" s="214"/>
      <c r="G136" s="216"/>
      <c r="H136" s="221"/>
      <c r="I136" s="221"/>
      <c r="J136" s="222"/>
      <c r="K136" s="211"/>
      <c r="L136" s="214"/>
      <c r="M136" s="188"/>
    </row>
    <row r="137" spans="1:13" ht="18" customHeight="1" x14ac:dyDescent="0.25">
      <c r="A137" s="188"/>
      <c r="B137" s="221"/>
      <c r="C137" s="221"/>
      <c r="D137" s="222"/>
      <c r="E137" s="211"/>
      <c r="F137" s="214"/>
      <c r="G137" s="216"/>
      <c r="H137" s="221"/>
      <c r="I137" s="221"/>
      <c r="J137" s="222"/>
      <c r="K137" s="211"/>
      <c r="L137" s="214"/>
      <c r="M137" s="188"/>
    </row>
    <row r="138" spans="1:13" ht="18" customHeight="1" x14ac:dyDescent="0.25">
      <c r="A138" s="188"/>
      <c r="B138" s="221"/>
      <c r="C138" s="221"/>
      <c r="D138" s="222"/>
      <c r="E138" s="211"/>
      <c r="F138" s="214"/>
      <c r="G138" s="216"/>
      <c r="H138" s="221"/>
      <c r="I138" s="221"/>
      <c r="J138" s="222"/>
      <c r="K138" s="211"/>
      <c r="L138" s="214"/>
      <c r="M138" s="188"/>
    </row>
    <row r="139" spans="1:13" ht="18" customHeight="1" x14ac:dyDescent="0.25">
      <c r="A139" s="188"/>
      <c r="B139" s="221"/>
      <c r="C139" s="221"/>
      <c r="D139" s="222"/>
      <c r="E139" s="211"/>
      <c r="F139" s="214"/>
      <c r="G139" s="216"/>
      <c r="H139" s="221"/>
      <c r="I139" s="221"/>
      <c r="J139" s="222"/>
      <c r="K139" s="211"/>
      <c r="L139" s="214"/>
      <c r="M139" s="188"/>
    </row>
    <row r="140" spans="1:13" ht="18" customHeight="1" x14ac:dyDescent="0.25">
      <c r="A140" s="188"/>
      <c r="B140" s="221"/>
      <c r="C140" s="221"/>
      <c r="D140" s="222"/>
      <c r="E140" s="211"/>
      <c r="F140" s="214"/>
      <c r="G140" s="216"/>
      <c r="H140" s="221"/>
      <c r="I140" s="221"/>
      <c r="J140" s="222"/>
      <c r="K140" s="211"/>
      <c r="L140" s="214"/>
      <c r="M140" s="188"/>
    </row>
    <row r="141" spans="1:13" ht="18" customHeight="1" x14ac:dyDescent="0.25">
      <c r="A141" s="188"/>
      <c r="B141" s="221"/>
      <c r="C141" s="221"/>
      <c r="D141" s="222"/>
      <c r="E141" s="211"/>
      <c r="F141" s="214"/>
      <c r="G141" s="216"/>
      <c r="H141" s="221"/>
      <c r="I141" s="221"/>
      <c r="J141" s="222"/>
      <c r="K141" s="211"/>
      <c r="L141" s="214"/>
      <c r="M141" s="188"/>
    </row>
    <row r="142" spans="1:13" ht="18" customHeight="1" x14ac:dyDescent="0.25">
      <c r="A142" s="188"/>
      <c r="B142" s="221"/>
      <c r="C142" s="221"/>
      <c r="D142" s="222"/>
      <c r="E142" s="211"/>
      <c r="F142" s="214"/>
      <c r="G142" s="216"/>
      <c r="H142" s="221"/>
      <c r="I142" s="221"/>
      <c r="J142" s="222"/>
      <c r="K142" s="211"/>
      <c r="L142" s="214"/>
      <c r="M142" s="188"/>
    </row>
    <row r="143" spans="1:13" ht="18" customHeight="1" x14ac:dyDescent="0.25">
      <c r="A143" s="188"/>
      <c r="B143" s="221"/>
      <c r="C143" s="221"/>
      <c r="D143" s="222"/>
      <c r="E143" s="211"/>
      <c r="F143" s="214"/>
      <c r="G143" s="216"/>
      <c r="H143" s="221"/>
      <c r="I143" s="221"/>
      <c r="J143" s="222"/>
      <c r="K143" s="211"/>
      <c r="L143" s="214"/>
      <c r="M143" s="188"/>
    </row>
    <row r="144" spans="1:13" ht="18" customHeight="1" x14ac:dyDescent="0.25">
      <c r="A144" s="188"/>
      <c r="B144" s="221"/>
      <c r="C144" s="221"/>
      <c r="D144" s="222"/>
      <c r="E144" s="211"/>
      <c r="F144" s="214"/>
      <c r="G144" s="216"/>
      <c r="H144" s="221"/>
      <c r="I144" s="221"/>
      <c r="J144" s="222"/>
      <c r="K144" s="211"/>
      <c r="L144" s="214"/>
      <c r="M144" s="188"/>
    </row>
    <row r="145" spans="1:13" ht="18" customHeight="1" x14ac:dyDescent="0.25">
      <c r="A145" s="188"/>
      <c r="B145" s="221"/>
      <c r="C145" s="221"/>
      <c r="D145" s="222"/>
      <c r="E145" s="211"/>
      <c r="F145" s="214"/>
      <c r="G145" s="216"/>
      <c r="H145" s="221"/>
      <c r="I145" s="221"/>
      <c r="J145" s="222"/>
      <c r="K145" s="211"/>
      <c r="L145" s="214"/>
      <c r="M145" s="188"/>
    </row>
    <row r="146" spans="1:13" ht="18" customHeight="1" x14ac:dyDescent="0.25">
      <c r="A146" s="188"/>
      <c r="B146" s="221"/>
      <c r="C146" s="221"/>
      <c r="D146" s="222"/>
      <c r="E146" s="211"/>
      <c r="F146" s="214"/>
      <c r="G146" s="216"/>
      <c r="H146" s="221"/>
      <c r="I146" s="221"/>
      <c r="J146" s="222"/>
      <c r="K146" s="211"/>
      <c r="L146" s="214"/>
      <c r="M146" s="188"/>
    </row>
    <row r="147" spans="1:13" ht="18" customHeight="1" x14ac:dyDescent="0.25">
      <c r="A147" s="188"/>
      <c r="B147" s="221"/>
      <c r="C147" s="221"/>
      <c r="D147" s="222"/>
      <c r="E147" s="211"/>
      <c r="F147" s="214"/>
      <c r="G147" s="216"/>
      <c r="H147" s="221"/>
      <c r="I147" s="221"/>
      <c r="J147" s="222"/>
      <c r="K147" s="211"/>
      <c r="L147" s="214"/>
      <c r="M147" s="188"/>
    </row>
    <row r="148" spans="1:13" ht="18" customHeight="1" x14ac:dyDescent="0.25">
      <c r="A148" s="188"/>
      <c r="B148" s="221"/>
      <c r="C148" s="221"/>
      <c r="D148" s="222"/>
      <c r="E148" s="211"/>
      <c r="F148" s="214"/>
      <c r="G148" s="216"/>
      <c r="H148" s="221"/>
      <c r="I148" s="221"/>
      <c r="J148" s="222"/>
      <c r="K148" s="211"/>
      <c r="L148" s="214"/>
      <c r="M148" s="188"/>
    </row>
    <row r="149" spans="1:13" ht="18" customHeight="1" x14ac:dyDescent="0.25">
      <c r="A149" s="188"/>
      <c r="B149" s="221"/>
      <c r="C149" s="221"/>
      <c r="D149" s="222"/>
      <c r="E149" s="211"/>
      <c r="F149" s="214"/>
      <c r="G149" s="216"/>
      <c r="H149" s="221"/>
      <c r="I149" s="221"/>
      <c r="J149" s="222"/>
      <c r="K149" s="211"/>
      <c r="L149" s="214"/>
      <c r="M149" s="188"/>
    </row>
    <row r="150" spans="1:13" ht="18" customHeight="1" x14ac:dyDescent="0.25">
      <c r="A150" s="188"/>
      <c r="B150" s="221"/>
      <c r="C150" s="221"/>
      <c r="D150" s="222"/>
      <c r="E150" s="211"/>
      <c r="F150" s="214"/>
      <c r="G150" s="216"/>
      <c r="H150" s="221"/>
      <c r="I150" s="221"/>
      <c r="J150" s="222"/>
      <c r="K150" s="211"/>
      <c r="L150" s="214"/>
      <c r="M150" s="188"/>
    </row>
    <row r="151" spans="1:13" ht="18" customHeight="1" x14ac:dyDescent="0.25">
      <c r="A151" s="188"/>
      <c r="B151" s="221"/>
      <c r="C151" s="221"/>
      <c r="D151" s="222"/>
      <c r="E151" s="211"/>
      <c r="F151" s="214"/>
      <c r="G151" s="216"/>
      <c r="H151" s="221"/>
      <c r="I151" s="221"/>
      <c r="J151" s="222"/>
      <c r="K151" s="211"/>
      <c r="L151" s="214"/>
      <c r="M151" s="188"/>
    </row>
    <row r="152" spans="1:13" ht="18" customHeight="1" x14ac:dyDescent="0.25">
      <c r="A152" s="188"/>
      <c r="B152" s="221"/>
      <c r="C152" s="221"/>
      <c r="D152" s="222"/>
      <c r="E152" s="211"/>
      <c r="F152" s="214"/>
      <c r="G152" s="216"/>
      <c r="H152" s="221"/>
      <c r="I152" s="221"/>
      <c r="J152" s="222"/>
      <c r="K152" s="211"/>
      <c r="L152" s="214"/>
      <c r="M152" s="188"/>
    </row>
    <row r="153" spans="1:13" ht="18" customHeight="1" x14ac:dyDescent="0.25">
      <c r="A153" s="188"/>
      <c r="B153" s="221"/>
      <c r="C153" s="221"/>
      <c r="D153" s="222"/>
      <c r="E153" s="211"/>
      <c r="F153" s="214"/>
      <c r="G153" s="216"/>
      <c r="H153" s="221"/>
      <c r="I153" s="221"/>
      <c r="J153" s="222"/>
      <c r="K153" s="211"/>
      <c r="L153" s="214"/>
      <c r="M153" s="188"/>
    </row>
    <row r="154" spans="1:13" ht="18" customHeight="1" x14ac:dyDescent="0.25">
      <c r="A154" s="188"/>
      <c r="B154" s="221"/>
      <c r="C154" s="221"/>
      <c r="D154" s="222"/>
      <c r="E154" s="211"/>
      <c r="F154" s="214"/>
      <c r="G154" s="216"/>
      <c r="H154" s="221"/>
      <c r="I154" s="221"/>
      <c r="J154" s="222"/>
      <c r="K154" s="211"/>
      <c r="L154" s="214"/>
      <c r="M154" s="188"/>
    </row>
    <row r="155" spans="1:13" ht="18" customHeight="1" x14ac:dyDescent="0.25">
      <c r="A155" s="188"/>
      <c r="B155" s="221"/>
      <c r="C155" s="221"/>
      <c r="D155" s="222"/>
      <c r="E155" s="211"/>
      <c r="F155" s="214"/>
      <c r="G155" s="216"/>
      <c r="H155" s="221"/>
      <c r="I155" s="221"/>
      <c r="J155" s="222"/>
      <c r="K155" s="211"/>
      <c r="L155" s="214"/>
      <c r="M155" s="188"/>
    </row>
    <row r="156" spans="1:13" ht="18" customHeight="1" x14ac:dyDescent="0.25">
      <c r="A156" s="188"/>
      <c r="B156" s="221"/>
      <c r="C156" s="221"/>
      <c r="D156" s="222"/>
      <c r="E156" s="211"/>
      <c r="F156" s="214"/>
      <c r="G156" s="216"/>
      <c r="H156" s="221"/>
      <c r="I156" s="221"/>
      <c r="J156" s="222"/>
      <c r="K156" s="211"/>
      <c r="L156" s="214"/>
      <c r="M156" s="188"/>
    </row>
    <row r="157" spans="1:13" ht="18" customHeight="1" x14ac:dyDescent="0.25">
      <c r="A157" s="188"/>
      <c r="B157" s="221"/>
      <c r="C157" s="221"/>
      <c r="D157" s="222"/>
      <c r="E157" s="211"/>
      <c r="F157" s="214"/>
      <c r="G157" s="216"/>
      <c r="H157" s="221"/>
      <c r="I157" s="221"/>
      <c r="J157" s="222"/>
      <c r="K157" s="211"/>
      <c r="L157" s="214"/>
      <c r="M157" s="188"/>
    </row>
    <row r="158" spans="1:13" ht="18" customHeight="1" x14ac:dyDescent="0.25">
      <c r="A158" s="188"/>
      <c r="B158" s="221"/>
      <c r="C158" s="221"/>
      <c r="D158" s="222"/>
      <c r="E158" s="211"/>
      <c r="F158" s="214"/>
      <c r="G158" s="216"/>
      <c r="H158" s="221"/>
      <c r="I158" s="221"/>
      <c r="J158" s="222"/>
      <c r="K158" s="211"/>
      <c r="L158" s="214"/>
      <c r="M158" s="188"/>
    </row>
    <row r="159" spans="1:13" ht="18" customHeight="1" x14ac:dyDescent="0.25">
      <c r="A159" s="188"/>
      <c r="B159" s="221"/>
      <c r="C159" s="221"/>
      <c r="D159" s="222"/>
      <c r="E159" s="211"/>
      <c r="F159" s="214"/>
      <c r="G159" s="216"/>
      <c r="H159" s="221"/>
      <c r="I159" s="221"/>
      <c r="J159" s="222"/>
      <c r="K159" s="211"/>
      <c r="L159" s="214"/>
      <c r="M159" s="188"/>
    </row>
    <row r="160" spans="1:13" ht="18" customHeight="1" x14ac:dyDescent="0.25">
      <c r="A160" s="188"/>
      <c r="B160" s="221"/>
      <c r="C160" s="221"/>
      <c r="D160" s="222"/>
      <c r="E160" s="211"/>
      <c r="F160" s="214"/>
      <c r="G160" s="216"/>
      <c r="H160" s="221"/>
      <c r="I160" s="221"/>
      <c r="J160" s="222"/>
      <c r="K160" s="211"/>
      <c r="L160" s="214"/>
      <c r="M160" s="188"/>
    </row>
    <row r="161" spans="1:13" ht="18" customHeight="1" x14ac:dyDescent="0.25">
      <c r="A161" s="188"/>
      <c r="B161" s="221"/>
      <c r="C161" s="221"/>
      <c r="D161" s="222"/>
      <c r="E161" s="211"/>
      <c r="F161" s="214"/>
      <c r="G161" s="216"/>
      <c r="H161" s="221"/>
      <c r="I161" s="221"/>
      <c r="J161" s="222"/>
      <c r="K161" s="211"/>
      <c r="L161" s="214"/>
      <c r="M161" s="188"/>
    </row>
    <row r="162" spans="1:13" ht="18" customHeight="1" x14ac:dyDescent="0.25">
      <c r="A162" s="188"/>
      <c r="B162" s="221"/>
      <c r="C162" s="221"/>
      <c r="D162" s="222"/>
      <c r="E162" s="211"/>
      <c r="F162" s="214"/>
      <c r="G162" s="216"/>
      <c r="H162" s="221"/>
      <c r="I162" s="221"/>
      <c r="J162" s="222"/>
      <c r="K162" s="211"/>
      <c r="L162" s="214"/>
      <c r="M162" s="188"/>
    </row>
    <row r="163" spans="1:13" ht="18" customHeight="1" x14ac:dyDescent="0.25">
      <c r="A163" s="188"/>
      <c r="B163" s="221"/>
      <c r="C163" s="221"/>
      <c r="D163" s="222"/>
      <c r="E163" s="211"/>
      <c r="F163" s="214"/>
      <c r="G163" s="216"/>
      <c r="H163" s="221"/>
      <c r="I163" s="221"/>
      <c r="J163" s="222"/>
      <c r="K163" s="211"/>
      <c r="L163" s="214"/>
      <c r="M163" s="188"/>
    </row>
    <row r="164" spans="1:13" ht="18" customHeight="1" x14ac:dyDescent="0.25">
      <c r="A164" s="188"/>
      <c r="B164" s="221"/>
      <c r="C164" s="221"/>
      <c r="D164" s="222"/>
      <c r="E164" s="211"/>
      <c r="F164" s="214"/>
      <c r="G164" s="216"/>
      <c r="H164" s="221"/>
      <c r="I164" s="221"/>
      <c r="J164" s="222"/>
      <c r="K164" s="211"/>
      <c r="L164" s="214"/>
      <c r="M164" s="188"/>
    </row>
    <row r="165" spans="1:13" ht="18" customHeight="1" x14ac:dyDescent="0.25">
      <c r="A165" s="188"/>
      <c r="B165" s="221"/>
      <c r="C165" s="221"/>
      <c r="D165" s="222"/>
      <c r="E165" s="211"/>
      <c r="F165" s="214"/>
      <c r="G165" s="216"/>
      <c r="H165" s="221"/>
      <c r="I165" s="221"/>
      <c r="J165" s="222"/>
      <c r="K165" s="211"/>
      <c r="L165" s="214"/>
      <c r="M165" s="188"/>
    </row>
    <row r="166" spans="1:13" ht="18" customHeight="1" x14ac:dyDescent="0.25">
      <c r="A166" s="188"/>
      <c r="B166" s="221"/>
      <c r="C166" s="221"/>
      <c r="D166" s="222"/>
      <c r="E166" s="211"/>
      <c r="F166" s="214"/>
      <c r="G166" s="216"/>
      <c r="H166" s="221"/>
      <c r="I166" s="221"/>
      <c r="J166" s="222"/>
      <c r="K166" s="211"/>
      <c r="L166" s="214"/>
      <c r="M166" s="188"/>
    </row>
    <row r="167" spans="1:13" ht="18" customHeight="1" x14ac:dyDescent="0.25">
      <c r="A167" s="188"/>
      <c r="B167" s="221"/>
      <c r="C167" s="221"/>
      <c r="D167" s="222"/>
      <c r="E167" s="211"/>
      <c r="F167" s="214"/>
      <c r="G167" s="216"/>
      <c r="H167" s="221"/>
      <c r="I167" s="221"/>
      <c r="J167" s="222"/>
      <c r="K167" s="211"/>
      <c r="L167" s="214"/>
      <c r="M167" s="188"/>
    </row>
    <row r="168" spans="1:13" ht="18" customHeight="1" x14ac:dyDescent="0.25">
      <c r="A168" s="188"/>
      <c r="B168" s="221"/>
      <c r="C168" s="221"/>
      <c r="D168" s="222"/>
      <c r="E168" s="211"/>
      <c r="F168" s="214"/>
      <c r="G168" s="216"/>
      <c r="H168" s="221"/>
      <c r="I168" s="221"/>
      <c r="J168" s="222"/>
      <c r="K168" s="211"/>
      <c r="L168" s="214"/>
      <c r="M168" s="188"/>
    </row>
    <row r="169" spans="1:13" ht="18" customHeight="1" x14ac:dyDescent="0.25">
      <c r="A169" s="188"/>
      <c r="B169" s="221"/>
      <c r="C169" s="221"/>
      <c r="D169" s="222"/>
      <c r="E169" s="211"/>
      <c r="F169" s="214"/>
      <c r="G169" s="216"/>
      <c r="H169" s="221"/>
      <c r="I169" s="221"/>
      <c r="J169" s="222"/>
      <c r="K169" s="211"/>
      <c r="L169" s="214"/>
      <c r="M169" s="188"/>
    </row>
    <row r="170" spans="1:13" ht="18" customHeight="1" x14ac:dyDescent="0.25">
      <c r="A170" s="188"/>
      <c r="B170" s="221"/>
      <c r="C170" s="221"/>
      <c r="D170" s="222"/>
      <c r="E170" s="211"/>
      <c r="F170" s="214"/>
      <c r="G170" s="216"/>
      <c r="H170" s="221"/>
      <c r="I170" s="221"/>
      <c r="J170" s="222"/>
      <c r="K170" s="211"/>
      <c r="L170" s="214"/>
      <c r="M170" s="188"/>
    </row>
    <row r="171" spans="1:13" ht="18" customHeight="1" x14ac:dyDescent="0.25">
      <c r="A171" s="188"/>
      <c r="B171" s="221"/>
      <c r="C171" s="221"/>
      <c r="D171" s="222"/>
      <c r="E171" s="211"/>
      <c r="F171" s="214"/>
      <c r="G171" s="216"/>
      <c r="H171" s="221"/>
      <c r="I171" s="221"/>
      <c r="J171" s="222"/>
      <c r="K171" s="211"/>
      <c r="L171" s="214"/>
      <c r="M171" s="188"/>
    </row>
    <row r="172" spans="1:13" ht="18" customHeight="1" x14ac:dyDescent="0.25">
      <c r="A172" s="188"/>
      <c r="B172" s="221"/>
      <c r="C172" s="221"/>
      <c r="D172" s="222"/>
      <c r="E172" s="211"/>
      <c r="F172" s="214"/>
      <c r="G172" s="216"/>
      <c r="H172" s="221"/>
      <c r="I172" s="221"/>
      <c r="J172" s="222"/>
      <c r="K172" s="211"/>
      <c r="L172" s="214"/>
      <c r="M172" s="188"/>
    </row>
    <row r="173" spans="1:13" ht="18" customHeight="1" x14ac:dyDescent="0.25">
      <c r="A173" s="188"/>
      <c r="B173" s="221"/>
      <c r="C173" s="221"/>
      <c r="D173" s="222"/>
      <c r="E173" s="211"/>
      <c r="F173" s="214"/>
      <c r="G173" s="216"/>
      <c r="H173" s="221"/>
      <c r="I173" s="221"/>
      <c r="J173" s="222"/>
      <c r="K173" s="211"/>
      <c r="L173" s="214"/>
      <c r="M173" s="188"/>
    </row>
    <row r="174" spans="1:13" ht="18" customHeight="1" x14ac:dyDescent="0.25">
      <c r="A174" s="188"/>
      <c r="B174" s="221"/>
      <c r="C174" s="221"/>
      <c r="D174" s="222"/>
      <c r="E174" s="211"/>
      <c r="F174" s="214"/>
      <c r="G174" s="216"/>
      <c r="H174" s="221"/>
      <c r="I174" s="221"/>
      <c r="J174" s="222"/>
      <c r="K174" s="211"/>
      <c r="L174" s="214"/>
      <c r="M174" s="188"/>
    </row>
    <row r="175" spans="1:13" ht="18" customHeight="1" x14ac:dyDescent="0.25">
      <c r="A175" s="188"/>
      <c r="B175" s="221"/>
      <c r="C175" s="221"/>
      <c r="D175" s="222"/>
      <c r="E175" s="211"/>
      <c r="F175" s="214"/>
      <c r="G175" s="216"/>
      <c r="H175" s="221"/>
      <c r="I175" s="221"/>
      <c r="J175" s="222"/>
      <c r="K175" s="211"/>
      <c r="L175" s="214"/>
      <c r="M175" s="188"/>
    </row>
    <row r="176" spans="1:13" ht="18" customHeight="1" x14ac:dyDescent="0.25">
      <c r="A176" s="188"/>
      <c r="B176" s="221"/>
      <c r="C176" s="221"/>
      <c r="D176" s="222"/>
      <c r="E176" s="211"/>
      <c r="F176" s="214"/>
      <c r="G176" s="216"/>
      <c r="H176" s="221"/>
      <c r="I176" s="221"/>
      <c r="J176" s="222"/>
      <c r="K176" s="211"/>
      <c r="L176" s="214"/>
      <c r="M176" s="188"/>
    </row>
    <row r="177" spans="1:13" ht="18" customHeight="1" x14ac:dyDescent="0.25">
      <c r="A177" s="188"/>
      <c r="B177" s="221"/>
      <c r="C177" s="221"/>
      <c r="D177" s="222"/>
      <c r="E177" s="211"/>
      <c r="F177" s="214"/>
      <c r="G177" s="216"/>
      <c r="H177" s="221"/>
      <c r="I177" s="221"/>
      <c r="J177" s="222"/>
      <c r="K177" s="211"/>
      <c r="L177" s="214"/>
      <c r="M177" s="188"/>
    </row>
    <row r="178" spans="1:13" ht="18" customHeight="1" x14ac:dyDescent="0.25">
      <c r="A178" s="188"/>
      <c r="B178" s="221"/>
      <c r="C178" s="221"/>
      <c r="D178" s="222"/>
      <c r="E178" s="211"/>
      <c r="F178" s="214"/>
      <c r="G178" s="216"/>
      <c r="H178" s="221"/>
      <c r="I178" s="221"/>
      <c r="J178" s="222"/>
      <c r="K178" s="211"/>
      <c r="L178" s="214"/>
      <c r="M178" s="188"/>
    </row>
    <row r="179" spans="1:13" ht="18" customHeight="1" x14ac:dyDescent="0.25">
      <c r="A179" s="188"/>
      <c r="B179" s="221"/>
      <c r="C179" s="221"/>
      <c r="D179" s="222"/>
      <c r="E179" s="211"/>
      <c r="F179" s="214"/>
      <c r="G179" s="216"/>
      <c r="H179" s="221"/>
      <c r="I179" s="221"/>
      <c r="J179" s="222"/>
      <c r="K179" s="211"/>
      <c r="L179" s="214"/>
      <c r="M179" s="188"/>
    </row>
    <row r="180" spans="1:13" ht="18" customHeight="1" x14ac:dyDescent="0.25">
      <c r="A180" s="188"/>
      <c r="B180" s="221"/>
      <c r="C180" s="221"/>
      <c r="D180" s="222"/>
      <c r="E180" s="211"/>
      <c r="F180" s="214"/>
      <c r="G180" s="216"/>
      <c r="H180" s="221"/>
      <c r="I180" s="221"/>
      <c r="J180" s="222"/>
      <c r="K180" s="211"/>
      <c r="L180" s="214"/>
      <c r="M180" s="188"/>
    </row>
    <row r="181" spans="1:13" ht="18" customHeight="1" x14ac:dyDescent="0.25">
      <c r="A181" s="188"/>
      <c r="B181" s="221"/>
      <c r="C181" s="221"/>
      <c r="D181" s="222"/>
      <c r="E181" s="211"/>
      <c r="F181" s="214"/>
      <c r="G181" s="216"/>
      <c r="H181" s="221"/>
      <c r="I181" s="221"/>
      <c r="J181" s="222"/>
      <c r="K181" s="211"/>
      <c r="L181" s="214"/>
      <c r="M181" s="188"/>
    </row>
    <row r="182" spans="1:13" ht="18" customHeight="1" x14ac:dyDescent="0.25">
      <c r="A182" s="188"/>
      <c r="B182" s="221"/>
      <c r="C182" s="221"/>
      <c r="D182" s="222"/>
      <c r="E182" s="211"/>
      <c r="F182" s="214"/>
      <c r="G182" s="216"/>
      <c r="H182" s="221"/>
      <c r="I182" s="221"/>
      <c r="J182" s="222"/>
      <c r="K182" s="211"/>
      <c r="L182" s="214"/>
      <c r="M182" s="188"/>
    </row>
    <row r="183" spans="1:13" ht="18" customHeight="1" x14ac:dyDescent="0.25">
      <c r="A183" s="188"/>
      <c r="B183" s="221"/>
      <c r="C183" s="221"/>
      <c r="D183" s="222"/>
      <c r="E183" s="211"/>
      <c r="F183" s="214"/>
      <c r="G183" s="216"/>
      <c r="H183" s="221"/>
      <c r="I183" s="221"/>
      <c r="J183" s="222"/>
      <c r="K183" s="211"/>
      <c r="L183" s="214"/>
      <c r="M183" s="188"/>
    </row>
    <row r="184" spans="1:13" ht="18" customHeight="1" x14ac:dyDescent="0.25">
      <c r="A184" s="188"/>
      <c r="B184" s="221"/>
      <c r="C184" s="221"/>
      <c r="D184" s="222"/>
      <c r="E184" s="211"/>
      <c r="F184" s="214"/>
      <c r="G184" s="216"/>
      <c r="H184" s="221"/>
      <c r="I184" s="221"/>
      <c r="J184" s="222"/>
      <c r="K184" s="211"/>
      <c r="L184" s="214"/>
      <c r="M184" s="188"/>
    </row>
    <row r="185" spans="1:13" ht="18" customHeight="1" x14ac:dyDescent="0.25">
      <c r="A185" s="188"/>
      <c r="B185" s="221"/>
      <c r="C185" s="221"/>
      <c r="D185" s="222"/>
      <c r="E185" s="211"/>
      <c r="F185" s="214"/>
      <c r="G185" s="216"/>
      <c r="H185" s="221"/>
      <c r="I185" s="221"/>
      <c r="J185" s="222"/>
      <c r="K185" s="211"/>
      <c r="L185" s="214"/>
      <c r="M185" s="188"/>
    </row>
    <row r="186" spans="1:13" ht="18" customHeight="1" x14ac:dyDescent="0.25">
      <c r="A186" s="188"/>
      <c r="B186" s="221"/>
      <c r="C186" s="221"/>
      <c r="D186" s="222"/>
      <c r="E186" s="211"/>
      <c r="F186" s="214"/>
      <c r="G186" s="216"/>
      <c r="H186" s="221"/>
      <c r="I186" s="221"/>
      <c r="J186" s="222"/>
      <c r="K186" s="211"/>
      <c r="L186" s="214"/>
      <c r="M186" s="188"/>
    </row>
    <row r="187" spans="1:13" ht="18" customHeight="1" x14ac:dyDescent="0.25">
      <c r="A187" s="188"/>
      <c r="B187" s="221"/>
      <c r="C187" s="221"/>
      <c r="D187" s="222"/>
      <c r="E187" s="211"/>
      <c r="F187" s="214"/>
      <c r="G187" s="216"/>
      <c r="H187" s="221"/>
      <c r="I187" s="221"/>
      <c r="J187" s="222"/>
      <c r="K187" s="211"/>
      <c r="L187" s="214"/>
      <c r="M187" s="188"/>
    </row>
    <row r="188" spans="1:13" ht="18" customHeight="1" x14ac:dyDescent="0.25">
      <c r="A188" s="188"/>
      <c r="B188" s="221"/>
      <c r="C188" s="221"/>
      <c r="D188" s="222"/>
      <c r="E188" s="211"/>
      <c r="F188" s="214"/>
      <c r="G188" s="216"/>
      <c r="H188" s="221"/>
      <c r="I188" s="221"/>
      <c r="J188" s="222"/>
      <c r="K188" s="211"/>
      <c r="L188" s="214"/>
      <c r="M188" s="188"/>
    </row>
    <row r="189" spans="1:13" ht="18" customHeight="1" x14ac:dyDescent="0.25">
      <c r="A189" s="188"/>
      <c r="B189" s="221"/>
      <c r="C189" s="221"/>
      <c r="D189" s="222"/>
      <c r="E189" s="211"/>
      <c r="F189" s="214"/>
      <c r="G189" s="216"/>
      <c r="H189" s="221"/>
      <c r="I189" s="221"/>
      <c r="J189" s="222"/>
      <c r="K189" s="211"/>
      <c r="L189" s="214"/>
      <c r="M189" s="188"/>
    </row>
    <row r="190" spans="1:13" ht="18" customHeight="1" x14ac:dyDescent="0.25">
      <c r="A190" s="188"/>
      <c r="B190" s="221"/>
      <c r="C190" s="221"/>
      <c r="D190" s="222"/>
      <c r="E190" s="211"/>
      <c r="F190" s="214"/>
      <c r="G190" s="216"/>
      <c r="H190" s="221"/>
      <c r="I190" s="221"/>
      <c r="J190" s="222"/>
      <c r="K190" s="211"/>
      <c r="L190" s="214"/>
      <c r="M190" s="188"/>
    </row>
    <row r="191" spans="1:13" ht="18" customHeight="1" x14ac:dyDescent="0.25">
      <c r="A191" s="188"/>
      <c r="B191" s="221"/>
      <c r="C191" s="221"/>
      <c r="D191" s="222"/>
      <c r="E191" s="211"/>
      <c r="F191" s="214"/>
      <c r="G191" s="216"/>
      <c r="H191" s="221"/>
      <c r="I191" s="221"/>
      <c r="J191" s="222"/>
      <c r="K191" s="211"/>
      <c r="L191" s="214"/>
      <c r="M191" s="188"/>
    </row>
    <row r="192" spans="1:13" ht="18" customHeight="1" x14ac:dyDescent="0.25">
      <c r="A192" s="188"/>
      <c r="B192" s="221"/>
      <c r="C192" s="221"/>
      <c r="D192" s="222"/>
      <c r="E192" s="211"/>
      <c r="F192" s="214"/>
      <c r="G192" s="216"/>
      <c r="H192" s="221"/>
      <c r="I192" s="221"/>
      <c r="J192" s="222"/>
      <c r="K192" s="211"/>
      <c r="L192" s="214"/>
      <c r="M192" s="188"/>
    </row>
    <row r="193" spans="1:13" ht="18" customHeight="1" x14ac:dyDescent="0.25">
      <c r="A193" s="188"/>
      <c r="B193" s="221"/>
      <c r="C193" s="221"/>
      <c r="D193" s="222"/>
      <c r="E193" s="211"/>
      <c r="F193" s="214"/>
      <c r="G193" s="216"/>
      <c r="H193" s="221"/>
      <c r="I193" s="221"/>
      <c r="J193" s="222"/>
      <c r="K193" s="211"/>
      <c r="L193" s="214"/>
      <c r="M193" s="188"/>
    </row>
    <row r="194" spans="1:13" ht="18" customHeight="1" x14ac:dyDescent="0.25">
      <c r="A194" s="188"/>
      <c r="B194" s="221"/>
      <c r="C194" s="221"/>
      <c r="D194" s="222"/>
      <c r="E194" s="211"/>
      <c r="F194" s="214"/>
      <c r="G194" s="216"/>
      <c r="H194" s="221"/>
      <c r="I194" s="221"/>
      <c r="J194" s="222"/>
      <c r="K194" s="211"/>
      <c r="L194" s="214"/>
      <c r="M194" s="188"/>
    </row>
    <row r="195" spans="1:13" ht="18" customHeight="1" x14ac:dyDescent="0.25">
      <c r="A195" s="188"/>
      <c r="B195" s="221"/>
      <c r="C195" s="221"/>
      <c r="D195" s="222"/>
      <c r="E195" s="211"/>
      <c r="F195" s="214"/>
      <c r="G195" s="216"/>
      <c r="H195" s="221"/>
      <c r="I195" s="221"/>
      <c r="J195" s="222"/>
      <c r="K195" s="211"/>
      <c r="L195" s="214"/>
      <c r="M195" s="188"/>
    </row>
    <row r="196" spans="1:13" ht="18" customHeight="1" x14ac:dyDescent="0.25">
      <c r="A196" s="188"/>
      <c r="B196" s="221"/>
      <c r="C196" s="221"/>
      <c r="D196" s="222"/>
      <c r="E196" s="211"/>
      <c r="F196" s="214"/>
      <c r="G196" s="216"/>
      <c r="H196" s="221"/>
      <c r="I196" s="221"/>
      <c r="J196" s="222"/>
      <c r="K196" s="211"/>
      <c r="L196" s="214"/>
      <c r="M196" s="188"/>
    </row>
    <row r="197" spans="1:13" ht="18" customHeight="1" x14ac:dyDescent="0.25">
      <c r="A197" s="188"/>
      <c r="B197" s="221"/>
      <c r="C197" s="221"/>
      <c r="D197" s="222"/>
      <c r="E197" s="211"/>
      <c r="F197" s="214"/>
      <c r="G197" s="216"/>
      <c r="H197" s="221"/>
      <c r="I197" s="221"/>
      <c r="J197" s="222"/>
      <c r="K197" s="211"/>
      <c r="L197" s="214"/>
      <c r="M197" s="188"/>
    </row>
    <row r="198" spans="1:13" ht="18" customHeight="1" x14ac:dyDescent="0.25">
      <c r="A198" s="188"/>
      <c r="B198" s="221"/>
      <c r="C198" s="221"/>
      <c r="D198" s="222"/>
      <c r="E198" s="211"/>
      <c r="F198" s="214"/>
      <c r="G198" s="216"/>
      <c r="H198" s="221"/>
      <c r="I198" s="221"/>
      <c r="J198" s="222"/>
      <c r="K198" s="211"/>
      <c r="L198" s="214"/>
      <c r="M198" s="188"/>
    </row>
    <row r="199" spans="1:13" ht="18" customHeight="1" x14ac:dyDescent="0.25">
      <c r="A199" s="188"/>
      <c r="B199" s="221"/>
      <c r="C199" s="221"/>
      <c r="D199" s="222"/>
      <c r="E199" s="211"/>
      <c r="F199" s="214"/>
      <c r="G199" s="216"/>
      <c r="H199" s="221"/>
      <c r="I199" s="221"/>
      <c r="J199" s="222"/>
      <c r="K199" s="211"/>
      <c r="L199" s="214"/>
      <c r="M199" s="188"/>
    </row>
    <row r="200" spans="1:13" ht="18" customHeight="1" x14ac:dyDescent="0.25">
      <c r="A200" s="188"/>
      <c r="B200" s="221"/>
      <c r="C200" s="221"/>
      <c r="D200" s="222"/>
      <c r="E200" s="211"/>
      <c r="F200" s="214"/>
      <c r="G200" s="216"/>
      <c r="H200" s="221"/>
      <c r="I200" s="221"/>
      <c r="J200" s="222"/>
      <c r="K200" s="211"/>
      <c r="L200" s="214"/>
      <c r="M200" s="188"/>
    </row>
    <row r="201" spans="1:13" ht="18" customHeight="1" x14ac:dyDescent="0.25">
      <c r="A201" s="188"/>
      <c r="B201" s="221"/>
      <c r="C201" s="221"/>
      <c r="D201" s="222"/>
      <c r="E201" s="211"/>
      <c r="F201" s="214"/>
      <c r="G201" s="216"/>
      <c r="H201" s="221"/>
      <c r="I201" s="221"/>
      <c r="J201" s="222"/>
      <c r="K201" s="211"/>
      <c r="L201" s="214"/>
      <c r="M201" s="188"/>
    </row>
    <row r="202" spans="1:13" ht="18" customHeight="1" x14ac:dyDescent="0.25">
      <c r="A202" s="188"/>
      <c r="B202" s="221"/>
      <c r="C202" s="221"/>
      <c r="D202" s="222"/>
      <c r="E202" s="211"/>
      <c r="F202" s="214"/>
      <c r="G202" s="216"/>
      <c r="H202" s="221"/>
      <c r="I202" s="221"/>
      <c r="J202" s="222"/>
      <c r="K202" s="211"/>
      <c r="L202" s="214"/>
      <c r="M202" s="188"/>
    </row>
    <row r="203" spans="1:13" ht="18" customHeight="1" x14ac:dyDescent="0.25">
      <c r="A203" s="188"/>
      <c r="B203" s="221"/>
      <c r="C203" s="221"/>
      <c r="D203" s="222"/>
      <c r="E203" s="211"/>
      <c r="F203" s="214"/>
      <c r="G203" s="216"/>
      <c r="H203" s="221"/>
      <c r="I203" s="221"/>
      <c r="J203" s="222"/>
      <c r="K203" s="211"/>
      <c r="L203" s="214"/>
      <c r="M203" s="188"/>
    </row>
    <row r="204" spans="1:13" ht="18" customHeight="1" x14ac:dyDescent="0.25">
      <c r="A204" s="188"/>
      <c r="B204" s="221"/>
      <c r="C204" s="221"/>
      <c r="D204" s="222"/>
      <c r="E204" s="211"/>
      <c r="F204" s="214"/>
      <c r="G204" s="216"/>
      <c r="H204" s="221"/>
      <c r="I204" s="221"/>
      <c r="J204" s="222"/>
      <c r="K204" s="211"/>
      <c r="L204" s="214"/>
      <c r="M204" s="188"/>
    </row>
    <row r="205" spans="1:13" ht="18" customHeight="1" x14ac:dyDescent="0.25">
      <c r="A205" s="188"/>
      <c r="B205" s="221"/>
      <c r="C205" s="221"/>
      <c r="D205" s="222"/>
      <c r="E205" s="211"/>
      <c r="F205" s="214"/>
      <c r="G205" s="216"/>
      <c r="H205" s="221"/>
      <c r="I205" s="221"/>
      <c r="J205" s="222"/>
      <c r="K205" s="211"/>
      <c r="L205" s="214"/>
      <c r="M205" s="188"/>
    </row>
    <row r="206" spans="1:13" ht="18" customHeight="1" x14ac:dyDescent="0.25">
      <c r="A206" s="188"/>
      <c r="B206" s="221"/>
      <c r="C206" s="221"/>
      <c r="D206" s="222"/>
      <c r="E206" s="211"/>
      <c r="F206" s="214"/>
      <c r="G206" s="216"/>
      <c r="H206" s="221"/>
      <c r="I206" s="221"/>
      <c r="J206" s="222"/>
      <c r="K206" s="211"/>
      <c r="L206" s="214"/>
      <c r="M206" s="188"/>
    </row>
    <row r="207" spans="1:13" ht="18" customHeight="1" x14ac:dyDescent="0.25">
      <c r="A207" s="188"/>
      <c r="B207" s="221"/>
      <c r="C207" s="221"/>
      <c r="D207" s="222"/>
      <c r="E207" s="211"/>
      <c r="F207" s="214"/>
      <c r="G207" s="216"/>
      <c r="H207" s="221"/>
      <c r="I207" s="221"/>
      <c r="J207" s="222"/>
      <c r="K207" s="211"/>
      <c r="L207" s="214"/>
      <c r="M207" s="188"/>
    </row>
    <row r="208" spans="1:13" ht="18" customHeight="1" x14ac:dyDescent="0.25">
      <c r="A208" s="188"/>
      <c r="B208" s="221"/>
      <c r="C208" s="221"/>
      <c r="D208" s="222"/>
      <c r="E208" s="211"/>
      <c r="F208" s="214"/>
      <c r="G208" s="216"/>
      <c r="H208" s="221"/>
      <c r="I208" s="221"/>
      <c r="J208" s="222"/>
      <c r="K208" s="211"/>
      <c r="L208" s="214"/>
      <c r="M208" s="188"/>
    </row>
    <row r="209" spans="1:13" ht="18" customHeight="1" x14ac:dyDescent="0.25">
      <c r="A209" s="188"/>
      <c r="B209" s="221"/>
      <c r="C209" s="221"/>
      <c r="D209" s="222"/>
      <c r="E209" s="211"/>
      <c r="F209" s="214"/>
      <c r="G209" s="216"/>
      <c r="H209" s="221"/>
      <c r="I209" s="221"/>
      <c r="J209" s="222"/>
      <c r="K209" s="211"/>
      <c r="L209" s="214"/>
      <c r="M209" s="188"/>
    </row>
    <row r="210" spans="1:13" ht="18" customHeight="1" x14ac:dyDescent="0.25">
      <c r="A210" s="188"/>
      <c r="B210" s="221"/>
      <c r="C210" s="221"/>
      <c r="D210" s="222"/>
      <c r="E210" s="211"/>
      <c r="F210" s="214"/>
      <c r="G210" s="216"/>
      <c r="H210" s="221"/>
      <c r="I210" s="221"/>
      <c r="J210" s="222"/>
      <c r="K210" s="211"/>
      <c r="L210" s="214"/>
      <c r="M210" s="188"/>
    </row>
    <row r="211" spans="1:13" ht="18" customHeight="1" x14ac:dyDescent="0.25">
      <c r="A211" s="188"/>
      <c r="B211" s="221"/>
      <c r="C211" s="221"/>
      <c r="D211" s="222"/>
      <c r="E211" s="211"/>
      <c r="F211" s="214"/>
      <c r="G211" s="216"/>
      <c r="H211" s="221"/>
      <c r="I211" s="221"/>
      <c r="J211" s="222"/>
      <c r="K211" s="211"/>
      <c r="L211" s="214"/>
      <c r="M211" s="188"/>
    </row>
    <row r="212" spans="1:13" ht="18" customHeight="1" x14ac:dyDescent="0.25">
      <c r="A212" s="188"/>
      <c r="B212" s="221"/>
      <c r="C212" s="221"/>
      <c r="D212" s="222"/>
      <c r="E212" s="211"/>
      <c r="F212" s="214"/>
      <c r="G212" s="216"/>
      <c r="H212" s="221"/>
      <c r="I212" s="221"/>
      <c r="J212" s="222"/>
      <c r="K212" s="211"/>
      <c r="L212" s="214"/>
      <c r="M212" s="188"/>
    </row>
    <row r="213" spans="1:13" ht="18" customHeight="1" x14ac:dyDescent="0.25">
      <c r="A213" s="188"/>
      <c r="B213" s="221"/>
      <c r="C213" s="221"/>
      <c r="D213" s="222"/>
      <c r="E213" s="211"/>
      <c r="F213" s="214"/>
      <c r="G213" s="216"/>
      <c r="H213" s="221"/>
      <c r="I213" s="221"/>
      <c r="J213" s="222"/>
      <c r="K213" s="211"/>
      <c r="L213" s="214"/>
      <c r="M213" s="188"/>
    </row>
    <row r="214" spans="1:13" ht="18" customHeight="1" x14ac:dyDescent="0.25">
      <c r="A214" s="188"/>
      <c r="B214" s="221"/>
      <c r="C214" s="221"/>
      <c r="D214" s="222"/>
      <c r="E214" s="211"/>
      <c r="F214" s="214"/>
      <c r="G214" s="216"/>
      <c r="H214" s="221"/>
      <c r="I214" s="221"/>
      <c r="J214" s="222"/>
      <c r="K214" s="211"/>
      <c r="L214" s="214"/>
      <c r="M214" s="188"/>
    </row>
    <row r="215" spans="1:13" ht="18" customHeight="1" x14ac:dyDescent="0.25">
      <c r="A215" s="188"/>
      <c r="B215" s="221"/>
      <c r="C215" s="221"/>
      <c r="D215" s="222"/>
      <c r="E215" s="211"/>
      <c r="F215" s="214"/>
      <c r="G215" s="216"/>
      <c r="H215" s="221"/>
      <c r="I215" s="221"/>
      <c r="J215" s="222"/>
      <c r="K215" s="211"/>
      <c r="L215" s="214"/>
      <c r="M215" s="188"/>
    </row>
    <row r="216" spans="1:13" ht="18" customHeight="1" x14ac:dyDescent="0.25">
      <c r="A216" s="188"/>
      <c r="B216" s="221"/>
      <c r="C216" s="221"/>
      <c r="D216" s="222"/>
      <c r="E216" s="211"/>
      <c r="F216" s="214"/>
      <c r="G216" s="216"/>
      <c r="H216" s="221"/>
      <c r="I216" s="221"/>
      <c r="J216" s="222"/>
      <c r="K216" s="211"/>
      <c r="L216" s="214"/>
      <c r="M216" s="188"/>
    </row>
    <row r="217" spans="1:13" ht="18" customHeight="1" x14ac:dyDescent="0.25">
      <c r="A217" s="188"/>
      <c r="B217" s="221"/>
      <c r="C217" s="221"/>
      <c r="D217" s="222"/>
      <c r="E217" s="211"/>
      <c r="F217" s="214"/>
      <c r="G217" s="216"/>
      <c r="H217" s="221"/>
      <c r="I217" s="221"/>
      <c r="J217" s="222"/>
      <c r="K217" s="211"/>
      <c r="L217" s="214"/>
      <c r="M217" s="188"/>
    </row>
    <row r="218" spans="1:13" ht="18" customHeight="1" x14ac:dyDescent="0.25">
      <c r="A218" s="188"/>
      <c r="B218" s="221"/>
      <c r="C218" s="221"/>
      <c r="D218" s="222"/>
      <c r="E218" s="211"/>
      <c r="F218" s="214"/>
      <c r="G218" s="216"/>
      <c r="H218" s="221"/>
      <c r="I218" s="221"/>
      <c r="J218" s="222"/>
      <c r="K218" s="211"/>
      <c r="L218" s="214"/>
      <c r="M218" s="188"/>
    </row>
    <row r="219" spans="1:13" ht="18" customHeight="1" x14ac:dyDescent="0.25">
      <c r="A219" s="188"/>
      <c r="B219" s="221"/>
      <c r="C219" s="221"/>
      <c r="D219" s="222"/>
      <c r="E219" s="211"/>
      <c r="F219" s="214"/>
      <c r="G219" s="216"/>
      <c r="H219" s="221"/>
      <c r="I219" s="221"/>
      <c r="J219" s="222"/>
      <c r="K219" s="211"/>
      <c r="L219" s="214"/>
      <c r="M219" s="188"/>
    </row>
    <row r="220" spans="1:13" ht="18" customHeight="1" x14ac:dyDescent="0.25">
      <c r="A220" s="188"/>
      <c r="B220" s="221"/>
      <c r="C220" s="221"/>
      <c r="D220" s="222"/>
      <c r="E220" s="211"/>
      <c r="F220" s="214"/>
      <c r="G220" s="216"/>
      <c r="H220" s="221"/>
      <c r="I220" s="221"/>
      <c r="J220" s="222"/>
      <c r="K220" s="211"/>
      <c r="L220" s="214"/>
      <c r="M220" s="188"/>
    </row>
    <row r="221" spans="1:13" ht="18" customHeight="1" x14ac:dyDescent="0.25">
      <c r="A221" s="188"/>
      <c r="B221" s="221"/>
      <c r="C221" s="221"/>
      <c r="D221" s="222"/>
      <c r="E221" s="211"/>
      <c r="F221" s="214"/>
      <c r="G221" s="216"/>
      <c r="H221" s="221"/>
      <c r="I221" s="221"/>
      <c r="J221" s="222"/>
      <c r="K221" s="211"/>
      <c r="L221" s="214"/>
      <c r="M221" s="188"/>
    </row>
    <row r="222" spans="1:13" ht="18" customHeight="1" x14ac:dyDescent="0.25">
      <c r="A222" s="188"/>
      <c r="B222" s="221"/>
      <c r="C222" s="221"/>
      <c r="D222" s="222"/>
      <c r="E222" s="211"/>
      <c r="F222" s="214"/>
      <c r="G222" s="216"/>
      <c r="H222" s="221"/>
      <c r="I222" s="221"/>
      <c r="J222" s="222"/>
      <c r="K222" s="211"/>
      <c r="L222" s="214"/>
      <c r="M222" s="188"/>
    </row>
    <row r="223" spans="1:13" ht="18" customHeight="1" x14ac:dyDescent="0.25">
      <c r="A223" s="188"/>
      <c r="B223" s="221"/>
      <c r="C223" s="221"/>
      <c r="D223" s="222"/>
      <c r="E223" s="211"/>
      <c r="F223" s="214"/>
      <c r="G223" s="216"/>
      <c r="H223" s="221"/>
      <c r="I223" s="221"/>
      <c r="J223" s="222"/>
      <c r="K223" s="211"/>
      <c r="L223" s="214"/>
      <c r="M223" s="188"/>
    </row>
    <row r="224" spans="1:13" ht="18" customHeight="1" x14ac:dyDescent="0.25">
      <c r="A224" s="188"/>
      <c r="B224" s="221"/>
      <c r="C224" s="221"/>
      <c r="D224" s="222"/>
      <c r="E224" s="211"/>
      <c r="F224" s="214"/>
      <c r="G224" s="216"/>
      <c r="H224" s="221"/>
      <c r="I224" s="221"/>
      <c r="J224" s="222"/>
      <c r="K224" s="211"/>
      <c r="L224" s="214"/>
      <c r="M224" s="188"/>
    </row>
    <row r="225" spans="1:13" ht="18" customHeight="1" x14ac:dyDescent="0.25">
      <c r="A225" s="188"/>
      <c r="B225" s="221"/>
      <c r="C225" s="221"/>
      <c r="D225" s="222"/>
      <c r="E225" s="211"/>
      <c r="F225" s="214"/>
      <c r="G225" s="216"/>
      <c r="H225" s="221"/>
      <c r="I225" s="221"/>
      <c r="J225" s="222"/>
      <c r="K225" s="211"/>
      <c r="L225" s="214"/>
      <c r="M225" s="188"/>
    </row>
    <row r="226" spans="1:13" ht="18" customHeight="1" x14ac:dyDescent="0.25">
      <c r="A226" s="188"/>
      <c r="B226" s="221"/>
      <c r="C226" s="221"/>
      <c r="D226" s="222"/>
      <c r="E226" s="211"/>
      <c r="F226" s="214"/>
      <c r="G226" s="216"/>
      <c r="H226" s="221"/>
      <c r="I226" s="221"/>
      <c r="J226" s="222"/>
      <c r="K226" s="211"/>
      <c r="L226" s="214"/>
      <c r="M226" s="188"/>
    </row>
    <row r="227" spans="1:13" ht="18" customHeight="1" x14ac:dyDescent="0.25">
      <c r="A227" s="188"/>
      <c r="B227" s="221"/>
      <c r="C227" s="221"/>
      <c r="D227" s="222"/>
      <c r="E227" s="211"/>
      <c r="F227" s="214"/>
      <c r="G227" s="216"/>
      <c r="H227" s="221"/>
      <c r="I227" s="221"/>
      <c r="J227" s="222"/>
      <c r="K227" s="211"/>
      <c r="L227" s="214"/>
      <c r="M227" s="188"/>
    </row>
    <row r="228" spans="1:13" ht="18" customHeight="1" x14ac:dyDescent="0.25">
      <c r="A228" s="188"/>
      <c r="B228" s="221"/>
      <c r="C228" s="221"/>
      <c r="D228" s="222"/>
      <c r="E228" s="211"/>
      <c r="F228" s="214"/>
      <c r="G228" s="216"/>
      <c r="H228" s="221"/>
      <c r="I228" s="221"/>
      <c r="J228" s="222"/>
      <c r="K228" s="211"/>
      <c r="L228" s="214"/>
      <c r="M228" s="188"/>
    </row>
    <row r="229" spans="1:13" ht="18" customHeight="1" x14ac:dyDescent="0.25">
      <c r="A229" s="188"/>
      <c r="B229" s="221"/>
      <c r="C229" s="221"/>
      <c r="D229" s="222"/>
      <c r="E229" s="211"/>
      <c r="F229" s="214"/>
      <c r="G229" s="216"/>
      <c r="H229" s="221"/>
      <c r="I229" s="221"/>
      <c r="J229" s="222"/>
      <c r="K229" s="211"/>
      <c r="L229" s="214"/>
      <c r="M229" s="188"/>
    </row>
    <row r="230" spans="1:13" ht="18" customHeight="1" x14ac:dyDescent="0.25">
      <c r="A230" s="188"/>
      <c r="B230" s="221"/>
      <c r="C230" s="221"/>
      <c r="D230" s="222"/>
      <c r="E230" s="211"/>
      <c r="F230" s="214"/>
      <c r="G230" s="216"/>
      <c r="H230" s="221"/>
      <c r="I230" s="221"/>
      <c r="J230" s="222"/>
      <c r="K230" s="211"/>
      <c r="L230" s="214"/>
      <c r="M230" s="188"/>
    </row>
    <row r="231" spans="1:13" ht="18" customHeight="1" x14ac:dyDescent="0.25">
      <c r="A231" s="188"/>
      <c r="B231" s="221"/>
      <c r="C231" s="221"/>
      <c r="D231" s="222"/>
      <c r="E231" s="211"/>
      <c r="F231" s="214"/>
      <c r="G231" s="216"/>
      <c r="H231" s="221"/>
      <c r="I231" s="221"/>
      <c r="J231" s="222"/>
      <c r="K231" s="211"/>
      <c r="L231" s="214"/>
      <c r="M231" s="188"/>
    </row>
    <row r="232" spans="1:13" ht="18" customHeight="1" x14ac:dyDescent="0.25">
      <c r="A232" s="188"/>
      <c r="B232" s="221"/>
      <c r="C232" s="221"/>
      <c r="D232" s="222"/>
      <c r="E232" s="211"/>
      <c r="F232" s="214"/>
      <c r="G232" s="216"/>
      <c r="H232" s="221"/>
      <c r="I232" s="221"/>
      <c r="J232" s="222"/>
      <c r="K232" s="211"/>
      <c r="L232" s="214"/>
      <c r="M232" s="188"/>
    </row>
    <row r="233" spans="1:13" ht="18" customHeight="1" x14ac:dyDescent="0.25">
      <c r="A233" s="188"/>
      <c r="B233" s="221"/>
      <c r="C233" s="221"/>
      <c r="D233" s="222"/>
      <c r="E233" s="211"/>
      <c r="F233" s="214"/>
      <c r="G233" s="216"/>
      <c r="H233" s="221"/>
      <c r="I233" s="221"/>
      <c r="J233" s="222"/>
      <c r="K233" s="211"/>
      <c r="L233" s="214"/>
      <c r="M233" s="188"/>
    </row>
    <row r="234" spans="1:13" ht="18" customHeight="1" x14ac:dyDescent="0.25">
      <c r="A234" s="188"/>
      <c r="B234" s="221"/>
      <c r="C234" s="221"/>
      <c r="D234" s="222"/>
      <c r="E234" s="211"/>
      <c r="F234" s="214"/>
      <c r="G234" s="216"/>
      <c r="H234" s="221"/>
      <c r="I234" s="221"/>
      <c r="J234" s="222"/>
      <c r="K234" s="211"/>
      <c r="L234" s="214"/>
      <c r="M234" s="188"/>
    </row>
    <row r="235" spans="1:13" ht="18" customHeight="1" x14ac:dyDescent="0.25">
      <c r="A235" s="188"/>
      <c r="B235" s="221"/>
      <c r="C235" s="221"/>
      <c r="D235" s="222"/>
      <c r="E235" s="211"/>
      <c r="F235" s="214"/>
      <c r="G235" s="216"/>
      <c r="H235" s="221"/>
      <c r="I235" s="221"/>
      <c r="J235" s="222"/>
      <c r="K235" s="211"/>
      <c r="L235" s="214"/>
      <c r="M235" s="188"/>
    </row>
    <row r="236" spans="1:13" ht="18" customHeight="1" x14ac:dyDescent="0.25">
      <c r="A236" s="188"/>
      <c r="B236" s="221"/>
      <c r="C236" s="221"/>
      <c r="D236" s="222"/>
      <c r="E236" s="211"/>
      <c r="F236" s="214"/>
      <c r="G236" s="216"/>
      <c r="H236" s="221"/>
      <c r="I236" s="221"/>
      <c r="J236" s="222"/>
      <c r="K236" s="211"/>
      <c r="L236" s="214"/>
      <c r="M236" s="188"/>
    </row>
    <row r="237" spans="1:13" ht="18" customHeight="1" x14ac:dyDescent="0.25">
      <c r="A237" s="188"/>
      <c r="B237" s="221"/>
      <c r="C237" s="221"/>
      <c r="D237" s="222"/>
      <c r="E237" s="211"/>
      <c r="F237" s="214"/>
      <c r="G237" s="216"/>
      <c r="H237" s="221"/>
      <c r="I237" s="221"/>
      <c r="J237" s="222"/>
      <c r="K237" s="211"/>
      <c r="L237" s="214"/>
      <c r="M237" s="188"/>
    </row>
    <row r="238" spans="1:13" ht="18" customHeight="1" x14ac:dyDescent="0.25">
      <c r="A238" s="188"/>
      <c r="B238" s="221"/>
      <c r="C238" s="221"/>
      <c r="D238" s="222"/>
      <c r="E238" s="211"/>
      <c r="F238" s="214"/>
      <c r="G238" s="216"/>
      <c r="H238" s="221"/>
      <c r="I238" s="221"/>
      <c r="J238" s="222"/>
      <c r="K238" s="211"/>
      <c r="L238" s="214"/>
      <c r="M238" s="188"/>
    </row>
    <row r="239" spans="1:13" ht="18" customHeight="1" x14ac:dyDescent="0.25">
      <c r="A239" s="188"/>
      <c r="B239" s="221"/>
      <c r="C239" s="221"/>
      <c r="D239" s="222"/>
      <c r="E239" s="211"/>
      <c r="F239" s="214"/>
      <c r="G239" s="216"/>
      <c r="H239" s="221"/>
      <c r="I239" s="221"/>
      <c r="J239" s="222"/>
      <c r="K239" s="211"/>
      <c r="L239" s="214"/>
      <c r="M239" s="188"/>
    </row>
    <row r="240" spans="1:13" ht="18" customHeight="1" x14ac:dyDescent="0.25">
      <c r="A240" s="188"/>
      <c r="B240" s="221"/>
      <c r="C240" s="221"/>
      <c r="D240" s="222"/>
      <c r="E240" s="211"/>
      <c r="F240" s="214"/>
      <c r="G240" s="216"/>
      <c r="H240" s="221"/>
      <c r="I240" s="221"/>
      <c r="J240" s="222"/>
      <c r="K240" s="211"/>
      <c r="L240" s="214"/>
      <c r="M240" s="188"/>
    </row>
    <row r="241" spans="1:13" ht="18" customHeight="1" x14ac:dyDescent="0.25">
      <c r="A241" s="188"/>
      <c r="B241" s="221"/>
      <c r="C241" s="221"/>
      <c r="D241" s="222"/>
      <c r="E241" s="211"/>
      <c r="F241" s="214"/>
      <c r="G241" s="216"/>
      <c r="H241" s="221"/>
      <c r="I241" s="221"/>
      <c r="J241" s="222"/>
      <c r="K241" s="211"/>
      <c r="L241" s="214"/>
      <c r="M241" s="188"/>
    </row>
    <row r="242" spans="1:13" ht="18" customHeight="1" x14ac:dyDescent="0.25">
      <c r="A242" s="188"/>
      <c r="B242" s="221"/>
      <c r="C242" s="221"/>
      <c r="D242" s="222"/>
      <c r="E242" s="211"/>
      <c r="F242" s="214"/>
      <c r="G242" s="216"/>
      <c r="H242" s="221"/>
      <c r="I242" s="221"/>
      <c r="J242" s="222"/>
      <c r="K242" s="211"/>
      <c r="L242" s="214"/>
      <c r="M242" s="188"/>
    </row>
    <row r="243" spans="1:13" ht="18" customHeight="1" x14ac:dyDescent="0.25">
      <c r="A243" s="188"/>
      <c r="B243" s="221"/>
      <c r="C243" s="221"/>
      <c r="D243" s="222"/>
      <c r="E243" s="211"/>
      <c r="F243" s="214"/>
      <c r="G243" s="216"/>
      <c r="H243" s="221"/>
      <c r="I243" s="221"/>
      <c r="J243" s="222"/>
      <c r="K243" s="211"/>
      <c r="L243" s="214"/>
      <c r="M243" s="188"/>
    </row>
    <row r="244" spans="1:13" ht="18" customHeight="1" x14ac:dyDescent="0.25">
      <c r="A244" s="188"/>
      <c r="B244" s="221"/>
      <c r="C244" s="221"/>
      <c r="D244" s="222"/>
      <c r="E244" s="211"/>
      <c r="F244" s="214"/>
      <c r="G244" s="216"/>
      <c r="H244" s="221"/>
      <c r="I244" s="221"/>
      <c r="J244" s="222"/>
      <c r="K244" s="211"/>
      <c r="L244" s="214"/>
      <c r="M244" s="188"/>
    </row>
    <row r="245" spans="1:13" ht="15.75" customHeight="1" x14ac:dyDescent="0.25"/>
    <row r="246" spans="1:13" ht="15.75" customHeight="1" x14ac:dyDescent="0.25"/>
    <row r="247" spans="1:13" ht="15.75" customHeight="1" x14ac:dyDescent="0.25"/>
    <row r="248" spans="1:13" ht="15.75" customHeight="1" x14ac:dyDescent="0.25"/>
    <row r="249" spans="1:13" ht="15.75" customHeight="1" x14ac:dyDescent="0.25"/>
    <row r="250" spans="1:13" ht="15.75" customHeight="1" x14ac:dyDescent="0.25"/>
    <row r="251" spans="1:13" ht="15.75" customHeight="1" x14ac:dyDescent="0.25"/>
    <row r="252" spans="1:13" ht="15.75" customHeight="1" x14ac:dyDescent="0.25"/>
    <row r="253" spans="1:13" ht="15.75" customHeight="1" x14ac:dyDescent="0.25"/>
    <row r="254" spans="1:13" ht="15.75" customHeight="1" x14ac:dyDescent="0.25"/>
    <row r="255" spans="1:13" ht="15.75" customHeight="1" x14ac:dyDescent="0.25"/>
    <row r="256" spans="1:1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9">
    <mergeCell ref="H41:I41"/>
    <mergeCell ref="H42:I42"/>
    <mergeCell ref="H43:I43"/>
    <mergeCell ref="H44:I44"/>
    <mergeCell ref="H30:I30"/>
    <mergeCell ref="H31:I31"/>
    <mergeCell ref="H32:I32"/>
    <mergeCell ref="H33:I33"/>
    <mergeCell ref="H34:I34"/>
    <mergeCell ref="H35:I35"/>
    <mergeCell ref="H36:I36"/>
    <mergeCell ref="B35:C35"/>
    <mergeCell ref="H37:I37"/>
    <mergeCell ref="H38:I38"/>
    <mergeCell ref="H39:I39"/>
    <mergeCell ref="H40:I40"/>
    <mergeCell ref="B30:C30"/>
    <mergeCell ref="B31:C31"/>
    <mergeCell ref="B32:C32"/>
    <mergeCell ref="B33:C33"/>
    <mergeCell ref="B34:C34"/>
    <mergeCell ref="B27:C27"/>
    <mergeCell ref="H27:I27"/>
    <mergeCell ref="B28:C28"/>
    <mergeCell ref="H28:I28"/>
    <mergeCell ref="H29:I29"/>
    <mergeCell ref="B29:C29"/>
    <mergeCell ref="D22:F22"/>
    <mergeCell ref="J22:L22"/>
    <mergeCell ref="J23:L23"/>
    <mergeCell ref="D23:F23"/>
    <mergeCell ref="B24:C24"/>
    <mergeCell ref="I16:K16"/>
    <mergeCell ref="I17:K17"/>
    <mergeCell ref="B20:F20"/>
    <mergeCell ref="D21:F21"/>
    <mergeCell ref="J21:L21"/>
    <mergeCell ref="J8:K8"/>
    <mergeCell ref="B8:E9"/>
    <mergeCell ref="D12:D15"/>
    <mergeCell ref="E12:E15"/>
    <mergeCell ref="I13:K13"/>
    <mergeCell ref="I14:K14"/>
    <mergeCell ref="I15:K15"/>
    <mergeCell ref="B2:H2"/>
    <mergeCell ref="I2:L2"/>
    <mergeCell ref="B3:G4"/>
    <mergeCell ref="I3:L3"/>
    <mergeCell ref="I4:M5"/>
    <mergeCell ref="B5:G6"/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</mergeCells>
  <conditionalFormatting sqref="B27:C1000 H27:H1000">
    <cfRule type="notContainsBlanks" dxfId="24" priority="1">
      <formula>LEN(TRIM(B27))&gt;0</formula>
    </cfRule>
  </conditionalFormatting>
  <conditionalFormatting sqref="D27:D1000">
    <cfRule type="expression" dxfId="23" priority="2">
      <formula>NOT(ISBLANK(B27))</formula>
    </cfRule>
  </conditionalFormatting>
  <conditionalFormatting sqref="F26:F1000 L26:L1000 E28:E42">
    <cfRule type="cellIs" dxfId="22" priority="4" operator="lessThan">
      <formula>0</formula>
    </cfRule>
  </conditionalFormatting>
  <conditionalFormatting sqref="F27:F1000 L27:L1000 E28:E42">
    <cfRule type="cellIs" dxfId="21" priority="5" operator="equal">
      <formula>0</formula>
    </cfRule>
  </conditionalFormatting>
  <conditionalFormatting sqref="J27:J1000">
    <cfRule type="expression" dxfId="20" priority="3">
      <formula>NOT(ISBLANK(H27))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FF"/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5.109375" customWidth="1"/>
    <col min="2" max="2" width="10.44140625" customWidth="1"/>
    <col min="3" max="3" width="10" customWidth="1"/>
    <col min="4" max="4" width="15.88671875" customWidth="1"/>
    <col min="5" max="5" width="19.44140625" customWidth="1"/>
    <col min="6" max="6" width="5.109375" customWidth="1"/>
    <col min="9" max="9" width="13.21875" customWidth="1"/>
    <col min="11" max="11" width="5.109375" customWidth="1"/>
  </cols>
  <sheetData>
    <row r="1" spans="1:11" ht="33" customHeight="1" x14ac:dyDescent="0.25">
      <c r="A1" s="223"/>
      <c r="B1" s="294" t="s">
        <v>60</v>
      </c>
      <c r="C1" s="266"/>
      <c r="D1" s="266"/>
      <c r="E1" s="266"/>
      <c r="F1" s="266"/>
      <c r="G1" s="266"/>
      <c r="H1" s="266"/>
      <c r="I1" s="266"/>
      <c r="J1" s="266"/>
      <c r="K1" s="223"/>
    </row>
    <row r="2" spans="1:11" ht="48" customHeight="1" x14ac:dyDescent="0.45">
      <c r="A2" s="224"/>
      <c r="B2" s="225" t="s">
        <v>10</v>
      </c>
      <c r="C2" s="226"/>
      <c r="D2" s="227"/>
      <c r="E2" s="227"/>
      <c r="F2" s="227"/>
      <c r="G2" s="225" t="s">
        <v>9</v>
      </c>
      <c r="H2" s="228"/>
      <c r="I2" s="224"/>
      <c r="J2" s="224"/>
      <c r="K2" s="224"/>
    </row>
    <row r="3" spans="1:11" ht="12" customHeight="1" x14ac:dyDescent="0.3">
      <c r="A3" s="13"/>
      <c r="B3" s="229"/>
      <c r="C3" s="230"/>
      <c r="D3" s="229"/>
      <c r="E3" s="229"/>
      <c r="F3" s="13"/>
      <c r="G3" s="229"/>
      <c r="H3" s="231"/>
      <c r="I3" s="229"/>
      <c r="J3" s="229"/>
      <c r="K3" s="13"/>
    </row>
    <row r="4" spans="1:11" ht="24" customHeight="1" x14ac:dyDescent="0.25">
      <c r="A4" s="19"/>
      <c r="B4" s="232" t="s">
        <v>61</v>
      </c>
      <c r="C4" s="232" t="s">
        <v>62</v>
      </c>
      <c r="D4" s="232" t="s">
        <v>63</v>
      </c>
      <c r="E4" s="232" t="s">
        <v>64</v>
      </c>
      <c r="F4" s="19"/>
      <c r="G4" s="232" t="s">
        <v>61</v>
      </c>
      <c r="H4" s="232" t="s">
        <v>62</v>
      </c>
      <c r="I4" s="232" t="s">
        <v>63</v>
      </c>
      <c r="J4" s="232" t="s">
        <v>64</v>
      </c>
      <c r="K4" s="19"/>
    </row>
    <row r="5" spans="1:11" ht="19.5" customHeight="1" x14ac:dyDescent="0.25">
      <c r="A5" s="19"/>
      <c r="B5" s="233"/>
      <c r="C5" s="238"/>
      <c r="D5" s="239"/>
      <c r="E5" s="240"/>
      <c r="F5" s="19"/>
      <c r="G5" s="233"/>
      <c r="H5" s="234"/>
      <c r="I5" s="237"/>
      <c r="J5" s="236"/>
      <c r="K5" s="19"/>
    </row>
    <row r="6" spans="1:11" ht="19.5" customHeight="1" x14ac:dyDescent="0.25">
      <c r="A6" s="19"/>
      <c r="B6" s="233"/>
      <c r="C6" s="238"/>
      <c r="D6" s="239"/>
      <c r="E6" s="240"/>
      <c r="F6" s="19"/>
      <c r="G6" s="233"/>
      <c r="H6" s="238"/>
      <c r="I6" s="237"/>
      <c r="J6" s="236"/>
      <c r="K6" s="19"/>
    </row>
    <row r="7" spans="1:11" ht="19.5" customHeight="1" x14ac:dyDescent="0.25">
      <c r="A7" s="19"/>
      <c r="B7" s="233"/>
      <c r="C7" s="238"/>
      <c r="D7" s="239"/>
      <c r="E7" s="240"/>
      <c r="F7" s="19"/>
      <c r="G7" s="233"/>
      <c r="H7" s="238"/>
      <c r="I7" s="237"/>
      <c r="J7" s="236"/>
      <c r="K7" s="19"/>
    </row>
    <row r="8" spans="1:11" ht="19.5" customHeight="1" x14ac:dyDescent="0.25">
      <c r="A8" s="19"/>
      <c r="B8" s="233"/>
      <c r="C8" s="238"/>
      <c r="D8" s="239"/>
      <c r="E8" s="240"/>
      <c r="F8" s="19"/>
      <c r="G8" s="233"/>
      <c r="H8" s="238"/>
      <c r="I8" s="237"/>
      <c r="J8" s="236"/>
      <c r="K8" s="19"/>
    </row>
    <row r="9" spans="1:11" ht="19.5" customHeight="1" x14ac:dyDescent="0.25">
      <c r="A9" s="19"/>
      <c r="B9" s="233"/>
      <c r="C9" s="238"/>
      <c r="D9" s="239"/>
      <c r="E9" s="240"/>
      <c r="F9" s="19"/>
      <c r="G9" s="233"/>
      <c r="H9" s="238"/>
      <c r="I9" s="237"/>
      <c r="J9" s="236"/>
      <c r="K9" s="19"/>
    </row>
    <row r="10" spans="1:11" ht="19.5" customHeight="1" x14ac:dyDescent="0.25">
      <c r="A10" s="19"/>
      <c r="B10" s="233"/>
      <c r="C10" s="238"/>
      <c r="D10" s="239"/>
      <c r="E10" s="240"/>
      <c r="F10" s="19"/>
      <c r="G10" s="233"/>
      <c r="H10" s="238"/>
      <c r="I10" s="237"/>
      <c r="J10" s="236"/>
      <c r="K10" s="19"/>
    </row>
    <row r="11" spans="1:11" ht="19.5" customHeight="1" x14ac:dyDescent="0.25">
      <c r="A11" s="19"/>
      <c r="B11" s="233"/>
      <c r="C11" s="238"/>
      <c r="D11" s="239"/>
      <c r="E11" s="240"/>
      <c r="F11" s="19"/>
      <c r="G11" s="233"/>
      <c r="H11" s="238"/>
      <c r="I11" s="237"/>
      <c r="J11" s="236"/>
      <c r="K11" s="19"/>
    </row>
    <row r="12" spans="1:11" ht="19.5" customHeight="1" x14ac:dyDescent="0.25">
      <c r="A12" s="19"/>
      <c r="B12" s="233"/>
      <c r="C12" s="238"/>
      <c r="D12" s="239"/>
      <c r="E12" s="240"/>
      <c r="F12" s="19"/>
      <c r="G12" s="233"/>
      <c r="H12" s="238"/>
      <c r="I12" s="237"/>
      <c r="J12" s="236"/>
      <c r="K12" s="19"/>
    </row>
    <row r="13" spans="1:11" ht="19.5" customHeight="1" x14ac:dyDescent="0.25">
      <c r="A13" s="19"/>
      <c r="B13" s="233"/>
      <c r="C13" s="238"/>
      <c r="D13" s="239"/>
      <c r="E13" s="240"/>
      <c r="F13" s="19"/>
      <c r="G13" s="233"/>
      <c r="H13" s="238"/>
      <c r="I13" s="237"/>
      <c r="J13" s="236"/>
      <c r="K13" s="19"/>
    </row>
    <row r="14" spans="1:11" ht="19.5" customHeight="1" x14ac:dyDescent="0.25">
      <c r="A14" s="19"/>
      <c r="B14" s="233"/>
      <c r="C14" s="238"/>
      <c r="D14" s="239"/>
      <c r="E14" s="240"/>
      <c r="F14" s="19"/>
      <c r="G14" s="242"/>
      <c r="H14" s="238"/>
      <c r="I14" s="237"/>
      <c r="J14" s="236"/>
      <c r="K14" s="19"/>
    </row>
    <row r="15" spans="1:11" ht="19.5" customHeight="1" x14ac:dyDescent="0.25">
      <c r="A15" s="19"/>
      <c r="B15" s="233"/>
      <c r="C15" s="238"/>
      <c r="D15" s="239"/>
      <c r="E15" s="240"/>
      <c r="F15" s="19"/>
      <c r="G15" s="242"/>
      <c r="H15" s="238"/>
      <c r="I15" s="237"/>
      <c r="J15" s="236"/>
      <c r="K15" s="19"/>
    </row>
    <row r="16" spans="1:11" ht="19.5" customHeight="1" x14ac:dyDescent="0.25">
      <c r="A16" s="19"/>
      <c r="B16" s="233"/>
      <c r="C16" s="238"/>
      <c r="D16" s="239"/>
      <c r="E16" s="240"/>
      <c r="F16" s="19"/>
      <c r="G16" s="242"/>
      <c r="H16" s="238"/>
      <c r="I16" s="237"/>
      <c r="J16" s="236"/>
      <c r="K16" s="19"/>
    </row>
    <row r="17" spans="1:11" ht="19.5" customHeight="1" x14ac:dyDescent="0.25">
      <c r="A17" s="19"/>
      <c r="B17" s="233"/>
      <c r="C17" s="238"/>
      <c r="D17" s="239"/>
      <c r="E17" s="240"/>
      <c r="F17" s="19"/>
      <c r="G17" s="242"/>
      <c r="H17" s="238"/>
      <c r="I17" s="237"/>
      <c r="J17" s="236"/>
      <c r="K17" s="19"/>
    </row>
    <row r="18" spans="1:11" ht="19.5" customHeight="1" x14ac:dyDescent="0.25">
      <c r="A18" s="19"/>
      <c r="B18" s="233"/>
      <c r="C18" s="238"/>
      <c r="D18" s="239"/>
      <c r="E18" s="240"/>
      <c r="F18" s="19"/>
      <c r="G18" s="242"/>
      <c r="H18" s="238"/>
      <c r="I18" s="237"/>
      <c r="J18" s="236"/>
      <c r="K18" s="19"/>
    </row>
    <row r="19" spans="1:11" ht="19.5" customHeight="1" x14ac:dyDescent="0.25">
      <c r="A19" s="19"/>
      <c r="B19" s="233"/>
      <c r="C19" s="238"/>
      <c r="D19" s="239"/>
      <c r="E19" s="240"/>
      <c r="F19" s="19"/>
      <c r="G19" s="242"/>
      <c r="H19" s="238"/>
      <c r="I19" s="237"/>
      <c r="J19" s="236"/>
      <c r="K19" s="19"/>
    </row>
    <row r="20" spans="1:11" ht="19.5" customHeight="1" x14ac:dyDescent="0.25">
      <c r="A20" s="19"/>
      <c r="B20" s="233"/>
      <c r="C20" s="238"/>
      <c r="D20" s="239"/>
      <c r="E20" s="240"/>
      <c r="F20" s="19"/>
      <c r="G20" s="242"/>
      <c r="H20" s="238"/>
      <c r="I20" s="237"/>
      <c r="J20" s="236"/>
      <c r="K20" s="19"/>
    </row>
    <row r="21" spans="1:11" ht="19.5" customHeight="1" x14ac:dyDescent="0.25">
      <c r="A21" s="19"/>
      <c r="B21" s="233"/>
      <c r="C21" s="238"/>
      <c r="D21" s="239"/>
      <c r="E21" s="240"/>
      <c r="F21" s="19"/>
      <c r="G21" s="242"/>
      <c r="H21" s="238"/>
      <c r="I21" s="237"/>
      <c r="J21" s="236"/>
      <c r="K21" s="19"/>
    </row>
    <row r="22" spans="1:11" ht="19.5" customHeight="1" x14ac:dyDescent="0.25">
      <c r="A22" s="19"/>
      <c r="B22" s="233"/>
      <c r="C22" s="238"/>
      <c r="D22" s="239"/>
      <c r="E22" s="240"/>
      <c r="F22" s="19"/>
      <c r="G22" s="242"/>
      <c r="H22" s="238"/>
      <c r="I22" s="237"/>
      <c r="J22" s="236"/>
      <c r="K22" s="19"/>
    </row>
    <row r="23" spans="1:11" ht="19.5" customHeight="1" x14ac:dyDescent="0.25">
      <c r="A23" s="19"/>
      <c r="B23" s="242"/>
      <c r="C23" s="238"/>
      <c r="D23" s="239"/>
      <c r="E23" s="240"/>
      <c r="F23" s="19"/>
      <c r="G23" s="242"/>
      <c r="H23" s="238"/>
      <c r="I23" s="237"/>
      <c r="J23" s="236"/>
      <c r="K23" s="19"/>
    </row>
    <row r="24" spans="1:11" ht="19.5" customHeight="1" x14ac:dyDescent="0.25">
      <c r="A24" s="19"/>
      <c r="B24" s="242"/>
      <c r="C24" s="238"/>
      <c r="D24" s="239"/>
      <c r="E24" s="240"/>
      <c r="F24" s="19"/>
      <c r="G24" s="242"/>
      <c r="H24" s="238"/>
      <c r="I24" s="237"/>
      <c r="J24" s="236"/>
      <c r="K24" s="19"/>
    </row>
    <row r="25" spans="1:11" ht="19.5" customHeight="1" x14ac:dyDescent="0.25">
      <c r="A25" s="19"/>
      <c r="B25" s="242"/>
      <c r="C25" s="238"/>
      <c r="D25" s="239"/>
      <c r="E25" s="240"/>
      <c r="F25" s="19"/>
      <c r="G25" s="242"/>
      <c r="H25" s="238"/>
      <c r="I25" s="237"/>
      <c r="J25" s="236"/>
      <c r="K25" s="19"/>
    </row>
    <row r="26" spans="1:11" ht="19.5" customHeight="1" x14ac:dyDescent="0.25">
      <c r="A26" s="19"/>
      <c r="B26" s="242"/>
      <c r="C26" s="238"/>
      <c r="D26" s="239"/>
      <c r="E26" s="240"/>
      <c r="F26" s="19"/>
      <c r="G26" s="242"/>
      <c r="H26" s="238"/>
      <c r="I26" s="237"/>
      <c r="J26" s="236"/>
      <c r="K26" s="19"/>
    </row>
    <row r="27" spans="1:11" ht="19.5" customHeight="1" x14ac:dyDescent="0.25">
      <c r="A27" s="19"/>
      <c r="B27" s="242"/>
      <c r="C27" s="238"/>
      <c r="D27" s="239"/>
      <c r="E27" s="240"/>
      <c r="F27" s="19"/>
      <c r="G27" s="242"/>
      <c r="H27" s="238"/>
      <c r="I27" s="237"/>
      <c r="J27" s="236"/>
      <c r="K27" s="19"/>
    </row>
    <row r="28" spans="1:11" ht="19.5" customHeight="1" x14ac:dyDescent="0.25">
      <c r="A28" s="19"/>
      <c r="B28" s="242"/>
      <c r="C28" s="238"/>
      <c r="D28" s="239"/>
      <c r="E28" s="240"/>
      <c r="F28" s="19"/>
      <c r="G28" s="242"/>
      <c r="H28" s="238"/>
      <c r="I28" s="237"/>
      <c r="J28" s="236"/>
      <c r="K28" s="19"/>
    </row>
    <row r="29" spans="1:11" ht="19.5" customHeight="1" x14ac:dyDescent="0.25">
      <c r="A29" s="19"/>
      <c r="B29" s="242"/>
      <c r="C29" s="238"/>
      <c r="D29" s="239"/>
      <c r="E29" s="240"/>
      <c r="F29" s="19"/>
      <c r="G29" s="242"/>
      <c r="H29" s="238"/>
      <c r="I29" s="237"/>
      <c r="J29" s="236"/>
      <c r="K29" s="19"/>
    </row>
    <row r="30" spans="1:11" ht="19.5" customHeight="1" x14ac:dyDescent="0.25">
      <c r="A30" s="19"/>
      <c r="B30" s="242"/>
      <c r="C30" s="238"/>
      <c r="D30" s="239"/>
      <c r="E30" s="240"/>
      <c r="F30" s="19"/>
      <c r="G30" s="242"/>
      <c r="H30" s="238"/>
      <c r="I30" s="237"/>
      <c r="J30" s="236"/>
      <c r="K30" s="19"/>
    </row>
    <row r="31" spans="1:11" ht="19.5" customHeight="1" x14ac:dyDescent="0.25">
      <c r="A31" s="19"/>
      <c r="B31" s="242"/>
      <c r="C31" s="238"/>
      <c r="D31" s="239"/>
      <c r="E31" s="240"/>
      <c r="F31" s="19"/>
      <c r="G31" s="242"/>
      <c r="H31" s="238"/>
      <c r="I31" s="237"/>
      <c r="J31" s="236"/>
      <c r="K31" s="19"/>
    </row>
    <row r="32" spans="1:11" ht="19.5" customHeight="1" x14ac:dyDescent="0.25">
      <c r="A32" s="19"/>
      <c r="B32" s="242"/>
      <c r="C32" s="238"/>
      <c r="D32" s="239"/>
      <c r="E32" s="240"/>
      <c r="F32" s="19"/>
      <c r="G32" s="242"/>
      <c r="H32" s="238"/>
      <c r="I32" s="237"/>
      <c r="J32" s="236"/>
      <c r="K32" s="19"/>
    </row>
    <row r="33" spans="1:11" ht="19.5" customHeight="1" x14ac:dyDescent="0.25">
      <c r="A33" s="19"/>
      <c r="B33" s="233"/>
      <c r="C33" s="238"/>
      <c r="D33" s="239"/>
      <c r="E33" s="240"/>
      <c r="F33" s="19"/>
      <c r="G33" s="242"/>
      <c r="H33" s="238"/>
      <c r="I33" s="237"/>
      <c r="J33" s="236"/>
      <c r="K33" s="19"/>
    </row>
    <row r="34" spans="1:11" ht="19.5" customHeight="1" x14ac:dyDescent="0.25">
      <c r="A34" s="19"/>
      <c r="B34" s="233"/>
      <c r="C34" s="238"/>
      <c r="D34" s="239"/>
      <c r="E34" s="240"/>
      <c r="F34" s="19"/>
      <c r="G34" s="242"/>
      <c r="H34" s="238"/>
      <c r="I34" s="237"/>
      <c r="J34" s="236"/>
      <c r="K34" s="19"/>
    </row>
    <row r="35" spans="1:11" ht="19.5" customHeight="1" x14ac:dyDescent="0.25">
      <c r="A35" s="19"/>
      <c r="B35" s="243"/>
      <c r="C35" s="238"/>
      <c r="D35" s="239"/>
      <c r="E35" s="240"/>
      <c r="F35" s="19"/>
      <c r="G35" s="242"/>
      <c r="H35" s="238"/>
      <c r="I35" s="237"/>
      <c r="J35" s="236"/>
      <c r="K35" s="19"/>
    </row>
    <row r="36" spans="1:11" ht="19.5" customHeight="1" x14ac:dyDescent="0.25">
      <c r="A36" s="19"/>
      <c r="B36" s="242"/>
      <c r="C36" s="238"/>
      <c r="D36" s="239"/>
      <c r="E36" s="240"/>
      <c r="F36" s="19"/>
      <c r="G36" s="242"/>
      <c r="H36" s="238"/>
      <c r="I36" s="237"/>
      <c r="J36" s="236"/>
      <c r="K36" s="19"/>
    </row>
    <row r="37" spans="1:11" ht="19.5" customHeight="1" x14ac:dyDescent="0.25">
      <c r="A37" s="19"/>
      <c r="B37" s="233"/>
      <c r="C37" s="238"/>
      <c r="D37" s="239"/>
      <c r="E37" s="240"/>
      <c r="F37" s="19"/>
      <c r="G37" s="242"/>
      <c r="H37" s="238"/>
      <c r="I37" s="237"/>
      <c r="J37" s="236"/>
      <c r="K37" s="19"/>
    </row>
    <row r="38" spans="1:11" ht="19.5" customHeight="1" x14ac:dyDescent="0.25">
      <c r="A38" s="19"/>
      <c r="B38" s="233"/>
      <c r="C38" s="238"/>
      <c r="D38" s="239"/>
      <c r="E38" s="240"/>
      <c r="F38" s="19"/>
      <c r="G38" s="242"/>
      <c r="H38" s="238"/>
      <c r="I38" s="237"/>
      <c r="J38" s="236"/>
      <c r="K38" s="19"/>
    </row>
    <row r="39" spans="1:11" ht="19.5" customHeight="1" x14ac:dyDescent="0.25">
      <c r="A39" s="19"/>
      <c r="B39" s="233"/>
      <c r="C39" s="238"/>
      <c r="D39" s="239"/>
      <c r="E39" s="240"/>
      <c r="F39" s="19"/>
      <c r="G39" s="242"/>
      <c r="H39" s="238"/>
      <c r="I39" s="237"/>
      <c r="J39" s="236"/>
      <c r="K39" s="19"/>
    </row>
    <row r="40" spans="1:11" ht="19.5" customHeight="1" x14ac:dyDescent="0.25">
      <c r="A40" s="19"/>
      <c r="B40" s="233"/>
      <c r="C40" s="238"/>
      <c r="D40" s="239"/>
      <c r="E40" s="240"/>
      <c r="F40" s="19"/>
      <c r="G40" s="242"/>
      <c r="H40" s="238"/>
      <c r="I40" s="237"/>
      <c r="J40" s="236"/>
      <c r="K40" s="19"/>
    </row>
    <row r="41" spans="1:11" ht="19.5" customHeight="1" x14ac:dyDescent="0.25">
      <c r="A41" s="19"/>
      <c r="B41" s="233"/>
      <c r="C41" s="238"/>
      <c r="D41" s="239"/>
      <c r="E41" s="240"/>
      <c r="F41" s="19"/>
      <c r="G41" s="242"/>
      <c r="H41" s="238"/>
      <c r="I41" s="241"/>
      <c r="J41" s="240"/>
      <c r="K41" s="19"/>
    </row>
    <row r="42" spans="1:11" ht="19.5" customHeight="1" x14ac:dyDescent="0.25">
      <c r="A42" s="19"/>
      <c r="B42" s="233"/>
      <c r="C42" s="238"/>
      <c r="D42" s="239"/>
      <c r="E42" s="240"/>
      <c r="F42" s="19"/>
      <c r="G42" s="242"/>
      <c r="H42" s="238"/>
      <c r="I42" s="241"/>
      <c r="J42" s="240"/>
      <c r="K42" s="19"/>
    </row>
    <row r="43" spans="1:11" ht="19.5" customHeight="1" x14ac:dyDescent="0.25">
      <c r="A43" s="19"/>
      <c r="B43" s="233"/>
      <c r="C43" s="238"/>
      <c r="D43" s="239"/>
      <c r="E43" s="240"/>
      <c r="F43" s="19"/>
      <c r="G43" s="242"/>
      <c r="H43" s="238"/>
      <c r="I43" s="241"/>
      <c r="J43" s="240"/>
      <c r="K43" s="19"/>
    </row>
    <row r="44" spans="1:11" ht="19.5" customHeight="1" x14ac:dyDescent="0.25">
      <c r="A44" s="19"/>
      <c r="B44" s="233"/>
      <c r="C44" s="238"/>
      <c r="D44" s="239"/>
      <c r="E44" s="240"/>
      <c r="F44" s="19"/>
      <c r="G44" s="242"/>
      <c r="H44" s="238"/>
      <c r="I44" s="241"/>
      <c r="J44" s="240"/>
      <c r="K44" s="19"/>
    </row>
    <row r="45" spans="1:11" ht="19.5" customHeight="1" x14ac:dyDescent="0.25">
      <c r="A45" s="19"/>
      <c r="B45" s="233"/>
      <c r="C45" s="238"/>
      <c r="D45" s="239"/>
      <c r="E45" s="240"/>
      <c r="F45" s="19"/>
      <c r="G45" s="242"/>
      <c r="H45" s="238"/>
      <c r="I45" s="241"/>
      <c r="J45" s="240"/>
      <c r="K45" s="19"/>
    </row>
    <row r="46" spans="1:11" ht="19.5" customHeight="1" x14ac:dyDescent="0.25">
      <c r="A46" s="19"/>
      <c r="B46" s="233"/>
      <c r="C46" s="238"/>
      <c r="D46" s="239"/>
      <c r="E46" s="240"/>
      <c r="F46" s="19"/>
      <c r="G46" s="242"/>
      <c r="H46" s="238"/>
      <c r="I46" s="241"/>
      <c r="J46" s="240"/>
      <c r="K46" s="19"/>
    </row>
    <row r="47" spans="1:11" ht="19.5" customHeight="1" x14ac:dyDescent="0.25">
      <c r="A47" s="19"/>
      <c r="B47" s="233"/>
      <c r="C47" s="238"/>
      <c r="D47" s="239"/>
      <c r="E47" s="240"/>
      <c r="F47" s="19"/>
      <c r="G47" s="242"/>
      <c r="H47" s="238"/>
      <c r="I47" s="241"/>
      <c r="J47" s="240"/>
      <c r="K47" s="19"/>
    </row>
    <row r="48" spans="1:11" ht="19.5" customHeight="1" x14ac:dyDescent="0.25">
      <c r="A48" s="19"/>
      <c r="B48" s="233"/>
      <c r="C48" s="238"/>
      <c r="D48" s="239"/>
      <c r="E48" s="240"/>
      <c r="F48" s="19"/>
      <c r="G48" s="242"/>
      <c r="H48" s="238"/>
      <c r="I48" s="241"/>
      <c r="J48" s="240"/>
      <c r="K48" s="19"/>
    </row>
    <row r="49" spans="1:11" ht="19.5" customHeight="1" x14ac:dyDescent="0.25">
      <c r="A49" s="19"/>
      <c r="B49" s="233"/>
      <c r="C49" s="238"/>
      <c r="D49" s="239"/>
      <c r="E49" s="240"/>
      <c r="F49" s="19"/>
      <c r="G49" s="242"/>
      <c r="H49" s="238"/>
      <c r="I49" s="241"/>
      <c r="J49" s="240"/>
      <c r="K49" s="19"/>
    </row>
    <row r="50" spans="1:11" ht="19.5" customHeight="1" x14ac:dyDescent="0.25">
      <c r="A50" s="19"/>
      <c r="B50" s="244"/>
      <c r="C50" s="238"/>
      <c r="D50" s="239"/>
      <c r="E50" s="240"/>
      <c r="F50" s="19"/>
      <c r="G50" s="242"/>
      <c r="H50" s="238"/>
      <c r="I50" s="241"/>
      <c r="J50" s="240"/>
      <c r="K50" s="19"/>
    </row>
    <row r="51" spans="1:11" ht="19.5" customHeight="1" x14ac:dyDescent="0.25">
      <c r="A51" s="19"/>
      <c r="B51" s="244"/>
      <c r="C51" s="238"/>
      <c r="D51" s="239"/>
      <c r="E51" s="240"/>
      <c r="F51" s="19"/>
      <c r="G51" s="242"/>
      <c r="H51" s="238"/>
      <c r="I51" s="241"/>
      <c r="J51" s="240"/>
      <c r="K51" s="19"/>
    </row>
    <row r="52" spans="1:11" ht="19.5" customHeight="1" x14ac:dyDescent="0.25">
      <c r="A52" s="19"/>
      <c r="B52" s="244"/>
      <c r="C52" s="238"/>
      <c r="D52" s="239"/>
      <c r="E52" s="240"/>
      <c r="F52" s="19"/>
      <c r="G52" s="242"/>
      <c r="H52" s="238"/>
      <c r="I52" s="241"/>
      <c r="J52" s="240"/>
      <c r="K52" s="19"/>
    </row>
    <row r="53" spans="1:11" ht="19.5" customHeight="1" x14ac:dyDescent="0.25">
      <c r="A53" s="19"/>
      <c r="B53" s="233"/>
      <c r="C53" s="238"/>
      <c r="D53" s="239"/>
      <c r="E53" s="240"/>
      <c r="F53" s="19"/>
      <c r="G53" s="242"/>
      <c r="H53" s="238"/>
      <c r="I53" s="241"/>
      <c r="J53" s="240"/>
      <c r="K53" s="19"/>
    </row>
    <row r="54" spans="1:11" ht="19.5" customHeight="1" x14ac:dyDescent="0.25">
      <c r="A54" s="19"/>
      <c r="B54" s="233"/>
      <c r="C54" s="238"/>
      <c r="D54" s="239"/>
      <c r="E54" s="240"/>
      <c r="F54" s="19"/>
      <c r="G54" s="242"/>
      <c r="H54" s="238"/>
      <c r="I54" s="241"/>
      <c r="J54" s="240"/>
      <c r="K54" s="19"/>
    </row>
    <row r="55" spans="1:11" ht="19.5" customHeight="1" x14ac:dyDescent="0.25">
      <c r="A55" s="19"/>
      <c r="B55" s="233"/>
      <c r="C55" s="238"/>
      <c r="D55" s="239"/>
      <c r="E55" s="240"/>
      <c r="F55" s="19"/>
      <c r="G55" s="242"/>
      <c r="H55" s="238"/>
      <c r="I55" s="241"/>
      <c r="J55" s="240"/>
      <c r="K55" s="19"/>
    </row>
    <row r="56" spans="1:11" ht="19.5" customHeight="1" x14ac:dyDescent="0.25">
      <c r="A56" s="19"/>
      <c r="B56" s="233"/>
      <c r="C56" s="238"/>
      <c r="D56" s="239"/>
      <c r="E56" s="240"/>
      <c r="F56" s="19"/>
      <c r="G56" s="242"/>
      <c r="H56" s="238"/>
      <c r="I56" s="241"/>
      <c r="J56" s="240"/>
      <c r="K56" s="19"/>
    </row>
    <row r="57" spans="1:11" ht="19.5" customHeight="1" x14ac:dyDescent="0.25">
      <c r="A57" s="19"/>
      <c r="B57" s="233"/>
      <c r="C57" s="238"/>
      <c r="D57" s="239"/>
      <c r="E57" s="240"/>
      <c r="F57" s="19"/>
      <c r="G57" s="242"/>
      <c r="H57" s="238"/>
      <c r="I57" s="241"/>
      <c r="J57" s="240"/>
      <c r="K57" s="19"/>
    </row>
    <row r="58" spans="1:11" ht="19.5" customHeight="1" x14ac:dyDescent="0.25">
      <c r="A58" s="19"/>
      <c r="B58" s="233"/>
      <c r="C58" s="238"/>
      <c r="D58" s="239"/>
      <c r="E58" s="240"/>
      <c r="F58" s="19"/>
      <c r="G58" s="242"/>
      <c r="H58" s="238"/>
      <c r="I58" s="241"/>
      <c r="J58" s="240"/>
      <c r="K58" s="19"/>
    </row>
    <row r="59" spans="1:11" ht="19.5" customHeight="1" x14ac:dyDescent="0.25">
      <c r="A59" s="19"/>
      <c r="B59" s="233"/>
      <c r="C59" s="238"/>
      <c r="D59" s="239"/>
      <c r="E59" s="240"/>
      <c r="F59" s="19"/>
      <c r="G59" s="242"/>
      <c r="H59" s="238"/>
      <c r="I59" s="241"/>
      <c r="J59" s="240"/>
      <c r="K59" s="19"/>
    </row>
    <row r="60" spans="1:11" ht="19.5" customHeight="1" x14ac:dyDescent="0.25">
      <c r="A60" s="19"/>
      <c r="B60" s="233"/>
      <c r="C60" s="238"/>
      <c r="D60" s="239"/>
      <c r="E60" s="240"/>
      <c r="F60" s="19"/>
      <c r="G60" s="242"/>
      <c r="H60" s="238"/>
      <c r="I60" s="241"/>
      <c r="J60" s="240"/>
      <c r="K60" s="19"/>
    </row>
    <row r="61" spans="1:11" ht="19.5" customHeight="1" x14ac:dyDescent="0.25">
      <c r="A61" s="19"/>
      <c r="B61" s="233"/>
      <c r="C61" s="238"/>
      <c r="D61" s="239"/>
      <c r="E61" s="240"/>
      <c r="F61" s="19"/>
      <c r="G61" s="242"/>
      <c r="H61" s="238"/>
      <c r="I61" s="241"/>
      <c r="J61" s="240"/>
      <c r="K61" s="19"/>
    </row>
    <row r="62" spans="1:11" ht="19.5" customHeight="1" x14ac:dyDescent="0.25">
      <c r="A62" s="19"/>
      <c r="B62" s="233"/>
      <c r="C62" s="238"/>
      <c r="D62" s="239"/>
      <c r="E62" s="240"/>
      <c r="F62" s="19"/>
      <c r="G62" s="242"/>
      <c r="H62" s="238"/>
      <c r="I62" s="241"/>
      <c r="J62" s="240"/>
      <c r="K62" s="19"/>
    </row>
    <row r="63" spans="1:11" ht="19.5" customHeight="1" x14ac:dyDescent="0.25">
      <c r="A63" s="19"/>
      <c r="B63" s="233"/>
      <c r="C63" s="238"/>
      <c r="D63" s="239"/>
      <c r="E63" s="240"/>
      <c r="F63" s="19"/>
      <c r="G63" s="242"/>
      <c r="H63" s="238"/>
      <c r="I63" s="241"/>
      <c r="J63" s="240"/>
      <c r="K63" s="19"/>
    </row>
    <row r="64" spans="1:11" ht="19.5" customHeight="1" x14ac:dyDescent="0.25">
      <c r="A64" s="19"/>
      <c r="B64" s="233"/>
      <c r="C64" s="238"/>
      <c r="D64" s="239"/>
      <c r="E64" s="240"/>
      <c r="F64" s="19"/>
      <c r="G64" s="242"/>
      <c r="H64" s="238"/>
      <c r="I64" s="241"/>
      <c r="J64" s="240"/>
      <c r="K64" s="19"/>
    </row>
    <row r="65" spans="1:11" ht="19.5" customHeight="1" x14ac:dyDescent="0.25">
      <c r="A65" s="19"/>
      <c r="B65" s="233"/>
      <c r="C65" s="238"/>
      <c r="D65" s="239"/>
      <c r="E65" s="240"/>
      <c r="F65" s="19"/>
      <c r="G65" s="242"/>
      <c r="H65" s="238"/>
      <c r="I65" s="241"/>
      <c r="J65" s="240"/>
      <c r="K65" s="19"/>
    </row>
    <row r="66" spans="1:11" ht="19.5" customHeight="1" x14ac:dyDescent="0.25">
      <c r="A66" s="19"/>
      <c r="B66" s="233"/>
      <c r="C66" s="238"/>
      <c r="D66" s="239"/>
      <c r="E66" s="240"/>
      <c r="F66" s="19"/>
      <c r="G66" s="242"/>
      <c r="H66" s="238"/>
      <c r="I66" s="241"/>
      <c r="J66" s="240"/>
      <c r="K66" s="19"/>
    </row>
    <row r="67" spans="1:11" ht="19.5" customHeight="1" x14ac:dyDescent="0.25">
      <c r="A67" s="19"/>
      <c r="B67" s="233"/>
      <c r="C67" s="238"/>
      <c r="D67" s="239"/>
      <c r="E67" s="240"/>
      <c r="F67" s="19"/>
      <c r="G67" s="242"/>
      <c r="H67" s="238"/>
      <c r="I67" s="241"/>
      <c r="J67" s="240"/>
      <c r="K67" s="19"/>
    </row>
    <row r="68" spans="1:11" ht="19.5" customHeight="1" x14ac:dyDescent="0.25">
      <c r="A68" s="19"/>
      <c r="B68" s="233"/>
      <c r="C68" s="238"/>
      <c r="D68" s="239"/>
      <c r="E68" s="240"/>
      <c r="F68" s="19"/>
      <c r="G68" s="242"/>
      <c r="H68" s="238"/>
      <c r="I68" s="241"/>
      <c r="J68" s="240"/>
      <c r="K68" s="19"/>
    </row>
    <row r="69" spans="1:11" ht="19.5" customHeight="1" x14ac:dyDescent="0.25">
      <c r="A69" s="19"/>
      <c r="B69" s="233"/>
      <c r="C69" s="238"/>
      <c r="D69" s="239"/>
      <c r="E69" s="240"/>
      <c r="F69" s="19"/>
      <c r="G69" s="242"/>
      <c r="H69" s="238"/>
      <c r="I69" s="241"/>
      <c r="J69" s="240"/>
      <c r="K69" s="19"/>
    </row>
    <row r="70" spans="1:11" ht="19.5" customHeight="1" x14ac:dyDescent="0.25">
      <c r="A70" s="19"/>
      <c r="B70" s="233"/>
      <c r="C70" s="238"/>
      <c r="D70" s="239"/>
      <c r="E70" s="240"/>
      <c r="F70" s="19"/>
      <c r="G70" s="242"/>
      <c r="H70" s="238"/>
      <c r="I70" s="241"/>
      <c r="J70" s="240"/>
      <c r="K70" s="19"/>
    </row>
    <row r="71" spans="1:11" ht="19.5" customHeight="1" x14ac:dyDescent="0.25">
      <c r="A71" s="19"/>
      <c r="B71" s="233"/>
      <c r="C71" s="238"/>
      <c r="D71" s="239"/>
      <c r="E71" s="240"/>
      <c r="F71" s="19"/>
      <c r="G71" s="242"/>
      <c r="H71" s="238"/>
      <c r="I71" s="241"/>
      <c r="J71" s="240"/>
      <c r="K71" s="19"/>
    </row>
    <row r="72" spans="1:11" ht="19.5" customHeight="1" x14ac:dyDescent="0.25">
      <c r="A72" s="19"/>
      <c r="B72" s="233"/>
      <c r="C72" s="238"/>
      <c r="D72" s="239"/>
      <c r="E72" s="240"/>
      <c r="F72" s="19"/>
      <c r="G72" s="242"/>
      <c r="H72" s="238"/>
      <c r="I72" s="241"/>
      <c r="J72" s="240"/>
      <c r="K72" s="19"/>
    </row>
    <row r="73" spans="1:11" ht="19.5" customHeight="1" x14ac:dyDescent="0.25">
      <c r="A73" s="19"/>
      <c r="B73" s="233"/>
      <c r="C73" s="238"/>
      <c r="D73" s="239"/>
      <c r="E73" s="240"/>
      <c r="F73" s="19"/>
      <c r="G73" s="242"/>
      <c r="H73" s="238"/>
      <c r="I73" s="241"/>
      <c r="J73" s="240"/>
      <c r="K73" s="19"/>
    </row>
    <row r="74" spans="1:11" ht="19.5" customHeight="1" x14ac:dyDescent="0.25">
      <c r="A74" s="19"/>
      <c r="B74" s="233"/>
      <c r="C74" s="238"/>
      <c r="D74" s="239"/>
      <c r="E74" s="240"/>
      <c r="F74" s="19"/>
      <c r="G74" s="242"/>
      <c r="H74" s="238"/>
      <c r="I74" s="241"/>
      <c r="J74" s="240"/>
      <c r="K74" s="19"/>
    </row>
    <row r="75" spans="1:11" ht="19.5" customHeight="1" x14ac:dyDescent="0.25">
      <c r="A75" s="19"/>
      <c r="B75" s="233"/>
      <c r="C75" s="238"/>
      <c r="D75" s="239"/>
      <c r="E75" s="240"/>
      <c r="F75" s="19"/>
      <c r="G75" s="242"/>
      <c r="H75" s="238"/>
      <c r="I75" s="241"/>
      <c r="J75" s="240"/>
      <c r="K75" s="19"/>
    </row>
    <row r="76" spans="1:11" ht="19.5" customHeight="1" x14ac:dyDescent="0.25">
      <c r="A76" s="19"/>
      <c r="B76" s="233"/>
      <c r="C76" s="238"/>
      <c r="D76" s="239"/>
      <c r="E76" s="240"/>
      <c r="F76" s="19"/>
      <c r="G76" s="242"/>
      <c r="H76" s="238"/>
      <c r="I76" s="241"/>
      <c r="J76" s="240"/>
      <c r="K76" s="19"/>
    </row>
    <row r="77" spans="1:11" ht="19.5" customHeight="1" x14ac:dyDescent="0.25">
      <c r="A77" s="19"/>
      <c r="B77" s="233"/>
      <c r="C77" s="238"/>
      <c r="D77" s="239"/>
      <c r="E77" s="240"/>
      <c r="F77" s="19"/>
      <c r="G77" s="242"/>
      <c r="H77" s="238"/>
      <c r="I77" s="241"/>
      <c r="J77" s="240"/>
      <c r="K77" s="19"/>
    </row>
    <row r="78" spans="1:11" ht="19.5" customHeight="1" x14ac:dyDescent="0.25">
      <c r="A78" s="19"/>
      <c r="B78" s="233"/>
      <c r="C78" s="238"/>
      <c r="D78" s="239"/>
      <c r="E78" s="240"/>
      <c r="F78" s="19"/>
      <c r="G78" s="242"/>
      <c r="H78" s="238"/>
      <c r="I78" s="241"/>
      <c r="J78" s="240"/>
      <c r="K78" s="19"/>
    </row>
    <row r="79" spans="1:11" ht="19.5" customHeight="1" x14ac:dyDescent="0.25">
      <c r="A79" s="19"/>
      <c r="B79" s="233"/>
      <c r="C79" s="238"/>
      <c r="D79" s="239"/>
      <c r="E79" s="240"/>
      <c r="F79" s="19"/>
      <c r="G79" s="242"/>
      <c r="H79" s="238"/>
      <c r="I79" s="241"/>
      <c r="J79" s="240"/>
      <c r="K79" s="19"/>
    </row>
    <row r="80" spans="1:11" ht="19.5" customHeight="1" x14ac:dyDescent="0.25">
      <c r="A80" s="19"/>
      <c r="B80" s="233"/>
      <c r="C80" s="238"/>
      <c r="D80" s="239"/>
      <c r="E80" s="240"/>
      <c r="F80" s="19"/>
      <c r="G80" s="242"/>
      <c r="H80" s="238"/>
      <c r="I80" s="241"/>
      <c r="J80" s="240"/>
      <c r="K80" s="19"/>
    </row>
    <row r="81" spans="1:11" ht="19.5" customHeight="1" x14ac:dyDescent="0.25">
      <c r="A81" s="19"/>
      <c r="B81" s="233"/>
      <c r="C81" s="238"/>
      <c r="D81" s="239"/>
      <c r="E81" s="240"/>
      <c r="F81" s="19"/>
      <c r="G81" s="242"/>
      <c r="H81" s="238"/>
      <c r="I81" s="241"/>
      <c r="J81" s="240"/>
      <c r="K81" s="19"/>
    </row>
    <row r="82" spans="1:11" ht="19.5" customHeight="1" x14ac:dyDescent="0.25">
      <c r="A82" s="19"/>
      <c r="B82" s="233"/>
      <c r="C82" s="238"/>
      <c r="D82" s="239"/>
      <c r="E82" s="240"/>
      <c r="F82" s="19"/>
      <c r="G82" s="242"/>
      <c r="H82" s="238"/>
      <c r="I82" s="241"/>
      <c r="J82" s="240"/>
      <c r="K82" s="19"/>
    </row>
    <row r="83" spans="1:11" ht="19.5" customHeight="1" x14ac:dyDescent="0.25">
      <c r="A83" s="19"/>
      <c r="B83" s="233"/>
      <c r="C83" s="238"/>
      <c r="D83" s="239"/>
      <c r="E83" s="240"/>
      <c r="F83" s="19"/>
      <c r="G83" s="242"/>
      <c r="H83" s="238"/>
      <c r="I83" s="241"/>
      <c r="J83" s="240"/>
      <c r="K83" s="19"/>
    </row>
    <row r="84" spans="1:11" ht="19.5" customHeight="1" x14ac:dyDescent="0.25">
      <c r="A84" s="19"/>
      <c r="B84" s="233"/>
      <c r="C84" s="238"/>
      <c r="D84" s="239"/>
      <c r="E84" s="240"/>
      <c r="F84" s="19"/>
      <c r="G84" s="242"/>
      <c r="H84" s="238"/>
      <c r="I84" s="241"/>
      <c r="J84" s="240"/>
      <c r="K84" s="19"/>
    </row>
    <row r="85" spans="1:11" ht="19.5" customHeight="1" x14ac:dyDescent="0.25">
      <c r="A85" s="19"/>
      <c r="B85" s="233"/>
      <c r="C85" s="238"/>
      <c r="D85" s="239"/>
      <c r="E85" s="240"/>
      <c r="F85" s="19"/>
      <c r="G85" s="242"/>
      <c r="H85" s="238"/>
      <c r="I85" s="241"/>
      <c r="J85" s="240"/>
      <c r="K85" s="19"/>
    </row>
    <row r="86" spans="1:11" ht="19.5" customHeight="1" x14ac:dyDescent="0.25">
      <c r="A86" s="19"/>
      <c r="B86" s="233"/>
      <c r="C86" s="238"/>
      <c r="D86" s="239"/>
      <c r="E86" s="240"/>
      <c r="F86" s="19"/>
      <c r="G86" s="242"/>
      <c r="H86" s="238"/>
      <c r="I86" s="241"/>
      <c r="J86" s="240"/>
      <c r="K86" s="19"/>
    </row>
    <row r="87" spans="1:11" ht="19.5" customHeight="1" x14ac:dyDescent="0.25">
      <c r="A87" s="19"/>
      <c r="B87" s="233"/>
      <c r="C87" s="238"/>
      <c r="D87" s="239"/>
      <c r="E87" s="240"/>
      <c r="F87" s="19"/>
      <c r="G87" s="242"/>
      <c r="H87" s="238"/>
      <c r="I87" s="241"/>
      <c r="J87" s="240"/>
      <c r="K87" s="19"/>
    </row>
    <row r="88" spans="1:11" ht="19.5" customHeight="1" x14ac:dyDescent="0.25">
      <c r="A88" s="19"/>
      <c r="B88" s="233"/>
      <c r="C88" s="238"/>
      <c r="D88" s="239"/>
      <c r="E88" s="240"/>
      <c r="F88" s="19"/>
      <c r="G88" s="242"/>
      <c r="H88" s="238"/>
      <c r="I88" s="241"/>
      <c r="J88" s="240"/>
      <c r="K88" s="19"/>
    </row>
    <row r="89" spans="1:11" ht="19.5" customHeight="1" x14ac:dyDescent="0.25">
      <c r="A89" s="19"/>
      <c r="B89" s="233"/>
      <c r="C89" s="238"/>
      <c r="D89" s="239"/>
      <c r="E89" s="240"/>
      <c r="F89" s="19"/>
      <c r="G89" s="242"/>
      <c r="H89" s="238"/>
      <c r="I89" s="241"/>
      <c r="J89" s="240"/>
      <c r="K89" s="19"/>
    </row>
    <row r="90" spans="1:11" ht="19.5" customHeight="1" x14ac:dyDescent="0.25">
      <c r="A90" s="19"/>
      <c r="B90" s="233"/>
      <c r="C90" s="238"/>
      <c r="D90" s="239"/>
      <c r="E90" s="240"/>
      <c r="F90" s="19"/>
      <c r="G90" s="242"/>
      <c r="H90" s="238"/>
      <c r="I90" s="241"/>
      <c r="J90" s="240"/>
      <c r="K90" s="19"/>
    </row>
    <row r="91" spans="1:11" ht="19.5" customHeight="1" x14ac:dyDescent="0.25">
      <c r="A91" s="19"/>
      <c r="B91" s="233"/>
      <c r="C91" s="238"/>
      <c r="D91" s="239"/>
      <c r="E91" s="240"/>
      <c r="F91" s="19"/>
      <c r="G91" s="242"/>
      <c r="H91" s="238"/>
      <c r="I91" s="241"/>
      <c r="J91" s="240"/>
      <c r="K91" s="19"/>
    </row>
    <row r="92" spans="1:11" ht="19.5" customHeight="1" x14ac:dyDescent="0.25">
      <c r="A92" s="19"/>
      <c r="B92" s="233"/>
      <c r="C92" s="238"/>
      <c r="D92" s="239"/>
      <c r="E92" s="240"/>
      <c r="F92" s="19"/>
      <c r="G92" s="242"/>
      <c r="H92" s="238"/>
      <c r="I92" s="241"/>
      <c r="J92" s="240"/>
      <c r="K92" s="19"/>
    </row>
    <row r="93" spans="1:11" ht="19.5" customHeight="1" x14ac:dyDescent="0.25">
      <c r="A93" s="19"/>
      <c r="B93" s="233"/>
      <c r="C93" s="238"/>
      <c r="D93" s="239"/>
      <c r="E93" s="240"/>
      <c r="F93" s="19"/>
      <c r="G93" s="242"/>
      <c r="H93" s="238"/>
      <c r="I93" s="241"/>
      <c r="J93" s="240"/>
      <c r="K93" s="19"/>
    </row>
    <row r="94" spans="1:11" ht="19.5" customHeight="1" x14ac:dyDescent="0.25">
      <c r="A94" s="19"/>
      <c r="B94" s="233"/>
      <c r="C94" s="238"/>
      <c r="D94" s="251"/>
      <c r="E94" s="240"/>
      <c r="F94" s="19"/>
      <c r="G94" s="242"/>
      <c r="H94" s="238"/>
      <c r="I94" s="241"/>
      <c r="J94" s="240"/>
      <c r="K94" s="19"/>
    </row>
    <row r="95" spans="1:11" ht="19.5" customHeight="1" x14ac:dyDescent="0.25">
      <c r="A95" s="19"/>
      <c r="B95" s="233"/>
      <c r="C95" s="238"/>
      <c r="D95" s="251"/>
      <c r="E95" s="240"/>
      <c r="F95" s="19"/>
      <c r="G95" s="242"/>
      <c r="H95" s="238"/>
      <c r="I95" s="241"/>
      <c r="J95" s="240"/>
      <c r="K95" s="19"/>
    </row>
    <row r="96" spans="1:11" ht="19.5" customHeight="1" x14ac:dyDescent="0.25">
      <c r="A96" s="19"/>
      <c r="B96" s="233"/>
      <c r="C96" s="238"/>
      <c r="D96" s="239"/>
      <c r="E96" s="240"/>
      <c r="F96" s="19"/>
      <c r="G96" s="242"/>
      <c r="H96" s="238"/>
      <c r="I96" s="241"/>
      <c r="J96" s="240"/>
      <c r="K96" s="19"/>
    </row>
    <row r="97" spans="1:11" ht="19.5" customHeight="1" x14ac:dyDescent="0.25">
      <c r="A97" s="19"/>
      <c r="B97" s="233"/>
      <c r="C97" s="238"/>
      <c r="D97" s="239"/>
      <c r="E97" s="240"/>
      <c r="F97" s="19"/>
      <c r="G97" s="242"/>
      <c r="H97" s="238"/>
      <c r="I97" s="241"/>
      <c r="J97" s="240"/>
      <c r="K97" s="19"/>
    </row>
    <row r="98" spans="1:11" ht="19.5" customHeight="1" x14ac:dyDescent="0.25">
      <c r="A98" s="19"/>
      <c r="B98" s="233"/>
      <c r="C98" s="238"/>
      <c r="D98" s="239"/>
      <c r="E98" s="240"/>
      <c r="F98" s="19"/>
      <c r="G98" s="242"/>
      <c r="H98" s="238"/>
      <c r="I98" s="241"/>
      <c r="J98" s="240"/>
      <c r="K98" s="19"/>
    </row>
    <row r="99" spans="1:11" ht="19.5" customHeight="1" x14ac:dyDescent="0.25">
      <c r="A99" s="19"/>
      <c r="B99" s="233"/>
      <c r="C99" s="238"/>
      <c r="D99" s="239"/>
      <c r="E99" s="240"/>
      <c r="F99" s="19"/>
      <c r="G99" s="242"/>
      <c r="H99" s="238"/>
      <c r="I99" s="241"/>
      <c r="J99" s="240"/>
      <c r="K99" s="19"/>
    </row>
    <row r="100" spans="1:11" ht="19.5" customHeight="1" x14ac:dyDescent="0.25">
      <c r="A100" s="19"/>
      <c r="B100" s="233"/>
      <c r="C100" s="238"/>
      <c r="D100" s="239"/>
      <c r="E100" s="240"/>
      <c r="F100" s="19"/>
      <c r="G100" s="242"/>
      <c r="H100" s="238"/>
      <c r="I100" s="241"/>
      <c r="J100" s="240"/>
      <c r="K100" s="19"/>
    </row>
    <row r="101" spans="1:11" ht="19.5" customHeight="1" x14ac:dyDescent="0.25">
      <c r="A101" s="19"/>
      <c r="B101" s="233"/>
      <c r="C101" s="238"/>
      <c r="D101" s="239"/>
      <c r="E101" s="240"/>
      <c r="F101" s="19"/>
      <c r="G101" s="242"/>
      <c r="H101" s="238"/>
      <c r="I101" s="241"/>
      <c r="J101" s="240"/>
      <c r="K101" s="19"/>
    </row>
    <row r="102" spans="1:11" ht="19.5" customHeight="1" x14ac:dyDescent="0.25">
      <c r="A102" s="19"/>
      <c r="B102" s="233"/>
      <c r="C102" s="238"/>
      <c r="D102" s="239"/>
      <c r="E102" s="240"/>
      <c r="F102" s="19"/>
      <c r="G102" s="242"/>
      <c r="H102" s="238"/>
      <c r="I102" s="241"/>
      <c r="J102" s="240"/>
      <c r="K102" s="19"/>
    </row>
    <row r="103" spans="1:11" ht="19.5" customHeight="1" x14ac:dyDescent="0.25">
      <c r="A103" s="19"/>
      <c r="B103" s="233"/>
      <c r="C103" s="238"/>
      <c r="D103" s="239"/>
      <c r="E103" s="240"/>
      <c r="F103" s="19"/>
      <c r="G103" s="242"/>
      <c r="H103" s="238"/>
      <c r="I103" s="241"/>
      <c r="J103" s="240"/>
      <c r="K103" s="19"/>
    </row>
    <row r="104" spans="1:11" ht="19.5" customHeight="1" x14ac:dyDescent="0.25">
      <c r="A104" s="19"/>
      <c r="B104" s="233"/>
      <c r="C104" s="238"/>
      <c r="D104" s="239"/>
      <c r="E104" s="240"/>
      <c r="F104" s="19"/>
      <c r="G104" s="242"/>
      <c r="H104" s="238"/>
      <c r="I104" s="241"/>
      <c r="J104" s="240"/>
      <c r="K104" s="19"/>
    </row>
    <row r="105" spans="1:11" ht="19.5" customHeight="1" x14ac:dyDescent="0.25">
      <c r="A105" s="19"/>
      <c r="B105" s="233"/>
      <c r="C105" s="238"/>
      <c r="D105" s="239"/>
      <c r="E105" s="240"/>
      <c r="F105" s="19"/>
      <c r="G105" s="242"/>
      <c r="H105" s="238"/>
      <c r="I105" s="241"/>
      <c r="J105" s="240"/>
      <c r="K105" s="19"/>
    </row>
    <row r="106" spans="1:11" ht="19.5" customHeight="1" x14ac:dyDescent="0.25">
      <c r="A106" s="19"/>
      <c r="B106" s="233"/>
      <c r="C106" s="238"/>
      <c r="D106" s="239"/>
      <c r="E106" s="240"/>
      <c r="F106" s="19"/>
      <c r="G106" s="242"/>
      <c r="H106" s="238"/>
      <c r="I106" s="241"/>
      <c r="J106" s="240"/>
      <c r="K106" s="19"/>
    </row>
    <row r="107" spans="1:11" ht="19.5" customHeight="1" x14ac:dyDescent="0.25">
      <c r="A107" s="19"/>
      <c r="B107" s="233"/>
      <c r="C107" s="238"/>
      <c r="D107" s="239"/>
      <c r="E107" s="240"/>
      <c r="F107" s="19"/>
      <c r="G107" s="242"/>
      <c r="H107" s="238"/>
      <c r="I107" s="241"/>
      <c r="J107" s="240"/>
      <c r="K107" s="19"/>
    </row>
    <row r="108" spans="1:11" ht="19.5" customHeight="1" x14ac:dyDescent="0.25">
      <c r="A108" s="19"/>
      <c r="B108" s="233"/>
      <c r="C108" s="238"/>
      <c r="D108" s="239"/>
      <c r="E108" s="240"/>
      <c r="F108" s="19"/>
      <c r="G108" s="242"/>
      <c r="H108" s="238"/>
      <c r="I108" s="241"/>
      <c r="J108" s="240"/>
      <c r="K108" s="19"/>
    </row>
    <row r="109" spans="1:11" ht="19.5" customHeight="1" x14ac:dyDescent="0.25">
      <c r="A109" s="19"/>
      <c r="B109" s="233"/>
      <c r="C109" s="238"/>
      <c r="D109" s="239"/>
      <c r="E109" s="240"/>
      <c r="F109" s="19"/>
      <c r="G109" s="242"/>
      <c r="H109" s="238"/>
      <c r="I109" s="241"/>
      <c r="J109" s="240"/>
      <c r="K109" s="19"/>
    </row>
    <row r="110" spans="1:11" ht="19.5" customHeight="1" x14ac:dyDescent="0.25">
      <c r="A110" s="19"/>
      <c r="B110" s="233"/>
      <c r="C110" s="238"/>
      <c r="D110" s="239"/>
      <c r="E110" s="240"/>
      <c r="F110" s="19"/>
      <c r="G110" s="242"/>
      <c r="H110" s="238"/>
      <c r="I110" s="241"/>
      <c r="J110" s="240"/>
      <c r="K110" s="19"/>
    </row>
    <row r="111" spans="1:11" ht="19.5" customHeight="1" x14ac:dyDescent="0.25">
      <c r="A111" s="19"/>
      <c r="B111" s="233"/>
      <c r="C111" s="238"/>
      <c r="D111" s="239"/>
      <c r="E111" s="240"/>
      <c r="F111" s="19"/>
      <c r="G111" s="242"/>
      <c r="H111" s="238"/>
      <c r="I111" s="241"/>
      <c r="J111" s="240"/>
      <c r="K111" s="19"/>
    </row>
    <row r="112" spans="1:11" ht="19.5" customHeight="1" x14ac:dyDescent="0.25">
      <c r="A112" s="19"/>
      <c r="B112" s="233"/>
      <c r="C112" s="238"/>
      <c r="D112" s="239"/>
      <c r="E112" s="240"/>
      <c r="F112" s="19"/>
      <c r="G112" s="242"/>
      <c r="H112" s="238"/>
      <c r="I112" s="241"/>
      <c r="J112" s="240"/>
      <c r="K112" s="19"/>
    </row>
    <row r="113" spans="1:11" ht="19.5" customHeight="1" x14ac:dyDescent="0.25">
      <c r="A113" s="19"/>
      <c r="B113" s="233"/>
      <c r="C113" s="238"/>
      <c r="D113" s="239"/>
      <c r="E113" s="240"/>
      <c r="F113" s="19"/>
      <c r="G113" s="242"/>
      <c r="H113" s="238"/>
      <c r="I113" s="241"/>
      <c r="J113" s="240"/>
      <c r="K113" s="19"/>
    </row>
    <row r="114" spans="1:11" ht="19.5" customHeight="1" x14ac:dyDescent="0.25">
      <c r="A114" s="19"/>
      <c r="B114" s="233"/>
      <c r="C114" s="238"/>
      <c r="D114" s="239"/>
      <c r="E114" s="240"/>
      <c r="F114" s="19"/>
      <c r="G114" s="242"/>
      <c r="H114" s="238"/>
      <c r="I114" s="241"/>
      <c r="J114" s="240"/>
      <c r="K114" s="19"/>
    </row>
    <row r="115" spans="1:11" ht="19.5" customHeight="1" x14ac:dyDescent="0.25">
      <c r="A115" s="19"/>
      <c r="B115" s="233"/>
      <c r="C115" s="238"/>
      <c r="D115" s="239"/>
      <c r="E115" s="240"/>
      <c r="F115" s="19"/>
      <c r="G115" s="242"/>
      <c r="H115" s="238"/>
      <c r="I115" s="241"/>
      <c r="J115" s="240"/>
      <c r="K115" s="19"/>
    </row>
    <row r="116" spans="1:11" ht="19.5" customHeight="1" x14ac:dyDescent="0.25">
      <c r="A116" s="19"/>
      <c r="B116" s="233"/>
      <c r="C116" s="238"/>
      <c r="D116" s="239"/>
      <c r="E116" s="240"/>
      <c r="F116" s="19"/>
      <c r="G116" s="242"/>
      <c r="H116" s="238"/>
      <c r="I116" s="241"/>
      <c r="J116" s="240"/>
      <c r="K116" s="19"/>
    </row>
    <row r="117" spans="1:11" ht="19.5" customHeight="1" x14ac:dyDescent="0.25">
      <c r="A117" s="19"/>
      <c r="B117" s="233"/>
      <c r="C117" s="238"/>
      <c r="D117" s="239"/>
      <c r="E117" s="240"/>
      <c r="F117" s="19"/>
      <c r="G117" s="242"/>
      <c r="H117" s="238"/>
      <c r="I117" s="241"/>
      <c r="J117" s="240"/>
      <c r="K117" s="19"/>
    </row>
    <row r="118" spans="1:11" ht="19.5" customHeight="1" x14ac:dyDescent="0.25">
      <c r="A118" s="19"/>
      <c r="B118" s="233"/>
      <c r="C118" s="238"/>
      <c r="D118" s="239"/>
      <c r="E118" s="240"/>
      <c r="F118" s="19"/>
      <c r="G118" s="242"/>
      <c r="H118" s="238"/>
      <c r="I118" s="241"/>
      <c r="J118" s="240"/>
      <c r="K118" s="19"/>
    </row>
    <row r="119" spans="1:11" ht="19.5" customHeight="1" x14ac:dyDescent="0.25">
      <c r="A119" s="19"/>
      <c r="B119" s="233"/>
      <c r="C119" s="238"/>
      <c r="D119" s="239"/>
      <c r="E119" s="240"/>
      <c r="F119" s="19"/>
      <c r="G119" s="242"/>
      <c r="H119" s="238"/>
      <c r="I119" s="241"/>
      <c r="J119" s="240"/>
      <c r="K119" s="19"/>
    </row>
    <row r="120" spans="1:11" ht="19.5" customHeight="1" x14ac:dyDescent="0.25">
      <c r="A120" s="19"/>
      <c r="B120" s="233"/>
      <c r="C120" s="238"/>
      <c r="D120" s="239"/>
      <c r="E120" s="240"/>
      <c r="F120" s="19"/>
      <c r="G120" s="242"/>
      <c r="H120" s="238"/>
      <c r="I120" s="241"/>
      <c r="J120" s="240"/>
      <c r="K120" s="19"/>
    </row>
    <row r="121" spans="1:11" ht="19.5" customHeight="1" x14ac:dyDescent="0.25">
      <c r="A121" s="19"/>
      <c r="B121" s="233"/>
      <c r="C121" s="238"/>
      <c r="D121" s="239"/>
      <c r="E121" s="240"/>
      <c r="F121" s="19"/>
      <c r="G121" s="242"/>
      <c r="H121" s="238"/>
      <c r="I121" s="241"/>
      <c r="J121" s="240"/>
      <c r="K121" s="19"/>
    </row>
    <row r="122" spans="1:11" ht="19.5" customHeight="1" x14ac:dyDescent="0.25">
      <c r="A122" s="19"/>
      <c r="B122" s="233"/>
      <c r="C122" s="238"/>
      <c r="D122" s="239"/>
      <c r="E122" s="240"/>
      <c r="F122" s="19"/>
      <c r="G122" s="242"/>
      <c r="H122" s="238"/>
      <c r="I122" s="241"/>
      <c r="J122" s="240"/>
      <c r="K122" s="19"/>
    </row>
    <row r="123" spans="1:11" ht="19.5" customHeight="1" x14ac:dyDescent="0.25">
      <c r="A123" s="19"/>
      <c r="B123" s="233"/>
      <c r="C123" s="238"/>
      <c r="D123" s="239"/>
      <c r="E123" s="240"/>
      <c r="F123" s="19"/>
      <c r="G123" s="242"/>
      <c r="H123" s="238"/>
      <c r="I123" s="241"/>
      <c r="J123" s="240"/>
      <c r="K123" s="19"/>
    </row>
    <row r="124" spans="1:11" ht="19.5" customHeight="1" x14ac:dyDescent="0.25">
      <c r="A124" s="19"/>
      <c r="B124" s="233"/>
      <c r="C124" s="238"/>
      <c r="D124" s="239"/>
      <c r="E124" s="240"/>
      <c r="F124" s="19"/>
      <c r="G124" s="242"/>
      <c r="H124" s="238"/>
      <c r="I124" s="241"/>
      <c r="J124" s="240"/>
      <c r="K124" s="19"/>
    </row>
    <row r="125" spans="1:11" ht="19.5" customHeight="1" x14ac:dyDescent="0.25">
      <c r="A125" s="19"/>
      <c r="B125" s="233"/>
      <c r="C125" s="238"/>
      <c r="D125" s="239"/>
      <c r="E125" s="240"/>
      <c r="F125" s="19"/>
      <c r="G125" s="242"/>
      <c r="H125" s="238"/>
      <c r="I125" s="241"/>
      <c r="J125" s="240"/>
      <c r="K125" s="19"/>
    </row>
    <row r="126" spans="1:11" ht="19.5" customHeight="1" x14ac:dyDescent="0.25">
      <c r="A126" s="19"/>
      <c r="B126" s="233"/>
      <c r="C126" s="238"/>
      <c r="D126" s="239"/>
      <c r="E126" s="240"/>
      <c r="F126" s="19"/>
      <c r="G126" s="242"/>
      <c r="H126" s="238"/>
      <c r="I126" s="241"/>
      <c r="J126" s="240"/>
      <c r="K126" s="19"/>
    </row>
    <row r="127" spans="1:11" ht="19.5" customHeight="1" x14ac:dyDescent="0.25">
      <c r="A127" s="19"/>
      <c r="B127" s="233"/>
      <c r="C127" s="238"/>
      <c r="D127" s="239"/>
      <c r="E127" s="240"/>
      <c r="F127" s="19"/>
      <c r="G127" s="242"/>
      <c r="H127" s="238"/>
      <c r="I127" s="241"/>
      <c r="J127" s="240"/>
      <c r="K127" s="19"/>
    </row>
    <row r="128" spans="1:11" ht="19.5" customHeight="1" x14ac:dyDescent="0.25">
      <c r="A128" s="19"/>
      <c r="B128" s="233"/>
      <c r="C128" s="238"/>
      <c r="D128" s="239"/>
      <c r="E128" s="240"/>
      <c r="F128" s="19"/>
      <c r="G128" s="242"/>
      <c r="H128" s="238"/>
      <c r="I128" s="241"/>
      <c r="J128" s="240"/>
      <c r="K128" s="19"/>
    </row>
    <row r="129" spans="1:11" ht="19.5" customHeight="1" x14ac:dyDescent="0.25">
      <c r="A129" s="19"/>
      <c r="B129" s="233"/>
      <c r="C129" s="238"/>
      <c r="D129" s="239"/>
      <c r="E129" s="240"/>
      <c r="F129" s="19"/>
      <c r="G129" s="242"/>
      <c r="H129" s="238"/>
      <c r="I129" s="241"/>
      <c r="J129" s="240"/>
      <c r="K129" s="19"/>
    </row>
    <row r="130" spans="1:11" ht="19.5" customHeight="1" x14ac:dyDescent="0.25">
      <c r="A130" s="19"/>
      <c r="B130" s="233"/>
      <c r="C130" s="238"/>
      <c r="D130" s="239"/>
      <c r="E130" s="240"/>
      <c r="F130" s="19"/>
      <c r="G130" s="242"/>
      <c r="H130" s="238"/>
      <c r="I130" s="241"/>
      <c r="J130" s="240"/>
      <c r="K130" s="19"/>
    </row>
    <row r="131" spans="1:11" ht="19.5" customHeight="1" x14ac:dyDescent="0.25">
      <c r="A131" s="19"/>
      <c r="B131" s="233"/>
      <c r="C131" s="238"/>
      <c r="D131" s="239"/>
      <c r="E131" s="240"/>
      <c r="F131" s="19"/>
      <c r="G131" s="242"/>
      <c r="H131" s="238"/>
      <c r="I131" s="241"/>
      <c r="J131" s="240"/>
      <c r="K131" s="19"/>
    </row>
    <row r="132" spans="1:11" ht="19.5" customHeight="1" x14ac:dyDescent="0.25">
      <c r="A132" s="19"/>
      <c r="B132" s="233"/>
      <c r="C132" s="238"/>
      <c r="D132" s="239"/>
      <c r="E132" s="240"/>
      <c r="F132" s="19"/>
      <c r="G132" s="242"/>
      <c r="H132" s="238"/>
      <c r="I132" s="241"/>
      <c r="J132" s="240"/>
      <c r="K132" s="19"/>
    </row>
    <row r="133" spans="1:11" ht="19.5" customHeight="1" x14ac:dyDescent="0.25">
      <c r="A133" s="19"/>
      <c r="B133" s="233"/>
      <c r="C133" s="238"/>
      <c r="D133" s="239"/>
      <c r="E133" s="240"/>
      <c r="F133" s="19"/>
      <c r="G133" s="242"/>
      <c r="H133" s="238"/>
      <c r="I133" s="241"/>
      <c r="J133" s="240"/>
      <c r="K133" s="19"/>
    </row>
    <row r="134" spans="1:11" ht="19.5" customHeight="1" x14ac:dyDescent="0.25">
      <c r="A134" s="19"/>
      <c r="B134" s="233"/>
      <c r="C134" s="238"/>
      <c r="D134" s="239"/>
      <c r="E134" s="240"/>
      <c r="F134" s="19"/>
      <c r="G134" s="242"/>
      <c r="H134" s="238"/>
      <c r="I134" s="241"/>
      <c r="J134" s="240"/>
      <c r="K134" s="19"/>
    </row>
    <row r="135" spans="1:11" ht="19.5" customHeight="1" x14ac:dyDescent="0.25">
      <c r="A135" s="19"/>
      <c r="B135" s="233"/>
      <c r="C135" s="238"/>
      <c r="D135" s="239"/>
      <c r="E135" s="240"/>
      <c r="F135" s="19"/>
      <c r="G135" s="242"/>
      <c r="H135" s="238"/>
      <c r="I135" s="241"/>
      <c r="J135" s="240"/>
      <c r="K135" s="19"/>
    </row>
    <row r="136" spans="1:11" ht="19.5" customHeight="1" x14ac:dyDescent="0.25">
      <c r="A136" s="19"/>
      <c r="B136" s="233"/>
      <c r="C136" s="238"/>
      <c r="D136" s="239"/>
      <c r="E136" s="240"/>
      <c r="F136" s="19"/>
      <c r="G136" s="242"/>
      <c r="H136" s="238"/>
      <c r="I136" s="241"/>
      <c r="J136" s="240"/>
      <c r="K136" s="19"/>
    </row>
    <row r="137" spans="1:11" ht="19.5" customHeight="1" x14ac:dyDescent="0.25">
      <c r="A137" s="19"/>
      <c r="B137" s="233"/>
      <c r="C137" s="238"/>
      <c r="D137" s="239"/>
      <c r="E137" s="240"/>
      <c r="F137" s="19"/>
      <c r="G137" s="242"/>
      <c r="H137" s="238"/>
      <c r="I137" s="241"/>
      <c r="J137" s="240"/>
      <c r="K137" s="19"/>
    </row>
    <row r="138" spans="1:11" ht="19.5" customHeight="1" x14ac:dyDescent="0.25">
      <c r="A138" s="19"/>
      <c r="B138" s="233"/>
      <c r="C138" s="238"/>
      <c r="D138" s="239"/>
      <c r="E138" s="240"/>
      <c r="F138" s="19"/>
      <c r="G138" s="242"/>
      <c r="H138" s="238"/>
      <c r="I138" s="241"/>
      <c r="J138" s="240"/>
      <c r="K138" s="19"/>
    </row>
    <row r="139" spans="1:11" ht="19.5" customHeight="1" x14ac:dyDescent="0.25">
      <c r="A139" s="19"/>
      <c r="B139" s="233"/>
      <c r="C139" s="238"/>
      <c r="D139" s="239"/>
      <c r="E139" s="240"/>
      <c r="F139" s="19"/>
      <c r="G139" s="242"/>
      <c r="H139" s="238"/>
      <c r="I139" s="241"/>
      <c r="J139" s="240"/>
      <c r="K139" s="19"/>
    </row>
    <row r="140" spans="1:11" ht="19.5" customHeight="1" x14ac:dyDescent="0.25">
      <c r="A140" s="19"/>
      <c r="B140" s="233"/>
      <c r="C140" s="238"/>
      <c r="D140" s="239"/>
      <c r="E140" s="240"/>
      <c r="F140" s="19"/>
      <c r="G140" s="242"/>
      <c r="H140" s="238"/>
      <c r="I140" s="241"/>
      <c r="J140" s="240"/>
      <c r="K140" s="19"/>
    </row>
    <row r="141" spans="1:11" ht="19.5" customHeight="1" x14ac:dyDescent="0.25">
      <c r="A141" s="19"/>
      <c r="B141" s="233"/>
      <c r="C141" s="238"/>
      <c r="D141" s="239"/>
      <c r="E141" s="240"/>
      <c r="F141" s="19"/>
      <c r="G141" s="242"/>
      <c r="H141" s="238"/>
      <c r="I141" s="241"/>
      <c r="J141" s="240"/>
      <c r="K141" s="19"/>
    </row>
    <row r="142" spans="1:11" ht="19.5" customHeight="1" x14ac:dyDescent="0.25">
      <c r="A142" s="19"/>
      <c r="B142" s="233"/>
      <c r="C142" s="238"/>
      <c r="D142" s="239"/>
      <c r="E142" s="240"/>
      <c r="F142" s="19"/>
      <c r="G142" s="242"/>
      <c r="H142" s="238"/>
      <c r="I142" s="241"/>
      <c r="J142" s="240"/>
      <c r="K142" s="19"/>
    </row>
    <row r="143" spans="1:11" ht="19.5" customHeight="1" x14ac:dyDescent="0.25">
      <c r="A143" s="19"/>
      <c r="B143" s="233"/>
      <c r="C143" s="238"/>
      <c r="D143" s="239"/>
      <c r="E143" s="240"/>
      <c r="F143" s="19"/>
      <c r="G143" s="242"/>
      <c r="H143" s="238"/>
      <c r="I143" s="241"/>
      <c r="J143" s="240"/>
      <c r="K143" s="19"/>
    </row>
    <row r="144" spans="1:11" ht="19.5" customHeight="1" x14ac:dyDescent="0.25">
      <c r="A144" s="19"/>
      <c r="B144" s="233"/>
      <c r="C144" s="238"/>
      <c r="D144" s="239"/>
      <c r="E144" s="240"/>
      <c r="F144" s="19"/>
      <c r="G144" s="242"/>
      <c r="H144" s="238"/>
      <c r="I144" s="241"/>
      <c r="J144" s="240"/>
      <c r="K144" s="19"/>
    </row>
    <row r="145" spans="1:11" ht="19.5" customHeight="1" x14ac:dyDescent="0.25">
      <c r="A145" s="19"/>
      <c r="B145" s="233"/>
      <c r="C145" s="238"/>
      <c r="D145" s="239"/>
      <c r="E145" s="240"/>
      <c r="F145" s="19"/>
      <c r="G145" s="242"/>
      <c r="H145" s="238"/>
      <c r="I145" s="241"/>
      <c r="J145" s="240"/>
      <c r="K145" s="19"/>
    </row>
    <row r="146" spans="1:11" ht="19.5" customHeight="1" x14ac:dyDescent="0.25">
      <c r="A146" s="19"/>
      <c r="B146" s="233"/>
      <c r="C146" s="238"/>
      <c r="D146" s="239"/>
      <c r="E146" s="240"/>
      <c r="F146" s="19"/>
      <c r="G146" s="242"/>
      <c r="H146" s="238"/>
      <c r="I146" s="241"/>
      <c r="J146" s="240"/>
      <c r="K146" s="19"/>
    </row>
    <row r="147" spans="1:11" ht="19.5" customHeight="1" x14ac:dyDescent="0.25">
      <c r="A147" s="19"/>
      <c r="B147" s="233"/>
      <c r="C147" s="238"/>
      <c r="D147" s="239"/>
      <c r="E147" s="240"/>
      <c r="F147" s="19"/>
      <c r="G147" s="242"/>
      <c r="H147" s="238"/>
      <c r="I147" s="241"/>
      <c r="J147" s="240"/>
      <c r="K147" s="19"/>
    </row>
    <row r="148" spans="1:11" ht="19.5" customHeight="1" x14ac:dyDescent="0.25">
      <c r="A148" s="19"/>
      <c r="B148" s="233"/>
      <c r="C148" s="238"/>
      <c r="D148" s="239"/>
      <c r="E148" s="240"/>
      <c r="F148" s="19"/>
      <c r="G148" s="242"/>
      <c r="H148" s="238"/>
      <c r="I148" s="241"/>
      <c r="J148" s="240"/>
      <c r="K148" s="19"/>
    </row>
    <row r="149" spans="1:11" ht="19.5" customHeight="1" x14ac:dyDescent="0.25">
      <c r="A149" s="19"/>
      <c r="B149" s="233"/>
      <c r="C149" s="238"/>
      <c r="D149" s="239"/>
      <c r="E149" s="240"/>
      <c r="F149" s="19"/>
      <c r="G149" s="242"/>
      <c r="H149" s="238"/>
      <c r="I149" s="241"/>
      <c r="J149" s="240"/>
      <c r="K149" s="19"/>
    </row>
    <row r="150" spans="1:11" ht="19.5" customHeight="1" x14ac:dyDescent="0.25">
      <c r="A150" s="19"/>
      <c r="B150" s="233"/>
      <c r="C150" s="238"/>
      <c r="D150" s="239"/>
      <c r="E150" s="240"/>
      <c r="F150" s="19"/>
      <c r="G150" s="242"/>
      <c r="H150" s="238"/>
      <c r="I150" s="241"/>
      <c r="J150" s="240"/>
      <c r="K150" s="19"/>
    </row>
    <row r="151" spans="1:11" ht="19.5" customHeight="1" x14ac:dyDescent="0.25">
      <c r="A151" s="19"/>
      <c r="B151" s="233"/>
      <c r="C151" s="238"/>
      <c r="D151" s="239"/>
      <c r="E151" s="240"/>
      <c r="F151" s="19"/>
      <c r="G151" s="242"/>
      <c r="H151" s="238"/>
      <c r="I151" s="241"/>
      <c r="J151" s="240"/>
      <c r="K151" s="19"/>
    </row>
    <row r="152" spans="1:11" ht="19.5" customHeight="1" x14ac:dyDescent="0.25">
      <c r="A152" s="19"/>
      <c r="B152" s="233"/>
      <c r="C152" s="238"/>
      <c r="D152" s="239"/>
      <c r="E152" s="240"/>
      <c r="F152" s="19"/>
      <c r="G152" s="242"/>
      <c r="H152" s="238"/>
      <c r="I152" s="241"/>
      <c r="J152" s="240"/>
      <c r="K152" s="19"/>
    </row>
    <row r="153" spans="1:11" ht="19.5" customHeight="1" x14ac:dyDescent="0.25">
      <c r="A153" s="19"/>
      <c r="B153" s="233"/>
      <c r="C153" s="238"/>
      <c r="D153" s="239"/>
      <c r="E153" s="240"/>
      <c r="F153" s="19"/>
      <c r="G153" s="242"/>
      <c r="H153" s="238"/>
      <c r="I153" s="241"/>
      <c r="J153" s="240"/>
      <c r="K153" s="19"/>
    </row>
    <row r="154" spans="1:11" ht="19.5" customHeight="1" x14ac:dyDescent="0.25">
      <c r="A154" s="19"/>
      <c r="B154" s="233"/>
      <c r="C154" s="238"/>
      <c r="D154" s="239"/>
      <c r="E154" s="240"/>
      <c r="F154" s="19"/>
      <c r="G154" s="242"/>
      <c r="H154" s="238"/>
      <c r="I154" s="241"/>
      <c r="J154" s="240"/>
      <c r="K154" s="19"/>
    </row>
    <row r="155" spans="1:11" ht="19.5" customHeight="1" x14ac:dyDescent="0.25">
      <c r="A155" s="19"/>
      <c r="B155" s="233"/>
      <c r="C155" s="238"/>
      <c r="D155" s="239"/>
      <c r="E155" s="240"/>
      <c r="F155" s="19"/>
      <c r="G155" s="242"/>
      <c r="H155" s="238"/>
      <c r="I155" s="241"/>
      <c r="J155" s="240"/>
      <c r="K155" s="19"/>
    </row>
    <row r="156" spans="1:11" ht="19.5" customHeight="1" x14ac:dyDescent="0.25">
      <c r="A156" s="19"/>
      <c r="B156" s="233"/>
      <c r="C156" s="238"/>
      <c r="D156" s="239"/>
      <c r="E156" s="240"/>
      <c r="F156" s="19"/>
      <c r="G156" s="242"/>
      <c r="H156" s="238"/>
      <c r="I156" s="241"/>
      <c r="J156" s="240"/>
      <c r="K156" s="19"/>
    </row>
    <row r="157" spans="1:11" ht="19.5" customHeight="1" x14ac:dyDescent="0.25">
      <c r="A157" s="19"/>
      <c r="B157" s="233"/>
      <c r="C157" s="238"/>
      <c r="D157" s="239"/>
      <c r="E157" s="240"/>
      <c r="F157" s="19"/>
      <c r="G157" s="242"/>
      <c r="H157" s="238"/>
      <c r="I157" s="241"/>
      <c r="J157" s="240"/>
      <c r="K157" s="19"/>
    </row>
    <row r="158" spans="1:11" ht="19.5" customHeight="1" x14ac:dyDescent="0.25">
      <c r="A158" s="19"/>
      <c r="B158" s="233"/>
      <c r="C158" s="238"/>
      <c r="D158" s="239"/>
      <c r="E158" s="240"/>
      <c r="F158" s="19"/>
      <c r="G158" s="242"/>
      <c r="H158" s="238"/>
      <c r="I158" s="241"/>
      <c r="J158" s="240"/>
      <c r="K158" s="19"/>
    </row>
    <row r="159" spans="1:11" ht="19.5" customHeight="1" x14ac:dyDescent="0.25">
      <c r="A159" s="19"/>
      <c r="B159" s="245"/>
      <c r="C159" s="246"/>
      <c r="D159" s="248"/>
      <c r="E159" s="247"/>
      <c r="F159" s="19"/>
      <c r="G159" s="242"/>
      <c r="H159" s="238"/>
      <c r="I159" s="241"/>
      <c r="J159" s="240"/>
      <c r="K159" s="19"/>
    </row>
    <row r="160" spans="1:11" ht="19.5" customHeight="1" x14ac:dyDescent="0.25">
      <c r="A160" s="19"/>
      <c r="B160" s="245"/>
      <c r="C160" s="246"/>
      <c r="D160" s="248"/>
      <c r="E160" s="247"/>
      <c r="F160" s="19"/>
      <c r="G160" s="242"/>
      <c r="H160" s="238"/>
      <c r="I160" s="241"/>
      <c r="J160" s="240"/>
      <c r="K160" s="19"/>
    </row>
    <row r="161" spans="1:11" ht="19.5" customHeight="1" x14ac:dyDescent="0.25">
      <c r="A161" s="19"/>
      <c r="B161" s="245"/>
      <c r="C161" s="246"/>
      <c r="D161" s="248"/>
      <c r="E161" s="247"/>
      <c r="F161" s="19"/>
      <c r="G161" s="242"/>
      <c r="H161" s="238"/>
      <c r="I161" s="241"/>
      <c r="J161" s="240"/>
      <c r="K161" s="19"/>
    </row>
    <row r="162" spans="1:11" ht="19.5" customHeight="1" x14ac:dyDescent="0.25">
      <c r="A162" s="19"/>
      <c r="B162" s="245"/>
      <c r="C162" s="246"/>
      <c r="D162" s="248"/>
      <c r="E162" s="247"/>
      <c r="F162" s="19"/>
      <c r="G162" s="242"/>
      <c r="H162" s="238"/>
      <c r="I162" s="241"/>
      <c r="J162" s="240"/>
      <c r="K162" s="19"/>
    </row>
    <row r="163" spans="1:11" ht="19.5" customHeight="1" x14ac:dyDescent="0.25">
      <c r="A163" s="19"/>
      <c r="B163" s="245"/>
      <c r="C163" s="246"/>
      <c r="D163" s="248"/>
      <c r="E163" s="247"/>
      <c r="F163" s="19"/>
      <c r="G163" s="242"/>
      <c r="H163" s="238"/>
      <c r="I163" s="241"/>
      <c r="J163" s="240"/>
      <c r="K163" s="19"/>
    </row>
    <row r="164" spans="1:11" ht="19.5" customHeight="1" x14ac:dyDescent="0.25">
      <c r="A164" s="19"/>
      <c r="B164" s="245"/>
      <c r="C164" s="246"/>
      <c r="D164" s="248"/>
      <c r="E164" s="247"/>
      <c r="F164" s="19"/>
      <c r="G164" s="242"/>
      <c r="H164" s="238"/>
      <c r="I164" s="241"/>
      <c r="J164" s="240"/>
      <c r="K164" s="19"/>
    </row>
    <row r="165" spans="1:11" ht="19.5" customHeight="1" x14ac:dyDescent="0.25">
      <c r="A165" s="19"/>
      <c r="B165" s="245"/>
      <c r="C165" s="246"/>
      <c r="D165" s="248"/>
      <c r="E165" s="247"/>
      <c r="F165" s="19"/>
      <c r="G165" s="242"/>
      <c r="H165" s="238"/>
      <c r="I165" s="241"/>
      <c r="J165" s="240"/>
      <c r="K165" s="19"/>
    </row>
    <row r="166" spans="1:11" ht="19.5" customHeight="1" x14ac:dyDescent="0.25">
      <c r="A166" s="19"/>
      <c r="B166" s="245"/>
      <c r="C166" s="246"/>
      <c r="D166" s="248"/>
      <c r="E166" s="247"/>
      <c r="F166" s="19"/>
      <c r="G166" s="242"/>
      <c r="H166" s="238"/>
      <c r="I166" s="241"/>
      <c r="J166" s="240"/>
      <c r="K166" s="19"/>
    </row>
    <row r="167" spans="1:11" ht="19.5" customHeight="1" x14ac:dyDescent="0.25">
      <c r="A167" s="19"/>
      <c r="B167" s="245"/>
      <c r="C167" s="246"/>
      <c r="D167" s="248"/>
      <c r="E167" s="247"/>
      <c r="F167" s="19"/>
      <c r="G167" s="242"/>
      <c r="H167" s="238"/>
      <c r="I167" s="241"/>
      <c r="J167" s="240"/>
      <c r="K167" s="19"/>
    </row>
    <row r="168" spans="1:11" ht="19.5" customHeight="1" x14ac:dyDescent="0.25">
      <c r="A168" s="19"/>
      <c r="B168" s="245"/>
      <c r="C168" s="246"/>
      <c r="D168" s="248"/>
      <c r="E168" s="247"/>
      <c r="F168" s="19"/>
      <c r="G168" s="242"/>
      <c r="H168" s="238"/>
      <c r="I168" s="241"/>
      <c r="J168" s="240"/>
      <c r="K168" s="19"/>
    </row>
    <row r="169" spans="1:11" ht="19.5" customHeight="1" x14ac:dyDescent="0.25">
      <c r="A169" s="19"/>
      <c r="B169" s="245"/>
      <c r="C169" s="246"/>
      <c r="D169" s="248"/>
      <c r="E169" s="247"/>
      <c r="F169" s="19"/>
      <c r="G169" s="242"/>
      <c r="H169" s="238"/>
      <c r="I169" s="241"/>
      <c r="J169" s="240"/>
      <c r="K169" s="19"/>
    </row>
    <row r="170" spans="1:11" ht="19.5" customHeight="1" x14ac:dyDescent="0.25">
      <c r="A170" s="19"/>
      <c r="B170" s="245"/>
      <c r="C170" s="246"/>
      <c r="D170" s="248"/>
      <c r="E170" s="247"/>
      <c r="F170" s="19"/>
      <c r="G170" s="242"/>
      <c r="H170" s="238"/>
      <c r="I170" s="241"/>
      <c r="J170" s="240"/>
      <c r="K170" s="19"/>
    </row>
    <row r="171" spans="1:11" ht="19.5" customHeight="1" x14ac:dyDescent="0.25">
      <c r="A171" s="19"/>
      <c r="B171" s="245"/>
      <c r="C171" s="246"/>
      <c r="D171" s="248"/>
      <c r="E171" s="247"/>
      <c r="F171" s="19"/>
      <c r="G171" s="242"/>
      <c r="H171" s="238"/>
      <c r="I171" s="241"/>
      <c r="J171" s="240"/>
      <c r="K171" s="19"/>
    </row>
    <row r="172" spans="1:11" ht="19.5" customHeight="1" x14ac:dyDescent="0.25">
      <c r="A172" s="19"/>
      <c r="B172" s="245"/>
      <c r="C172" s="246"/>
      <c r="D172" s="248"/>
      <c r="E172" s="247"/>
      <c r="F172" s="19"/>
      <c r="G172" s="242"/>
      <c r="H172" s="238"/>
      <c r="I172" s="241"/>
      <c r="J172" s="240"/>
      <c r="K172" s="19"/>
    </row>
    <row r="173" spans="1:11" ht="19.5" customHeight="1" x14ac:dyDescent="0.25">
      <c r="A173" s="19"/>
      <c r="B173" s="245"/>
      <c r="C173" s="246"/>
      <c r="D173" s="248"/>
      <c r="E173" s="247"/>
      <c r="F173" s="19"/>
      <c r="G173" s="242"/>
      <c r="H173" s="238"/>
      <c r="I173" s="241"/>
      <c r="J173" s="240"/>
      <c r="K173" s="19"/>
    </row>
    <row r="174" spans="1:11" ht="19.5" customHeight="1" x14ac:dyDescent="0.25">
      <c r="A174" s="19"/>
      <c r="B174" s="245"/>
      <c r="C174" s="246"/>
      <c r="D174" s="248"/>
      <c r="E174" s="247"/>
      <c r="F174" s="19"/>
      <c r="G174" s="242"/>
      <c r="H174" s="238"/>
      <c r="I174" s="241"/>
      <c r="J174" s="240"/>
      <c r="K174" s="19"/>
    </row>
    <row r="175" spans="1:11" ht="19.5" customHeight="1" x14ac:dyDescent="0.25">
      <c r="A175" s="19"/>
      <c r="B175" s="245"/>
      <c r="C175" s="246"/>
      <c r="D175" s="248"/>
      <c r="E175" s="247"/>
      <c r="F175" s="19"/>
      <c r="G175" s="245"/>
      <c r="H175" s="246"/>
      <c r="I175" s="126"/>
      <c r="J175" s="247"/>
      <c r="K175" s="19"/>
    </row>
    <row r="176" spans="1:11" ht="19.5" customHeight="1" x14ac:dyDescent="0.25">
      <c r="A176" s="19"/>
      <c r="B176" s="245"/>
      <c r="C176" s="246"/>
      <c r="D176" s="248"/>
      <c r="E176" s="247"/>
      <c r="F176" s="19"/>
      <c r="G176" s="245"/>
      <c r="H176" s="246"/>
      <c r="I176" s="126"/>
      <c r="J176" s="247"/>
      <c r="K176" s="19"/>
    </row>
    <row r="177" spans="1:11" ht="19.5" customHeight="1" x14ac:dyDescent="0.25">
      <c r="A177" s="19"/>
      <c r="B177" s="245"/>
      <c r="C177" s="246"/>
      <c r="D177" s="248"/>
      <c r="E177" s="247"/>
      <c r="F177" s="19"/>
      <c r="G177" s="245"/>
      <c r="H177" s="246"/>
      <c r="I177" s="126"/>
      <c r="J177" s="247"/>
      <c r="K177" s="19"/>
    </row>
    <row r="178" spans="1:11" ht="19.5" customHeight="1" x14ac:dyDescent="0.25">
      <c r="A178" s="19"/>
      <c r="B178" s="245"/>
      <c r="C178" s="246"/>
      <c r="D178" s="248"/>
      <c r="E178" s="247"/>
      <c r="F178" s="19"/>
      <c r="G178" s="245"/>
      <c r="H178" s="246"/>
      <c r="I178" s="126"/>
      <c r="J178" s="247"/>
      <c r="K178" s="19"/>
    </row>
    <row r="179" spans="1:11" ht="19.5" customHeight="1" x14ac:dyDescent="0.25">
      <c r="A179" s="19"/>
      <c r="B179" s="245"/>
      <c r="C179" s="246"/>
      <c r="D179" s="248"/>
      <c r="E179" s="247"/>
      <c r="F179" s="19"/>
      <c r="G179" s="245"/>
      <c r="H179" s="246"/>
      <c r="I179" s="126"/>
      <c r="J179" s="247"/>
      <c r="K179" s="19"/>
    </row>
    <row r="180" spans="1:11" ht="19.5" customHeight="1" x14ac:dyDescent="0.25">
      <c r="A180" s="19"/>
      <c r="B180" s="245"/>
      <c r="C180" s="246"/>
      <c r="D180" s="248"/>
      <c r="E180" s="247"/>
      <c r="F180" s="19"/>
      <c r="G180" s="245"/>
      <c r="H180" s="246"/>
      <c r="I180" s="126"/>
      <c r="J180" s="247"/>
      <c r="K180" s="19"/>
    </row>
    <row r="181" spans="1:11" ht="19.5" customHeight="1" x14ac:dyDescent="0.25">
      <c r="A181" s="19"/>
      <c r="B181" s="245"/>
      <c r="C181" s="246"/>
      <c r="D181" s="248"/>
      <c r="E181" s="247"/>
      <c r="F181" s="19"/>
      <c r="G181" s="245"/>
      <c r="H181" s="246"/>
      <c r="I181" s="126"/>
      <c r="J181" s="247"/>
      <c r="K181" s="19"/>
    </row>
    <row r="182" spans="1:11" ht="19.5" customHeight="1" x14ac:dyDescent="0.25">
      <c r="A182" s="19"/>
      <c r="B182" s="245"/>
      <c r="C182" s="246"/>
      <c r="D182" s="248"/>
      <c r="E182" s="247"/>
      <c r="F182" s="19"/>
      <c r="G182" s="245"/>
      <c r="H182" s="246"/>
      <c r="I182" s="126"/>
      <c r="J182" s="247"/>
      <c r="K182" s="19"/>
    </row>
    <row r="183" spans="1:11" ht="19.5" customHeight="1" x14ac:dyDescent="0.25">
      <c r="A183" s="19"/>
      <c r="B183" s="245"/>
      <c r="C183" s="246"/>
      <c r="D183" s="248"/>
      <c r="E183" s="247"/>
      <c r="F183" s="19"/>
      <c r="G183" s="245"/>
      <c r="H183" s="246"/>
      <c r="I183" s="126"/>
      <c r="J183" s="247"/>
      <c r="K183" s="19"/>
    </row>
    <row r="184" spans="1:11" ht="19.5" customHeight="1" x14ac:dyDescent="0.25">
      <c r="A184" s="19"/>
      <c r="B184" s="245"/>
      <c r="C184" s="246"/>
      <c r="D184" s="248"/>
      <c r="E184" s="247"/>
      <c r="F184" s="19"/>
      <c r="G184" s="245"/>
      <c r="H184" s="246"/>
      <c r="I184" s="126"/>
      <c r="J184" s="247"/>
      <c r="K184" s="19"/>
    </row>
    <row r="185" spans="1:11" ht="19.5" customHeight="1" x14ac:dyDescent="0.25">
      <c r="A185" s="19"/>
      <c r="B185" s="245"/>
      <c r="C185" s="246"/>
      <c r="D185" s="248"/>
      <c r="E185" s="247"/>
      <c r="F185" s="19"/>
      <c r="G185" s="245"/>
      <c r="H185" s="246"/>
      <c r="I185" s="126"/>
      <c r="J185" s="247"/>
      <c r="K185" s="19"/>
    </row>
    <row r="186" spans="1:11" ht="19.5" customHeight="1" x14ac:dyDescent="0.25">
      <c r="A186" s="19"/>
      <c r="B186" s="245"/>
      <c r="C186" s="246"/>
      <c r="D186" s="248"/>
      <c r="E186" s="247"/>
      <c r="F186" s="19"/>
      <c r="G186" s="245"/>
      <c r="H186" s="246"/>
      <c r="I186" s="126"/>
      <c r="J186" s="247"/>
      <c r="K186" s="19"/>
    </row>
    <row r="187" spans="1:11" ht="19.5" customHeight="1" x14ac:dyDescent="0.25">
      <c r="A187" s="19"/>
      <c r="B187" s="245"/>
      <c r="C187" s="246"/>
      <c r="D187" s="248"/>
      <c r="E187" s="247"/>
      <c r="F187" s="19"/>
      <c r="G187" s="245"/>
      <c r="H187" s="246"/>
      <c r="I187" s="126"/>
      <c r="J187" s="247"/>
      <c r="K187" s="19"/>
    </row>
    <row r="188" spans="1:11" ht="19.5" customHeight="1" x14ac:dyDescent="0.25">
      <c r="A188" s="19"/>
      <c r="B188" s="245"/>
      <c r="C188" s="246"/>
      <c r="D188" s="248"/>
      <c r="E188" s="247"/>
      <c r="F188" s="19"/>
      <c r="G188" s="245"/>
      <c r="H188" s="246"/>
      <c r="I188" s="126"/>
      <c r="J188" s="247"/>
      <c r="K188" s="19"/>
    </row>
    <row r="189" spans="1:11" ht="19.5" customHeight="1" x14ac:dyDescent="0.25">
      <c r="A189" s="19"/>
      <c r="B189" s="245"/>
      <c r="C189" s="246"/>
      <c r="D189" s="248"/>
      <c r="E189" s="247"/>
      <c r="F189" s="19"/>
      <c r="G189" s="245"/>
      <c r="H189" s="246"/>
      <c r="I189" s="126"/>
      <c r="J189" s="247"/>
      <c r="K189" s="19"/>
    </row>
    <row r="190" spans="1:11" ht="19.5" customHeight="1" x14ac:dyDescent="0.25">
      <c r="A190" s="19"/>
      <c r="B190" s="245"/>
      <c r="C190" s="246"/>
      <c r="D190" s="248"/>
      <c r="E190" s="247"/>
      <c r="F190" s="19"/>
      <c r="G190" s="245"/>
      <c r="H190" s="246"/>
      <c r="I190" s="126"/>
      <c r="J190" s="247"/>
      <c r="K190" s="19"/>
    </row>
    <row r="191" spans="1:11" ht="19.5" customHeight="1" x14ac:dyDescent="0.25">
      <c r="A191" s="19"/>
      <c r="B191" s="245"/>
      <c r="C191" s="246"/>
      <c r="D191" s="248"/>
      <c r="E191" s="247"/>
      <c r="F191" s="19"/>
      <c r="G191" s="245"/>
      <c r="H191" s="246"/>
      <c r="I191" s="126"/>
      <c r="J191" s="247"/>
      <c r="K191" s="19"/>
    </row>
    <row r="192" spans="1:11" ht="19.5" customHeight="1" x14ac:dyDescent="0.25">
      <c r="A192" s="19"/>
      <c r="B192" s="245"/>
      <c r="C192" s="246"/>
      <c r="D192" s="248"/>
      <c r="E192" s="247"/>
      <c r="F192" s="19"/>
      <c r="G192" s="245"/>
      <c r="H192" s="246"/>
      <c r="I192" s="126"/>
      <c r="J192" s="247"/>
      <c r="K192" s="19"/>
    </row>
    <row r="193" spans="1:11" ht="19.5" customHeight="1" x14ac:dyDescent="0.25">
      <c r="A193" s="19"/>
      <c r="B193" s="245"/>
      <c r="C193" s="246"/>
      <c r="D193" s="248"/>
      <c r="E193" s="247"/>
      <c r="F193" s="19"/>
      <c r="G193" s="245"/>
      <c r="H193" s="246"/>
      <c r="I193" s="126"/>
      <c r="J193" s="247"/>
      <c r="K193" s="19"/>
    </row>
    <row r="194" spans="1:11" ht="19.5" customHeight="1" x14ac:dyDescent="0.25">
      <c r="A194" s="19"/>
      <c r="B194" s="245"/>
      <c r="C194" s="246"/>
      <c r="D194" s="248"/>
      <c r="E194" s="247"/>
      <c r="F194" s="19"/>
      <c r="G194" s="245"/>
      <c r="H194" s="246"/>
      <c r="I194" s="126"/>
      <c r="J194" s="247"/>
      <c r="K194" s="19"/>
    </row>
    <row r="195" spans="1:11" ht="19.5" customHeight="1" x14ac:dyDescent="0.25">
      <c r="A195" s="19"/>
      <c r="B195" s="245"/>
      <c r="C195" s="246"/>
      <c r="D195" s="248"/>
      <c r="E195" s="247"/>
      <c r="F195" s="19"/>
      <c r="G195" s="245"/>
      <c r="H195" s="246"/>
      <c r="I195" s="126"/>
      <c r="J195" s="247"/>
      <c r="K195" s="19"/>
    </row>
    <row r="196" spans="1:11" ht="19.5" customHeight="1" x14ac:dyDescent="0.25">
      <c r="A196" s="19"/>
      <c r="B196" s="245"/>
      <c r="C196" s="246"/>
      <c r="D196" s="248"/>
      <c r="E196" s="247"/>
      <c r="F196" s="19"/>
      <c r="G196" s="245"/>
      <c r="H196" s="246"/>
      <c r="I196" s="126"/>
      <c r="J196" s="247"/>
      <c r="K196" s="19"/>
    </row>
    <row r="197" spans="1:11" ht="19.5" customHeight="1" x14ac:dyDescent="0.25">
      <c r="A197" s="19"/>
      <c r="B197" s="245"/>
      <c r="C197" s="246"/>
      <c r="D197" s="248"/>
      <c r="E197" s="247"/>
      <c r="F197" s="19"/>
      <c r="G197" s="245"/>
      <c r="H197" s="246"/>
      <c r="I197" s="126"/>
      <c r="J197" s="247"/>
      <c r="K197" s="19"/>
    </row>
    <row r="198" spans="1:11" ht="19.5" customHeight="1" x14ac:dyDescent="0.25">
      <c r="A198" s="19"/>
      <c r="B198" s="245"/>
      <c r="C198" s="246"/>
      <c r="D198" s="248"/>
      <c r="E198" s="247"/>
      <c r="F198" s="19"/>
      <c r="G198" s="245"/>
      <c r="H198" s="246"/>
      <c r="I198" s="126"/>
      <c r="J198" s="247"/>
      <c r="K198" s="19"/>
    </row>
    <row r="199" spans="1:11" ht="19.5" customHeight="1" x14ac:dyDescent="0.25">
      <c r="A199" s="19"/>
      <c r="B199" s="245"/>
      <c r="C199" s="246"/>
      <c r="D199" s="248"/>
      <c r="E199" s="247"/>
      <c r="F199" s="19"/>
      <c r="G199" s="245"/>
      <c r="H199" s="246"/>
      <c r="I199" s="126"/>
      <c r="J199" s="247"/>
      <c r="K199" s="19"/>
    </row>
    <row r="200" spans="1:11" ht="19.5" customHeight="1" x14ac:dyDescent="0.25">
      <c r="A200" s="19"/>
      <c r="B200" s="245"/>
      <c r="C200" s="246"/>
      <c r="D200" s="248"/>
      <c r="E200" s="247"/>
      <c r="F200" s="19"/>
      <c r="G200" s="245"/>
      <c r="H200" s="246"/>
      <c r="I200" s="126"/>
      <c r="J200" s="247"/>
      <c r="K200" s="19"/>
    </row>
    <row r="201" spans="1:11" ht="19.5" customHeight="1" x14ac:dyDescent="0.25">
      <c r="A201" s="19"/>
      <c r="B201" s="245"/>
      <c r="C201" s="246"/>
      <c r="D201" s="248"/>
      <c r="E201" s="247"/>
      <c r="F201" s="19"/>
      <c r="G201" s="245"/>
      <c r="H201" s="246"/>
      <c r="I201" s="126"/>
      <c r="J201" s="247"/>
      <c r="K201" s="19"/>
    </row>
    <row r="202" spans="1:11" ht="19.5" customHeight="1" x14ac:dyDescent="0.25">
      <c r="A202" s="19"/>
      <c r="B202" s="245"/>
      <c r="C202" s="246"/>
      <c r="D202" s="248"/>
      <c r="E202" s="247"/>
      <c r="F202" s="19"/>
      <c r="G202" s="245"/>
      <c r="H202" s="246"/>
      <c r="I202" s="126"/>
      <c r="J202" s="247"/>
      <c r="K202" s="19"/>
    </row>
    <row r="203" spans="1:11" ht="19.5" customHeight="1" x14ac:dyDescent="0.25">
      <c r="A203" s="19"/>
      <c r="B203" s="245"/>
      <c r="C203" s="246"/>
      <c r="D203" s="248"/>
      <c r="E203" s="247"/>
      <c r="F203" s="19"/>
      <c r="G203" s="245"/>
      <c r="H203" s="246"/>
      <c r="I203" s="126"/>
      <c r="J203" s="247"/>
      <c r="K203" s="19"/>
    </row>
    <row r="204" spans="1:11" ht="19.5" customHeight="1" x14ac:dyDescent="0.25">
      <c r="A204" s="19"/>
      <c r="B204" s="245"/>
      <c r="C204" s="246"/>
      <c r="D204" s="248"/>
      <c r="E204" s="247"/>
      <c r="F204" s="19"/>
      <c r="G204" s="245"/>
      <c r="H204" s="246"/>
      <c r="I204" s="126"/>
      <c r="J204" s="247"/>
      <c r="K204" s="19"/>
    </row>
    <row r="205" spans="1:11" ht="19.5" customHeight="1" x14ac:dyDescent="0.25">
      <c r="A205" s="19"/>
      <c r="B205" s="245"/>
      <c r="C205" s="246"/>
      <c r="D205" s="248"/>
      <c r="E205" s="247"/>
      <c r="F205" s="19"/>
      <c r="G205" s="245"/>
      <c r="H205" s="246"/>
      <c r="I205" s="126"/>
      <c r="J205" s="247"/>
      <c r="K205" s="19"/>
    </row>
    <row r="206" spans="1:11" ht="19.5" customHeight="1" x14ac:dyDescent="0.25">
      <c r="A206" s="19"/>
      <c r="B206" s="245"/>
      <c r="C206" s="246"/>
      <c r="D206" s="248"/>
      <c r="E206" s="247"/>
      <c r="F206" s="19"/>
      <c r="G206" s="245"/>
      <c r="H206" s="246"/>
      <c r="I206" s="126"/>
      <c r="J206" s="247"/>
      <c r="K206" s="19"/>
    </row>
    <row r="207" spans="1:11" ht="19.5" customHeight="1" x14ac:dyDescent="0.25">
      <c r="A207" s="19"/>
      <c r="B207" s="245"/>
      <c r="C207" s="246"/>
      <c r="D207" s="248"/>
      <c r="E207" s="247"/>
      <c r="F207" s="19"/>
      <c r="G207" s="245"/>
      <c r="H207" s="246"/>
      <c r="I207" s="126"/>
      <c r="J207" s="247"/>
      <c r="K207" s="19"/>
    </row>
    <row r="208" spans="1:11" ht="19.5" customHeight="1" x14ac:dyDescent="0.25">
      <c r="A208" s="19"/>
      <c r="B208" s="245"/>
      <c r="C208" s="246"/>
      <c r="D208" s="248"/>
      <c r="E208" s="247"/>
      <c r="F208" s="19"/>
      <c r="G208" s="245"/>
      <c r="H208" s="246"/>
      <c r="I208" s="126"/>
      <c r="J208" s="247"/>
      <c r="K208" s="19"/>
    </row>
    <row r="209" spans="1:11" ht="19.5" customHeight="1" x14ac:dyDescent="0.25">
      <c r="A209" s="19"/>
      <c r="B209" s="245"/>
      <c r="C209" s="246"/>
      <c r="D209" s="248"/>
      <c r="E209" s="247"/>
      <c r="F209" s="19"/>
      <c r="G209" s="245"/>
      <c r="H209" s="246"/>
      <c r="I209" s="126"/>
      <c r="J209" s="247"/>
      <c r="K209" s="19"/>
    </row>
    <row r="210" spans="1:11" ht="19.5" customHeight="1" x14ac:dyDescent="0.25">
      <c r="A210" s="19"/>
      <c r="B210" s="245"/>
      <c r="C210" s="246"/>
      <c r="D210" s="248"/>
      <c r="E210" s="247"/>
      <c r="F210" s="19"/>
      <c r="G210" s="245"/>
      <c r="H210" s="246"/>
      <c r="I210" s="126"/>
      <c r="J210" s="247"/>
      <c r="K210" s="19"/>
    </row>
    <row r="211" spans="1:11" ht="19.5" customHeight="1" x14ac:dyDescent="0.25">
      <c r="A211" s="19"/>
      <c r="B211" s="245"/>
      <c r="C211" s="246"/>
      <c r="D211" s="248"/>
      <c r="E211" s="247"/>
      <c r="F211" s="19"/>
      <c r="G211" s="245"/>
      <c r="H211" s="246"/>
      <c r="I211" s="126"/>
      <c r="J211" s="247"/>
      <c r="K211" s="19"/>
    </row>
    <row r="212" spans="1:11" ht="19.5" customHeight="1" x14ac:dyDescent="0.25">
      <c r="A212" s="19"/>
      <c r="B212" s="245"/>
      <c r="C212" s="246"/>
      <c r="D212" s="248"/>
      <c r="E212" s="247"/>
      <c r="F212" s="19"/>
      <c r="G212" s="245"/>
      <c r="H212" s="246"/>
      <c r="I212" s="126"/>
      <c r="J212" s="247"/>
      <c r="K212" s="19"/>
    </row>
    <row r="213" spans="1:11" ht="19.5" customHeight="1" x14ac:dyDescent="0.25">
      <c r="A213" s="19"/>
      <c r="B213" s="245"/>
      <c r="C213" s="246"/>
      <c r="D213" s="248"/>
      <c r="E213" s="247"/>
      <c r="F213" s="19"/>
      <c r="G213" s="245"/>
      <c r="H213" s="246"/>
      <c r="I213" s="126"/>
      <c r="J213" s="247"/>
      <c r="K213" s="19"/>
    </row>
    <row r="214" spans="1:11" ht="19.5" customHeight="1" x14ac:dyDescent="0.25">
      <c r="A214" s="19"/>
      <c r="B214" s="245"/>
      <c r="C214" s="246"/>
      <c r="D214" s="248"/>
      <c r="E214" s="247"/>
      <c r="F214" s="19"/>
      <c r="G214" s="245"/>
      <c r="H214" s="246"/>
      <c r="I214" s="126"/>
      <c r="J214" s="247"/>
      <c r="K214" s="19"/>
    </row>
    <row r="215" spans="1:11" ht="19.5" customHeight="1" x14ac:dyDescent="0.25">
      <c r="A215" s="19"/>
      <c r="B215" s="245"/>
      <c r="C215" s="246"/>
      <c r="D215" s="248"/>
      <c r="E215" s="247"/>
      <c r="F215" s="19"/>
      <c r="G215" s="245"/>
      <c r="H215" s="246"/>
      <c r="I215" s="126"/>
      <c r="J215" s="247"/>
      <c r="K215" s="19"/>
    </row>
    <row r="216" spans="1:11" ht="19.5" customHeight="1" x14ac:dyDescent="0.25">
      <c r="A216" s="19"/>
      <c r="B216" s="245"/>
      <c r="C216" s="246"/>
      <c r="D216" s="248"/>
      <c r="E216" s="247"/>
      <c r="F216" s="19"/>
      <c r="G216" s="245"/>
      <c r="H216" s="246"/>
      <c r="I216" s="126"/>
      <c r="J216" s="247"/>
      <c r="K216" s="19"/>
    </row>
    <row r="217" spans="1:11" ht="19.5" customHeight="1" x14ac:dyDescent="0.25">
      <c r="A217" s="19"/>
      <c r="B217" s="245"/>
      <c r="C217" s="246"/>
      <c r="D217" s="248"/>
      <c r="E217" s="247"/>
      <c r="F217" s="19"/>
      <c r="G217" s="245"/>
      <c r="H217" s="246"/>
      <c r="I217" s="126"/>
      <c r="J217" s="247"/>
      <c r="K217" s="19"/>
    </row>
    <row r="218" spans="1:11" ht="19.5" customHeight="1" x14ac:dyDescent="0.25">
      <c r="A218" s="19"/>
      <c r="B218" s="245"/>
      <c r="C218" s="246"/>
      <c r="D218" s="248"/>
      <c r="E218" s="247"/>
      <c r="F218" s="19"/>
      <c r="G218" s="245"/>
      <c r="H218" s="246"/>
      <c r="I218" s="126"/>
      <c r="J218" s="247"/>
      <c r="K218" s="19"/>
    </row>
    <row r="219" spans="1:11" ht="19.5" customHeight="1" x14ac:dyDescent="0.25">
      <c r="A219" s="19"/>
      <c r="B219" s="245"/>
      <c r="C219" s="246"/>
      <c r="D219" s="248"/>
      <c r="E219" s="247"/>
      <c r="F219" s="19"/>
      <c r="G219" s="245"/>
      <c r="H219" s="246"/>
      <c r="I219" s="126"/>
      <c r="J219" s="247"/>
      <c r="K219" s="19"/>
    </row>
    <row r="220" spans="1:11" ht="19.5" customHeight="1" x14ac:dyDescent="0.25">
      <c r="A220" s="19"/>
      <c r="B220" s="245"/>
      <c r="C220" s="246"/>
      <c r="D220" s="248"/>
      <c r="E220" s="247"/>
      <c r="F220" s="19"/>
      <c r="G220" s="245"/>
      <c r="H220" s="246"/>
      <c r="I220" s="126"/>
      <c r="J220" s="247"/>
      <c r="K220" s="19"/>
    </row>
    <row r="221" spans="1:11" ht="15.75" customHeight="1" x14ac:dyDescent="0.25">
      <c r="E221" s="139"/>
      <c r="J221" s="139"/>
    </row>
    <row r="222" spans="1:11" ht="15.75" customHeight="1" x14ac:dyDescent="0.25">
      <c r="E222" s="139"/>
      <c r="J222" s="139"/>
    </row>
    <row r="223" spans="1:11" ht="15.75" customHeight="1" x14ac:dyDescent="0.25">
      <c r="E223" s="139"/>
      <c r="J223" s="139"/>
    </row>
    <row r="224" spans="1:11" ht="15.75" customHeight="1" x14ac:dyDescent="0.25">
      <c r="E224" s="139"/>
      <c r="J224" s="139"/>
    </row>
    <row r="225" spans="5:10" ht="15.75" customHeight="1" x14ac:dyDescent="0.25">
      <c r="E225" s="139"/>
      <c r="J225" s="139"/>
    </row>
    <row r="226" spans="5:10" ht="15.75" customHeight="1" x14ac:dyDescent="0.25">
      <c r="E226" s="139"/>
      <c r="J226" s="139"/>
    </row>
    <row r="227" spans="5:10" ht="15.75" customHeight="1" x14ac:dyDescent="0.25">
      <c r="E227" s="139"/>
      <c r="J227" s="139"/>
    </row>
    <row r="228" spans="5:10" ht="15.75" customHeight="1" x14ac:dyDescent="0.25">
      <c r="E228" s="139"/>
      <c r="J228" s="139"/>
    </row>
    <row r="229" spans="5:10" ht="15.75" customHeight="1" x14ac:dyDescent="0.25">
      <c r="E229" s="139"/>
      <c r="J229" s="139"/>
    </row>
    <row r="230" spans="5:10" ht="15.75" customHeight="1" x14ac:dyDescent="0.25">
      <c r="E230" s="139"/>
      <c r="J230" s="139"/>
    </row>
    <row r="231" spans="5:10" ht="15.75" customHeight="1" x14ac:dyDescent="0.25">
      <c r="E231" s="139"/>
      <c r="J231" s="139"/>
    </row>
    <row r="232" spans="5:10" ht="15.75" customHeight="1" x14ac:dyDescent="0.25">
      <c r="E232" s="139"/>
      <c r="J232" s="139"/>
    </row>
    <row r="233" spans="5:10" ht="15.75" customHeight="1" x14ac:dyDescent="0.25">
      <c r="E233" s="139"/>
      <c r="J233" s="139"/>
    </row>
    <row r="234" spans="5:10" ht="15.75" customHeight="1" x14ac:dyDescent="0.25">
      <c r="E234" s="139"/>
      <c r="J234" s="139"/>
    </row>
    <row r="235" spans="5:10" ht="15.75" customHeight="1" x14ac:dyDescent="0.25">
      <c r="E235" s="139"/>
      <c r="J235" s="139"/>
    </row>
    <row r="236" spans="5:10" ht="15.75" customHeight="1" x14ac:dyDescent="0.25">
      <c r="E236" s="139"/>
      <c r="J236" s="139"/>
    </row>
    <row r="237" spans="5:10" ht="15.75" customHeight="1" x14ac:dyDescent="0.25">
      <c r="E237" s="139"/>
      <c r="J237" s="139"/>
    </row>
    <row r="238" spans="5:10" ht="15.75" customHeight="1" x14ac:dyDescent="0.25">
      <c r="E238" s="139"/>
      <c r="J238" s="139"/>
    </row>
    <row r="239" spans="5:10" ht="15.75" customHeight="1" x14ac:dyDescent="0.25">
      <c r="E239" s="139"/>
      <c r="J239" s="139"/>
    </row>
    <row r="240" spans="5:10" ht="15.75" customHeight="1" x14ac:dyDescent="0.25">
      <c r="E240" s="139"/>
      <c r="J240" s="139"/>
    </row>
    <row r="241" spans="5:10" ht="15.75" customHeight="1" x14ac:dyDescent="0.25">
      <c r="E241" s="139"/>
      <c r="J241" s="139"/>
    </row>
    <row r="242" spans="5:10" ht="15.75" customHeight="1" x14ac:dyDescent="0.25">
      <c r="E242" s="139"/>
      <c r="J242" s="139"/>
    </row>
    <row r="243" spans="5:10" ht="15.75" customHeight="1" x14ac:dyDescent="0.25">
      <c r="E243" s="139"/>
      <c r="J243" s="139"/>
    </row>
    <row r="244" spans="5:10" ht="15.75" customHeight="1" x14ac:dyDescent="0.25">
      <c r="E244" s="139"/>
      <c r="J244" s="139"/>
    </row>
    <row r="245" spans="5:10" ht="15.75" customHeight="1" x14ac:dyDescent="0.25">
      <c r="E245" s="139"/>
      <c r="J245" s="139"/>
    </row>
    <row r="246" spans="5:10" ht="15.75" customHeight="1" x14ac:dyDescent="0.25">
      <c r="E246" s="139"/>
      <c r="J246" s="139"/>
    </row>
    <row r="247" spans="5:10" ht="15.75" customHeight="1" x14ac:dyDescent="0.25">
      <c r="E247" s="139"/>
      <c r="J247" s="139"/>
    </row>
    <row r="248" spans="5:10" ht="15.75" customHeight="1" x14ac:dyDescent="0.25">
      <c r="E248" s="139"/>
      <c r="J248" s="139"/>
    </row>
    <row r="249" spans="5:10" ht="15.75" customHeight="1" x14ac:dyDescent="0.25">
      <c r="E249" s="139"/>
      <c r="J249" s="139"/>
    </row>
    <row r="250" spans="5:10" ht="15.75" customHeight="1" x14ac:dyDescent="0.25">
      <c r="E250" s="139"/>
      <c r="J250" s="139"/>
    </row>
    <row r="251" spans="5:10" ht="15.75" customHeight="1" x14ac:dyDescent="0.25">
      <c r="E251" s="139"/>
      <c r="J251" s="139"/>
    </row>
    <row r="252" spans="5:10" ht="15.75" customHeight="1" x14ac:dyDescent="0.25">
      <c r="E252" s="139"/>
      <c r="J252" s="139"/>
    </row>
    <row r="253" spans="5:10" ht="15.75" customHeight="1" x14ac:dyDescent="0.25">
      <c r="E253" s="139"/>
      <c r="J253" s="139"/>
    </row>
    <row r="254" spans="5:10" ht="15.75" customHeight="1" x14ac:dyDescent="0.25">
      <c r="E254" s="139"/>
      <c r="J254" s="139"/>
    </row>
    <row r="255" spans="5:10" ht="15.75" customHeight="1" x14ac:dyDescent="0.25">
      <c r="E255" s="139"/>
      <c r="J255" s="139"/>
    </row>
    <row r="256" spans="5:10" ht="15.75" customHeight="1" x14ac:dyDescent="0.25">
      <c r="E256" s="139"/>
      <c r="J256" s="139"/>
    </row>
    <row r="257" spans="5:10" ht="15.75" customHeight="1" x14ac:dyDescent="0.25">
      <c r="E257" s="139"/>
      <c r="J257" s="139"/>
    </row>
    <row r="258" spans="5:10" ht="15.75" customHeight="1" x14ac:dyDescent="0.25">
      <c r="E258" s="139"/>
      <c r="J258" s="139"/>
    </row>
    <row r="259" spans="5:10" ht="15.75" customHeight="1" x14ac:dyDescent="0.25">
      <c r="E259" s="139"/>
      <c r="J259" s="139"/>
    </row>
    <row r="260" spans="5:10" ht="15.75" customHeight="1" x14ac:dyDescent="0.25">
      <c r="E260" s="139"/>
      <c r="J260" s="139"/>
    </row>
    <row r="261" spans="5:10" ht="15.75" customHeight="1" x14ac:dyDescent="0.25">
      <c r="E261" s="139"/>
      <c r="J261" s="139"/>
    </row>
    <row r="262" spans="5:10" ht="15.75" customHeight="1" x14ac:dyDescent="0.25">
      <c r="E262" s="139"/>
      <c r="J262" s="139"/>
    </row>
    <row r="263" spans="5:10" ht="15.75" customHeight="1" x14ac:dyDescent="0.25">
      <c r="E263" s="139"/>
      <c r="J263" s="139"/>
    </row>
    <row r="264" spans="5:10" ht="15.75" customHeight="1" x14ac:dyDescent="0.25">
      <c r="E264" s="139"/>
      <c r="J264" s="139"/>
    </row>
    <row r="265" spans="5:10" ht="15.75" customHeight="1" x14ac:dyDescent="0.25">
      <c r="E265" s="139"/>
      <c r="J265" s="139"/>
    </row>
    <row r="266" spans="5:10" ht="15.75" customHeight="1" x14ac:dyDescent="0.25">
      <c r="E266" s="139"/>
      <c r="J266" s="139"/>
    </row>
    <row r="267" spans="5:10" ht="15.75" customHeight="1" x14ac:dyDescent="0.25">
      <c r="E267" s="139"/>
      <c r="J267" s="139"/>
    </row>
    <row r="268" spans="5:10" ht="15.75" customHeight="1" x14ac:dyDescent="0.25">
      <c r="E268" s="139"/>
      <c r="J268" s="139"/>
    </row>
    <row r="269" spans="5:10" ht="15.75" customHeight="1" x14ac:dyDescent="0.25">
      <c r="E269" s="139"/>
      <c r="J269" s="139"/>
    </row>
    <row r="270" spans="5:10" ht="15.75" customHeight="1" x14ac:dyDescent="0.25">
      <c r="E270" s="139"/>
      <c r="J270" s="139"/>
    </row>
    <row r="271" spans="5:10" ht="15.75" customHeight="1" x14ac:dyDescent="0.25">
      <c r="E271" s="139"/>
      <c r="J271" s="139"/>
    </row>
    <row r="272" spans="5:10" ht="15.75" customHeight="1" x14ac:dyDescent="0.25">
      <c r="E272" s="139"/>
      <c r="J272" s="139"/>
    </row>
    <row r="273" spans="5:10" ht="15.75" customHeight="1" x14ac:dyDescent="0.25">
      <c r="E273" s="139"/>
      <c r="J273" s="139"/>
    </row>
    <row r="274" spans="5:10" ht="15.75" customHeight="1" x14ac:dyDescent="0.25">
      <c r="E274" s="139"/>
      <c r="J274" s="139"/>
    </row>
    <row r="275" spans="5:10" ht="15.75" customHeight="1" x14ac:dyDescent="0.25">
      <c r="E275" s="139"/>
      <c r="J275" s="139"/>
    </row>
    <row r="276" spans="5:10" ht="15.75" customHeight="1" x14ac:dyDescent="0.25">
      <c r="E276" s="139"/>
      <c r="J276" s="139"/>
    </row>
    <row r="277" spans="5:10" ht="15.75" customHeight="1" x14ac:dyDescent="0.25">
      <c r="E277" s="139"/>
      <c r="J277" s="139"/>
    </row>
    <row r="278" spans="5:10" ht="15.75" customHeight="1" x14ac:dyDescent="0.25">
      <c r="E278" s="139"/>
      <c r="J278" s="139"/>
    </row>
    <row r="279" spans="5:10" ht="15.75" customHeight="1" x14ac:dyDescent="0.25">
      <c r="E279" s="139"/>
      <c r="J279" s="139"/>
    </row>
    <row r="280" spans="5:10" ht="15.75" customHeight="1" x14ac:dyDescent="0.25">
      <c r="E280" s="139"/>
      <c r="J280" s="139"/>
    </row>
    <row r="281" spans="5:10" ht="15.75" customHeight="1" x14ac:dyDescent="0.25">
      <c r="E281" s="139"/>
      <c r="J281" s="139"/>
    </row>
    <row r="282" spans="5:10" ht="15.75" customHeight="1" x14ac:dyDescent="0.25">
      <c r="E282" s="139"/>
      <c r="J282" s="139"/>
    </row>
    <row r="283" spans="5:10" ht="15.75" customHeight="1" x14ac:dyDescent="0.25">
      <c r="E283" s="139"/>
      <c r="J283" s="139"/>
    </row>
    <row r="284" spans="5:10" ht="15.75" customHeight="1" x14ac:dyDescent="0.25">
      <c r="E284" s="139"/>
      <c r="J284" s="139"/>
    </row>
    <row r="285" spans="5:10" ht="15.75" customHeight="1" x14ac:dyDescent="0.25">
      <c r="E285" s="139"/>
      <c r="J285" s="139"/>
    </row>
    <row r="286" spans="5:10" ht="15.75" customHeight="1" x14ac:dyDescent="0.25">
      <c r="E286" s="139"/>
      <c r="J286" s="139"/>
    </row>
    <row r="287" spans="5:10" ht="15.75" customHeight="1" x14ac:dyDescent="0.25">
      <c r="E287" s="139"/>
      <c r="J287" s="139"/>
    </row>
    <row r="288" spans="5:10" ht="15.75" customHeight="1" x14ac:dyDescent="0.25">
      <c r="E288" s="139"/>
      <c r="J288" s="139"/>
    </row>
    <row r="289" spans="5:10" ht="15.75" customHeight="1" x14ac:dyDescent="0.25">
      <c r="E289" s="139"/>
      <c r="J289" s="139"/>
    </row>
    <row r="290" spans="5:10" ht="15.75" customHeight="1" x14ac:dyDescent="0.25">
      <c r="E290" s="139"/>
      <c r="J290" s="139"/>
    </row>
    <row r="291" spans="5:10" ht="15.75" customHeight="1" x14ac:dyDescent="0.25">
      <c r="E291" s="139"/>
      <c r="J291" s="139"/>
    </row>
    <row r="292" spans="5:10" ht="15.75" customHeight="1" x14ac:dyDescent="0.25">
      <c r="E292" s="139"/>
      <c r="J292" s="139"/>
    </row>
    <row r="293" spans="5:10" ht="15.75" customHeight="1" x14ac:dyDescent="0.25">
      <c r="E293" s="139"/>
      <c r="J293" s="139"/>
    </row>
    <row r="294" spans="5:10" ht="15.75" customHeight="1" x14ac:dyDescent="0.25">
      <c r="E294" s="139"/>
      <c r="J294" s="139"/>
    </row>
    <row r="295" spans="5:10" ht="15.75" customHeight="1" x14ac:dyDescent="0.25">
      <c r="E295" s="139"/>
      <c r="J295" s="139"/>
    </row>
    <row r="296" spans="5:10" ht="15.75" customHeight="1" x14ac:dyDescent="0.25">
      <c r="E296" s="139"/>
      <c r="J296" s="139"/>
    </row>
    <row r="297" spans="5:10" ht="15.75" customHeight="1" x14ac:dyDescent="0.25">
      <c r="E297" s="139"/>
      <c r="J297" s="139"/>
    </row>
    <row r="298" spans="5:10" ht="15.75" customHeight="1" x14ac:dyDescent="0.25">
      <c r="E298" s="139"/>
      <c r="J298" s="139"/>
    </row>
    <row r="299" spans="5:10" ht="15.75" customHeight="1" x14ac:dyDescent="0.25">
      <c r="E299" s="139"/>
      <c r="J299" s="139"/>
    </row>
    <row r="300" spans="5:10" ht="15.75" customHeight="1" x14ac:dyDescent="0.25">
      <c r="E300" s="139"/>
      <c r="J300" s="139"/>
    </row>
    <row r="301" spans="5:10" ht="15.75" customHeight="1" x14ac:dyDescent="0.25">
      <c r="E301" s="139"/>
      <c r="J301" s="139"/>
    </row>
    <row r="302" spans="5:10" ht="15.75" customHeight="1" x14ac:dyDescent="0.25">
      <c r="E302" s="139"/>
      <c r="J302" s="139"/>
    </row>
    <row r="303" spans="5:10" ht="15.75" customHeight="1" x14ac:dyDescent="0.25">
      <c r="E303" s="139"/>
      <c r="J303" s="139"/>
    </row>
    <row r="304" spans="5:10" ht="15.75" customHeight="1" x14ac:dyDescent="0.25">
      <c r="E304" s="139"/>
      <c r="J304" s="139"/>
    </row>
    <row r="305" spans="5:10" ht="15.75" customHeight="1" x14ac:dyDescent="0.25">
      <c r="E305" s="139"/>
      <c r="J305" s="139"/>
    </row>
    <row r="306" spans="5:10" ht="15.75" customHeight="1" x14ac:dyDescent="0.25">
      <c r="E306" s="139"/>
      <c r="J306" s="139"/>
    </row>
    <row r="307" spans="5:10" ht="15.75" customHeight="1" x14ac:dyDescent="0.25">
      <c r="E307" s="139"/>
      <c r="J307" s="139"/>
    </row>
    <row r="308" spans="5:10" ht="15.75" customHeight="1" x14ac:dyDescent="0.25">
      <c r="E308" s="139"/>
      <c r="J308" s="139"/>
    </row>
    <row r="309" spans="5:10" ht="15.75" customHeight="1" x14ac:dyDescent="0.25">
      <c r="E309" s="139"/>
      <c r="J309" s="139"/>
    </row>
    <row r="310" spans="5:10" ht="15.75" customHeight="1" x14ac:dyDescent="0.25">
      <c r="E310" s="139"/>
      <c r="J310" s="139"/>
    </row>
    <row r="311" spans="5:10" ht="15.75" customHeight="1" x14ac:dyDescent="0.25">
      <c r="E311" s="139"/>
      <c r="J311" s="139"/>
    </row>
    <row r="312" spans="5:10" ht="15.75" customHeight="1" x14ac:dyDescent="0.25">
      <c r="E312" s="139"/>
      <c r="J312" s="139"/>
    </row>
    <row r="313" spans="5:10" ht="15.75" customHeight="1" x14ac:dyDescent="0.25">
      <c r="E313" s="139"/>
      <c r="J313" s="139"/>
    </row>
    <row r="314" spans="5:10" ht="15.75" customHeight="1" x14ac:dyDescent="0.25">
      <c r="E314" s="139"/>
      <c r="J314" s="139"/>
    </row>
    <row r="315" spans="5:10" ht="15.75" customHeight="1" x14ac:dyDescent="0.25">
      <c r="E315" s="139"/>
      <c r="J315" s="139"/>
    </row>
    <row r="316" spans="5:10" ht="15.75" customHeight="1" x14ac:dyDescent="0.25">
      <c r="E316" s="139"/>
      <c r="J316" s="139"/>
    </row>
    <row r="317" spans="5:10" ht="15.75" customHeight="1" x14ac:dyDescent="0.25">
      <c r="E317" s="139"/>
      <c r="J317" s="139"/>
    </row>
    <row r="318" spans="5:10" ht="15.75" customHeight="1" x14ac:dyDescent="0.25">
      <c r="E318" s="139"/>
      <c r="J318" s="139"/>
    </row>
    <row r="319" spans="5:10" ht="15.75" customHeight="1" x14ac:dyDescent="0.25">
      <c r="E319" s="139"/>
      <c r="J319" s="139"/>
    </row>
    <row r="320" spans="5:10" ht="15.75" customHeight="1" x14ac:dyDescent="0.25">
      <c r="E320" s="139"/>
      <c r="J320" s="139"/>
    </row>
    <row r="321" spans="5:10" ht="15.75" customHeight="1" x14ac:dyDescent="0.25">
      <c r="E321" s="139"/>
      <c r="J321" s="139"/>
    </row>
    <row r="322" spans="5:10" ht="15.75" customHeight="1" x14ac:dyDescent="0.25">
      <c r="E322" s="139"/>
      <c r="J322" s="139"/>
    </row>
    <row r="323" spans="5:10" ht="15.75" customHeight="1" x14ac:dyDescent="0.25">
      <c r="E323" s="139"/>
      <c r="J323" s="139"/>
    </row>
    <row r="324" spans="5:10" ht="15.75" customHeight="1" x14ac:dyDescent="0.25">
      <c r="E324" s="139"/>
      <c r="J324" s="139"/>
    </row>
    <row r="325" spans="5:10" ht="15.75" customHeight="1" x14ac:dyDescent="0.25">
      <c r="E325" s="139"/>
      <c r="J325" s="139"/>
    </row>
    <row r="326" spans="5:10" ht="15.75" customHeight="1" x14ac:dyDescent="0.25">
      <c r="E326" s="139"/>
      <c r="J326" s="139"/>
    </row>
    <row r="327" spans="5:10" ht="15.75" customHeight="1" x14ac:dyDescent="0.25">
      <c r="E327" s="139"/>
      <c r="J327" s="139"/>
    </row>
    <row r="328" spans="5:10" ht="15.75" customHeight="1" x14ac:dyDescent="0.25">
      <c r="E328" s="139"/>
      <c r="J328" s="139"/>
    </row>
    <row r="329" spans="5:10" ht="15.75" customHeight="1" x14ac:dyDescent="0.25">
      <c r="E329" s="139"/>
      <c r="J329" s="139"/>
    </row>
    <row r="330" spans="5:10" ht="15.75" customHeight="1" x14ac:dyDescent="0.25">
      <c r="E330" s="139"/>
      <c r="J330" s="139"/>
    </row>
    <row r="331" spans="5:10" ht="15.75" customHeight="1" x14ac:dyDescent="0.25">
      <c r="E331" s="139"/>
      <c r="J331" s="139"/>
    </row>
    <row r="332" spans="5:10" ht="15.75" customHeight="1" x14ac:dyDescent="0.25">
      <c r="E332" s="139"/>
      <c r="J332" s="139"/>
    </row>
    <row r="333" spans="5:10" ht="15.75" customHeight="1" x14ac:dyDescent="0.25">
      <c r="E333" s="139"/>
      <c r="J333" s="139"/>
    </row>
    <row r="334" spans="5:10" ht="15.75" customHeight="1" x14ac:dyDescent="0.25">
      <c r="E334" s="139"/>
      <c r="J334" s="139"/>
    </row>
    <row r="335" spans="5:10" ht="15.75" customHeight="1" x14ac:dyDescent="0.25">
      <c r="E335" s="139"/>
      <c r="J335" s="139"/>
    </row>
    <row r="336" spans="5:10" ht="15.75" customHeight="1" x14ac:dyDescent="0.25">
      <c r="E336" s="139"/>
      <c r="J336" s="139"/>
    </row>
    <row r="337" spans="5:10" ht="15.75" customHeight="1" x14ac:dyDescent="0.25">
      <c r="E337" s="139"/>
      <c r="J337" s="139"/>
    </row>
    <row r="338" spans="5:10" ht="15.75" customHeight="1" x14ac:dyDescent="0.25">
      <c r="E338" s="139"/>
      <c r="J338" s="139"/>
    </row>
    <row r="339" spans="5:10" ht="15.75" customHeight="1" x14ac:dyDescent="0.25">
      <c r="E339" s="139"/>
      <c r="J339" s="139"/>
    </row>
    <row r="340" spans="5:10" ht="15.75" customHeight="1" x14ac:dyDescent="0.25">
      <c r="E340" s="139"/>
      <c r="J340" s="139"/>
    </row>
    <row r="341" spans="5:10" ht="15.75" customHeight="1" x14ac:dyDescent="0.25">
      <c r="E341" s="139"/>
      <c r="J341" s="139"/>
    </row>
    <row r="342" spans="5:10" ht="15.75" customHeight="1" x14ac:dyDescent="0.25">
      <c r="E342" s="139"/>
      <c r="J342" s="139"/>
    </row>
    <row r="343" spans="5:10" ht="15.75" customHeight="1" x14ac:dyDescent="0.25">
      <c r="E343" s="139"/>
      <c r="J343" s="139"/>
    </row>
    <row r="344" spans="5:10" ht="15.75" customHeight="1" x14ac:dyDescent="0.25">
      <c r="E344" s="139"/>
      <c r="J344" s="139"/>
    </row>
    <row r="345" spans="5:10" ht="15.75" customHeight="1" x14ac:dyDescent="0.25">
      <c r="E345" s="139"/>
      <c r="J345" s="139"/>
    </row>
    <row r="346" spans="5:10" ht="15.75" customHeight="1" x14ac:dyDescent="0.25">
      <c r="E346" s="139"/>
      <c r="J346" s="139"/>
    </row>
    <row r="347" spans="5:10" ht="15.75" customHeight="1" x14ac:dyDescent="0.25">
      <c r="E347" s="139"/>
      <c r="J347" s="139"/>
    </row>
    <row r="348" spans="5:10" ht="15.75" customHeight="1" x14ac:dyDescent="0.25">
      <c r="E348" s="139"/>
      <c r="J348" s="139"/>
    </row>
    <row r="349" spans="5:10" ht="15.75" customHeight="1" x14ac:dyDescent="0.25">
      <c r="E349" s="139"/>
      <c r="J349" s="139"/>
    </row>
    <row r="350" spans="5:10" ht="15.75" customHeight="1" x14ac:dyDescent="0.25">
      <c r="E350" s="139"/>
      <c r="J350" s="139"/>
    </row>
    <row r="351" spans="5:10" ht="15.75" customHeight="1" x14ac:dyDescent="0.25">
      <c r="E351" s="139"/>
      <c r="J351" s="139"/>
    </row>
    <row r="352" spans="5:10" ht="15.75" customHeight="1" x14ac:dyDescent="0.25">
      <c r="E352" s="139"/>
      <c r="J352" s="139"/>
    </row>
    <row r="353" spans="5:10" ht="15.75" customHeight="1" x14ac:dyDescent="0.25">
      <c r="E353" s="139"/>
      <c r="J353" s="139"/>
    </row>
    <row r="354" spans="5:10" ht="15.75" customHeight="1" x14ac:dyDescent="0.25">
      <c r="E354" s="139"/>
      <c r="J354" s="139"/>
    </row>
    <row r="355" spans="5:10" ht="15.75" customHeight="1" x14ac:dyDescent="0.25">
      <c r="E355" s="139"/>
      <c r="J355" s="139"/>
    </row>
    <row r="356" spans="5:10" ht="15.75" customHeight="1" x14ac:dyDescent="0.25">
      <c r="E356" s="139"/>
      <c r="J356" s="139"/>
    </row>
    <row r="357" spans="5:10" ht="15.75" customHeight="1" x14ac:dyDescent="0.25">
      <c r="E357" s="139"/>
      <c r="J357" s="139"/>
    </row>
    <row r="358" spans="5:10" ht="15.75" customHeight="1" x14ac:dyDescent="0.25">
      <c r="E358" s="139"/>
      <c r="J358" s="139"/>
    </row>
    <row r="359" spans="5:10" ht="15.75" customHeight="1" x14ac:dyDescent="0.25">
      <c r="E359" s="139"/>
      <c r="J359" s="139"/>
    </row>
    <row r="360" spans="5:10" ht="15.75" customHeight="1" x14ac:dyDescent="0.25">
      <c r="E360" s="139"/>
      <c r="J360" s="139"/>
    </row>
    <row r="361" spans="5:10" ht="15.75" customHeight="1" x14ac:dyDescent="0.25">
      <c r="E361" s="139"/>
      <c r="J361" s="139"/>
    </row>
    <row r="362" spans="5:10" ht="15.75" customHeight="1" x14ac:dyDescent="0.25">
      <c r="E362" s="139"/>
      <c r="J362" s="139"/>
    </row>
    <row r="363" spans="5:10" ht="15.75" customHeight="1" x14ac:dyDescent="0.25">
      <c r="E363" s="139"/>
      <c r="J363" s="139"/>
    </row>
    <row r="364" spans="5:10" ht="15.75" customHeight="1" x14ac:dyDescent="0.25">
      <c r="E364" s="139"/>
      <c r="J364" s="139"/>
    </row>
    <row r="365" spans="5:10" ht="15.75" customHeight="1" x14ac:dyDescent="0.25">
      <c r="E365" s="139"/>
      <c r="J365" s="139"/>
    </row>
    <row r="366" spans="5:10" ht="15.75" customHeight="1" x14ac:dyDescent="0.25">
      <c r="E366" s="139"/>
      <c r="J366" s="139"/>
    </row>
    <row r="367" spans="5:10" ht="15.75" customHeight="1" x14ac:dyDescent="0.25">
      <c r="E367" s="139"/>
      <c r="J367" s="139"/>
    </row>
    <row r="368" spans="5:10" ht="15.75" customHeight="1" x14ac:dyDescent="0.25">
      <c r="E368" s="139"/>
      <c r="J368" s="139"/>
    </row>
    <row r="369" spans="5:10" ht="15.75" customHeight="1" x14ac:dyDescent="0.25">
      <c r="E369" s="139"/>
      <c r="J369" s="139"/>
    </row>
    <row r="370" spans="5:10" ht="15.75" customHeight="1" x14ac:dyDescent="0.25">
      <c r="E370" s="139"/>
      <c r="J370" s="139"/>
    </row>
    <row r="371" spans="5:10" ht="15.75" customHeight="1" x14ac:dyDescent="0.25">
      <c r="E371" s="139"/>
      <c r="J371" s="139"/>
    </row>
    <row r="372" spans="5:10" ht="15.75" customHeight="1" x14ac:dyDescent="0.25">
      <c r="E372" s="139"/>
      <c r="J372" s="139"/>
    </row>
    <row r="373" spans="5:10" ht="15.75" customHeight="1" x14ac:dyDescent="0.25">
      <c r="E373" s="139"/>
      <c r="J373" s="139"/>
    </row>
    <row r="374" spans="5:10" ht="15.75" customHeight="1" x14ac:dyDescent="0.25">
      <c r="E374" s="139"/>
      <c r="J374" s="139"/>
    </row>
    <row r="375" spans="5:10" ht="15.75" customHeight="1" x14ac:dyDescent="0.25">
      <c r="E375" s="139"/>
      <c r="J375" s="139"/>
    </row>
    <row r="376" spans="5:10" ht="15.75" customHeight="1" x14ac:dyDescent="0.25">
      <c r="E376" s="139"/>
      <c r="J376" s="139"/>
    </row>
    <row r="377" spans="5:10" ht="15.75" customHeight="1" x14ac:dyDescent="0.25">
      <c r="E377" s="139"/>
      <c r="J377" s="139"/>
    </row>
    <row r="378" spans="5:10" ht="15.75" customHeight="1" x14ac:dyDescent="0.25">
      <c r="E378" s="139"/>
      <c r="J378" s="139"/>
    </row>
    <row r="379" spans="5:10" ht="15.75" customHeight="1" x14ac:dyDescent="0.25">
      <c r="E379" s="139"/>
      <c r="J379" s="139"/>
    </row>
    <row r="380" spans="5:10" ht="15.75" customHeight="1" x14ac:dyDescent="0.25">
      <c r="E380" s="139"/>
      <c r="J380" s="139"/>
    </row>
    <row r="381" spans="5:10" ht="15.75" customHeight="1" x14ac:dyDescent="0.25">
      <c r="E381" s="139"/>
      <c r="J381" s="139"/>
    </row>
    <row r="382" spans="5:10" ht="15.75" customHeight="1" x14ac:dyDescent="0.25">
      <c r="E382" s="139"/>
      <c r="J382" s="139"/>
    </row>
    <row r="383" spans="5:10" ht="15.75" customHeight="1" x14ac:dyDescent="0.25">
      <c r="E383" s="139"/>
      <c r="J383" s="139"/>
    </row>
    <row r="384" spans="5:10" ht="15.75" customHeight="1" x14ac:dyDescent="0.25">
      <c r="E384" s="139"/>
      <c r="J384" s="139"/>
    </row>
    <row r="385" spans="5:10" ht="15.75" customHeight="1" x14ac:dyDescent="0.25">
      <c r="E385" s="139"/>
      <c r="J385" s="139"/>
    </row>
    <row r="386" spans="5:10" ht="15.75" customHeight="1" x14ac:dyDescent="0.25">
      <c r="E386" s="139"/>
      <c r="J386" s="139"/>
    </row>
    <row r="387" spans="5:10" ht="15.75" customHeight="1" x14ac:dyDescent="0.25">
      <c r="E387" s="139"/>
      <c r="J387" s="139"/>
    </row>
    <row r="388" spans="5:10" ht="15.75" customHeight="1" x14ac:dyDescent="0.25">
      <c r="E388" s="139"/>
      <c r="J388" s="139"/>
    </row>
    <row r="389" spans="5:10" ht="15.75" customHeight="1" x14ac:dyDescent="0.25">
      <c r="E389" s="139"/>
      <c r="J389" s="139"/>
    </row>
    <row r="390" spans="5:10" ht="15.75" customHeight="1" x14ac:dyDescent="0.25">
      <c r="E390" s="139"/>
      <c r="J390" s="139"/>
    </row>
    <row r="391" spans="5:10" ht="15.75" customHeight="1" x14ac:dyDescent="0.25">
      <c r="E391" s="139"/>
      <c r="J391" s="139"/>
    </row>
    <row r="392" spans="5:10" ht="15.75" customHeight="1" x14ac:dyDescent="0.25">
      <c r="E392" s="139"/>
      <c r="J392" s="139"/>
    </row>
    <row r="393" spans="5:10" ht="15.75" customHeight="1" x14ac:dyDescent="0.25">
      <c r="E393" s="139"/>
      <c r="J393" s="139"/>
    </row>
    <row r="394" spans="5:10" ht="15.75" customHeight="1" x14ac:dyDescent="0.25">
      <c r="E394" s="139"/>
      <c r="J394" s="139"/>
    </row>
    <row r="395" spans="5:10" ht="15.75" customHeight="1" x14ac:dyDescent="0.25">
      <c r="E395" s="139"/>
      <c r="J395" s="139"/>
    </row>
    <row r="396" spans="5:10" ht="15.75" customHeight="1" x14ac:dyDescent="0.25">
      <c r="E396" s="139"/>
      <c r="J396" s="139"/>
    </row>
    <row r="397" spans="5:10" ht="15.75" customHeight="1" x14ac:dyDescent="0.25">
      <c r="E397" s="139"/>
      <c r="J397" s="139"/>
    </row>
    <row r="398" spans="5:10" ht="15.75" customHeight="1" x14ac:dyDescent="0.25">
      <c r="E398" s="139"/>
      <c r="J398" s="139"/>
    </row>
    <row r="399" spans="5:10" ht="15.75" customHeight="1" x14ac:dyDescent="0.25">
      <c r="E399" s="139"/>
      <c r="J399" s="139"/>
    </row>
    <row r="400" spans="5:10" ht="15.75" customHeight="1" x14ac:dyDescent="0.25">
      <c r="E400" s="139"/>
      <c r="J400" s="139"/>
    </row>
    <row r="401" spans="5:10" ht="15.75" customHeight="1" x14ac:dyDescent="0.25">
      <c r="E401" s="139"/>
      <c r="J401" s="139"/>
    </row>
    <row r="402" spans="5:10" ht="15.75" customHeight="1" x14ac:dyDescent="0.25">
      <c r="E402" s="139"/>
      <c r="J402" s="139"/>
    </row>
    <row r="403" spans="5:10" ht="15.75" customHeight="1" x14ac:dyDescent="0.25">
      <c r="E403" s="139"/>
      <c r="J403" s="139"/>
    </row>
    <row r="404" spans="5:10" ht="15.75" customHeight="1" x14ac:dyDescent="0.25">
      <c r="E404" s="139"/>
      <c r="J404" s="139"/>
    </row>
    <row r="405" spans="5:10" ht="15.75" customHeight="1" x14ac:dyDescent="0.25">
      <c r="E405" s="139"/>
      <c r="J405" s="139"/>
    </row>
    <row r="406" spans="5:10" ht="15.75" customHeight="1" x14ac:dyDescent="0.25">
      <c r="E406" s="139"/>
      <c r="J406" s="139"/>
    </row>
    <row r="407" spans="5:10" ht="15.75" customHeight="1" x14ac:dyDescent="0.25">
      <c r="E407" s="139"/>
      <c r="J407" s="139"/>
    </row>
    <row r="408" spans="5:10" ht="15.75" customHeight="1" x14ac:dyDescent="0.25">
      <c r="E408" s="139"/>
      <c r="J408" s="139"/>
    </row>
    <row r="409" spans="5:10" ht="15.75" customHeight="1" x14ac:dyDescent="0.25">
      <c r="E409" s="139"/>
      <c r="J409" s="139"/>
    </row>
    <row r="410" spans="5:10" ht="15.75" customHeight="1" x14ac:dyDescent="0.25">
      <c r="E410" s="139"/>
      <c r="J410" s="139"/>
    </row>
    <row r="411" spans="5:10" ht="15.75" customHeight="1" x14ac:dyDescent="0.25">
      <c r="E411" s="139"/>
      <c r="J411" s="139"/>
    </row>
    <row r="412" spans="5:10" ht="15.75" customHeight="1" x14ac:dyDescent="0.25">
      <c r="E412" s="139"/>
      <c r="J412" s="139"/>
    </row>
    <row r="413" spans="5:10" ht="15.75" customHeight="1" x14ac:dyDescent="0.25">
      <c r="E413" s="139"/>
      <c r="J413" s="139"/>
    </row>
    <row r="414" spans="5:10" ht="15.75" customHeight="1" x14ac:dyDescent="0.25">
      <c r="E414" s="139"/>
      <c r="J414" s="139"/>
    </row>
    <row r="415" spans="5:10" ht="15.75" customHeight="1" x14ac:dyDescent="0.25">
      <c r="E415" s="139"/>
      <c r="J415" s="139"/>
    </row>
    <row r="416" spans="5:10" ht="15.75" customHeight="1" x14ac:dyDescent="0.25">
      <c r="E416" s="139"/>
      <c r="J416" s="139"/>
    </row>
    <row r="417" spans="5:10" ht="15.75" customHeight="1" x14ac:dyDescent="0.25">
      <c r="E417" s="139"/>
      <c r="J417" s="139"/>
    </row>
    <row r="418" spans="5:10" ht="15.75" customHeight="1" x14ac:dyDescent="0.25">
      <c r="E418" s="139"/>
      <c r="J418" s="139"/>
    </row>
    <row r="419" spans="5:10" ht="15.75" customHeight="1" x14ac:dyDescent="0.25">
      <c r="E419" s="139"/>
      <c r="J419" s="139"/>
    </row>
    <row r="420" spans="5:10" ht="15.75" customHeight="1" x14ac:dyDescent="0.25">
      <c r="E420" s="139"/>
      <c r="J420" s="139"/>
    </row>
    <row r="421" spans="5:10" ht="15.75" customHeight="1" x14ac:dyDescent="0.25">
      <c r="E421" s="139"/>
      <c r="J421" s="139"/>
    </row>
    <row r="422" spans="5:10" ht="15.75" customHeight="1" x14ac:dyDescent="0.25">
      <c r="E422" s="139"/>
      <c r="J422" s="139"/>
    </row>
    <row r="423" spans="5:10" ht="15.75" customHeight="1" x14ac:dyDescent="0.25">
      <c r="E423" s="139"/>
      <c r="J423" s="139"/>
    </row>
    <row r="424" spans="5:10" ht="15.75" customHeight="1" x14ac:dyDescent="0.25">
      <c r="E424" s="139"/>
      <c r="J424" s="139"/>
    </row>
    <row r="425" spans="5:10" ht="15.75" customHeight="1" x14ac:dyDescent="0.25">
      <c r="E425" s="139"/>
      <c r="J425" s="139"/>
    </row>
    <row r="426" spans="5:10" ht="15.75" customHeight="1" x14ac:dyDescent="0.25">
      <c r="E426" s="139"/>
      <c r="J426" s="139"/>
    </row>
    <row r="427" spans="5:10" ht="15.75" customHeight="1" x14ac:dyDescent="0.25">
      <c r="E427" s="139"/>
      <c r="J427" s="139"/>
    </row>
    <row r="428" spans="5:10" ht="15.75" customHeight="1" x14ac:dyDescent="0.25">
      <c r="E428" s="139"/>
      <c r="J428" s="139"/>
    </row>
    <row r="429" spans="5:10" ht="15.75" customHeight="1" x14ac:dyDescent="0.25">
      <c r="E429" s="139"/>
      <c r="J429" s="139"/>
    </row>
    <row r="430" spans="5:10" ht="15.75" customHeight="1" x14ac:dyDescent="0.25">
      <c r="E430" s="139"/>
      <c r="J430" s="139"/>
    </row>
    <row r="431" spans="5:10" ht="15.75" customHeight="1" x14ac:dyDescent="0.25">
      <c r="E431" s="139"/>
      <c r="J431" s="139"/>
    </row>
    <row r="432" spans="5:10" ht="15.75" customHeight="1" x14ac:dyDescent="0.25">
      <c r="E432" s="139"/>
      <c r="J432" s="139"/>
    </row>
    <row r="433" spans="5:10" ht="15.75" customHeight="1" x14ac:dyDescent="0.25">
      <c r="E433" s="139"/>
      <c r="J433" s="139"/>
    </row>
    <row r="434" spans="5:10" ht="15.75" customHeight="1" x14ac:dyDescent="0.25">
      <c r="E434" s="139"/>
      <c r="J434" s="139"/>
    </row>
    <row r="435" spans="5:10" ht="15.75" customHeight="1" x14ac:dyDescent="0.25">
      <c r="E435" s="139"/>
      <c r="J435" s="139"/>
    </row>
    <row r="436" spans="5:10" ht="15.75" customHeight="1" x14ac:dyDescent="0.25">
      <c r="E436" s="139"/>
      <c r="J436" s="139"/>
    </row>
    <row r="437" spans="5:10" ht="15.75" customHeight="1" x14ac:dyDescent="0.25">
      <c r="E437" s="139"/>
      <c r="J437" s="139"/>
    </row>
    <row r="438" spans="5:10" ht="15.75" customHeight="1" x14ac:dyDescent="0.25">
      <c r="E438" s="139"/>
      <c r="J438" s="139"/>
    </row>
    <row r="439" spans="5:10" ht="15.75" customHeight="1" x14ac:dyDescent="0.25">
      <c r="E439" s="139"/>
      <c r="J439" s="139"/>
    </row>
    <row r="440" spans="5:10" ht="15.75" customHeight="1" x14ac:dyDescent="0.25">
      <c r="E440" s="139"/>
      <c r="J440" s="139"/>
    </row>
    <row r="441" spans="5:10" ht="15.75" customHeight="1" x14ac:dyDescent="0.25">
      <c r="E441" s="139"/>
      <c r="J441" s="139"/>
    </row>
    <row r="442" spans="5:10" ht="15.75" customHeight="1" x14ac:dyDescent="0.25">
      <c r="E442" s="139"/>
      <c r="J442" s="139"/>
    </row>
    <row r="443" spans="5:10" ht="15.75" customHeight="1" x14ac:dyDescent="0.25">
      <c r="E443" s="139"/>
      <c r="J443" s="139"/>
    </row>
    <row r="444" spans="5:10" ht="15.75" customHeight="1" x14ac:dyDescent="0.25">
      <c r="E444" s="139"/>
      <c r="J444" s="139"/>
    </row>
    <row r="445" spans="5:10" ht="15.75" customHeight="1" x14ac:dyDescent="0.25">
      <c r="E445" s="139"/>
      <c r="J445" s="139"/>
    </row>
    <row r="446" spans="5:10" ht="15.75" customHeight="1" x14ac:dyDescent="0.25">
      <c r="E446" s="139"/>
      <c r="J446" s="139"/>
    </row>
    <row r="447" spans="5:10" ht="15.75" customHeight="1" x14ac:dyDescent="0.25">
      <c r="E447" s="139"/>
      <c r="J447" s="139"/>
    </row>
    <row r="448" spans="5:10" ht="15.75" customHeight="1" x14ac:dyDescent="0.25">
      <c r="E448" s="139"/>
      <c r="J448" s="139"/>
    </row>
    <row r="449" spans="5:10" ht="15.75" customHeight="1" x14ac:dyDescent="0.25">
      <c r="E449" s="139"/>
      <c r="J449" s="139"/>
    </row>
    <row r="450" spans="5:10" ht="15.75" customHeight="1" x14ac:dyDescent="0.25">
      <c r="E450" s="139"/>
      <c r="J450" s="139"/>
    </row>
    <row r="451" spans="5:10" ht="15.75" customHeight="1" x14ac:dyDescent="0.25">
      <c r="E451" s="139"/>
      <c r="J451" s="139"/>
    </row>
    <row r="452" spans="5:10" ht="15.75" customHeight="1" x14ac:dyDescent="0.25">
      <c r="E452" s="139"/>
      <c r="J452" s="139"/>
    </row>
    <row r="453" spans="5:10" ht="15.75" customHeight="1" x14ac:dyDescent="0.25">
      <c r="E453" s="139"/>
      <c r="J453" s="139"/>
    </row>
    <row r="454" spans="5:10" ht="15.75" customHeight="1" x14ac:dyDescent="0.25">
      <c r="E454" s="139"/>
      <c r="J454" s="139"/>
    </row>
    <row r="455" spans="5:10" ht="15.75" customHeight="1" x14ac:dyDescent="0.25">
      <c r="E455" s="139"/>
      <c r="J455" s="139"/>
    </row>
    <row r="456" spans="5:10" ht="15.75" customHeight="1" x14ac:dyDescent="0.25">
      <c r="E456" s="139"/>
      <c r="J456" s="139"/>
    </row>
    <row r="457" spans="5:10" ht="15.75" customHeight="1" x14ac:dyDescent="0.25">
      <c r="E457" s="139"/>
      <c r="J457" s="139"/>
    </row>
    <row r="458" spans="5:10" ht="15.75" customHeight="1" x14ac:dyDescent="0.25">
      <c r="E458" s="139"/>
      <c r="J458" s="139"/>
    </row>
    <row r="459" spans="5:10" ht="15.75" customHeight="1" x14ac:dyDescent="0.25">
      <c r="E459" s="139"/>
      <c r="J459" s="139"/>
    </row>
    <row r="460" spans="5:10" ht="15.75" customHeight="1" x14ac:dyDescent="0.25">
      <c r="E460" s="139"/>
      <c r="J460" s="139"/>
    </row>
    <row r="461" spans="5:10" ht="15.75" customHeight="1" x14ac:dyDescent="0.25">
      <c r="E461" s="139"/>
      <c r="J461" s="139"/>
    </row>
    <row r="462" spans="5:10" ht="15.75" customHeight="1" x14ac:dyDescent="0.25">
      <c r="E462" s="139"/>
      <c r="J462" s="139"/>
    </row>
    <row r="463" spans="5:10" ht="15.75" customHeight="1" x14ac:dyDescent="0.25">
      <c r="E463" s="139"/>
      <c r="J463" s="139"/>
    </row>
    <row r="464" spans="5:10" ht="15.75" customHeight="1" x14ac:dyDescent="0.25">
      <c r="E464" s="139"/>
      <c r="J464" s="139"/>
    </row>
    <row r="465" spans="5:10" ht="15.75" customHeight="1" x14ac:dyDescent="0.25">
      <c r="E465" s="139"/>
      <c r="J465" s="139"/>
    </row>
    <row r="466" spans="5:10" ht="15.75" customHeight="1" x14ac:dyDescent="0.25">
      <c r="E466" s="139"/>
      <c r="J466" s="139"/>
    </row>
    <row r="467" spans="5:10" ht="15.75" customHeight="1" x14ac:dyDescent="0.25">
      <c r="E467" s="139"/>
      <c r="J467" s="139"/>
    </row>
    <row r="468" spans="5:10" ht="15.75" customHeight="1" x14ac:dyDescent="0.25">
      <c r="E468" s="139"/>
      <c r="J468" s="139"/>
    </row>
    <row r="469" spans="5:10" ht="15.75" customHeight="1" x14ac:dyDescent="0.25">
      <c r="E469" s="139"/>
      <c r="J469" s="139"/>
    </row>
    <row r="470" spans="5:10" ht="15.75" customHeight="1" x14ac:dyDescent="0.25">
      <c r="E470" s="139"/>
      <c r="J470" s="139"/>
    </row>
    <row r="471" spans="5:10" ht="15.75" customHeight="1" x14ac:dyDescent="0.25">
      <c r="E471" s="139"/>
      <c r="J471" s="139"/>
    </row>
    <row r="472" spans="5:10" ht="15.75" customHeight="1" x14ac:dyDescent="0.25">
      <c r="E472" s="139"/>
      <c r="J472" s="139"/>
    </row>
    <row r="473" spans="5:10" ht="15.75" customHeight="1" x14ac:dyDescent="0.25">
      <c r="E473" s="139"/>
      <c r="J473" s="139"/>
    </row>
    <row r="474" spans="5:10" ht="15.75" customHeight="1" x14ac:dyDescent="0.25">
      <c r="E474" s="139"/>
      <c r="J474" s="139"/>
    </row>
    <row r="475" spans="5:10" ht="15.75" customHeight="1" x14ac:dyDescent="0.25">
      <c r="E475" s="139"/>
      <c r="J475" s="139"/>
    </row>
    <row r="476" spans="5:10" ht="15.75" customHeight="1" x14ac:dyDescent="0.25">
      <c r="E476" s="139"/>
      <c r="J476" s="139"/>
    </row>
    <row r="477" spans="5:10" ht="15.75" customHeight="1" x14ac:dyDescent="0.25">
      <c r="E477" s="139"/>
      <c r="J477" s="139"/>
    </row>
    <row r="478" spans="5:10" ht="15.75" customHeight="1" x14ac:dyDescent="0.25">
      <c r="E478" s="139"/>
      <c r="J478" s="139"/>
    </row>
    <row r="479" spans="5:10" ht="15.75" customHeight="1" x14ac:dyDescent="0.25">
      <c r="E479" s="139"/>
      <c r="J479" s="139"/>
    </row>
    <row r="480" spans="5:10" ht="15.75" customHeight="1" x14ac:dyDescent="0.25">
      <c r="E480" s="139"/>
      <c r="J480" s="139"/>
    </row>
    <row r="481" spans="5:10" ht="15.75" customHeight="1" x14ac:dyDescent="0.25">
      <c r="E481" s="139"/>
      <c r="J481" s="139"/>
    </row>
    <row r="482" spans="5:10" ht="15.75" customHeight="1" x14ac:dyDescent="0.25">
      <c r="E482" s="139"/>
      <c r="J482" s="139"/>
    </row>
    <row r="483" spans="5:10" ht="15.75" customHeight="1" x14ac:dyDescent="0.25">
      <c r="E483" s="139"/>
      <c r="J483" s="139"/>
    </row>
    <row r="484" spans="5:10" ht="15.75" customHeight="1" x14ac:dyDescent="0.25">
      <c r="E484" s="139"/>
      <c r="J484" s="139"/>
    </row>
    <row r="485" spans="5:10" ht="15.75" customHeight="1" x14ac:dyDescent="0.25">
      <c r="E485" s="139"/>
      <c r="J485" s="139"/>
    </row>
    <row r="486" spans="5:10" ht="15.75" customHeight="1" x14ac:dyDescent="0.25">
      <c r="E486" s="139"/>
      <c r="J486" s="139"/>
    </row>
    <row r="487" spans="5:10" ht="15.75" customHeight="1" x14ac:dyDescent="0.25">
      <c r="E487" s="139"/>
      <c r="J487" s="139"/>
    </row>
    <row r="488" spans="5:10" ht="15.75" customHeight="1" x14ac:dyDescent="0.25">
      <c r="E488" s="139"/>
      <c r="J488" s="139"/>
    </row>
    <row r="489" spans="5:10" ht="15.75" customHeight="1" x14ac:dyDescent="0.25">
      <c r="E489" s="139"/>
      <c r="J489" s="139"/>
    </row>
    <row r="490" spans="5:10" ht="15.75" customHeight="1" x14ac:dyDescent="0.25">
      <c r="E490" s="139"/>
      <c r="J490" s="139"/>
    </row>
    <row r="491" spans="5:10" ht="15.75" customHeight="1" x14ac:dyDescent="0.25">
      <c r="E491" s="139"/>
      <c r="J491" s="139"/>
    </row>
    <row r="492" spans="5:10" ht="15.75" customHeight="1" x14ac:dyDescent="0.25">
      <c r="E492" s="139"/>
      <c r="J492" s="139"/>
    </row>
    <row r="493" spans="5:10" ht="15.75" customHeight="1" x14ac:dyDescent="0.25">
      <c r="E493" s="139"/>
      <c r="J493" s="139"/>
    </row>
    <row r="494" spans="5:10" ht="15.75" customHeight="1" x14ac:dyDescent="0.25">
      <c r="E494" s="139"/>
      <c r="J494" s="139"/>
    </row>
    <row r="495" spans="5:10" ht="15.75" customHeight="1" x14ac:dyDescent="0.25">
      <c r="E495" s="139"/>
      <c r="J495" s="139"/>
    </row>
    <row r="496" spans="5:10" ht="15.75" customHeight="1" x14ac:dyDescent="0.25">
      <c r="E496" s="139"/>
      <c r="J496" s="139"/>
    </row>
    <row r="497" spans="5:10" ht="15.75" customHeight="1" x14ac:dyDescent="0.25">
      <c r="E497" s="139"/>
      <c r="J497" s="139"/>
    </row>
    <row r="498" spans="5:10" ht="15.75" customHeight="1" x14ac:dyDescent="0.25">
      <c r="E498" s="139"/>
      <c r="J498" s="139"/>
    </row>
    <row r="499" spans="5:10" ht="15.75" customHeight="1" x14ac:dyDescent="0.25">
      <c r="E499" s="139"/>
      <c r="J499" s="139"/>
    </row>
    <row r="500" spans="5:10" ht="15.75" customHeight="1" x14ac:dyDescent="0.25">
      <c r="E500" s="139"/>
      <c r="J500" s="139"/>
    </row>
    <row r="501" spans="5:10" ht="15.75" customHeight="1" x14ac:dyDescent="0.25">
      <c r="E501" s="139"/>
      <c r="J501" s="139"/>
    </row>
    <row r="502" spans="5:10" ht="15.75" customHeight="1" x14ac:dyDescent="0.25">
      <c r="E502" s="139"/>
      <c r="J502" s="139"/>
    </row>
    <row r="503" spans="5:10" ht="15.75" customHeight="1" x14ac:dyDescent="0.25">
      <c r="E503" s="139"/>
      <c r="J503" s="139"/>
    </row>
    <row r="504" spans="5:10" ht="15.75" customHeight="1" x14ac:dyDescent="0.25">
      <c r="E504" s="139"/>
      <c r="J504" s="139"/>
    </row>
    <row r="505" spans="5:10" ht="15.75" customHeight="1" x14ac:dyDescent="0.25">
      <c r="E505" s="139"/>
      <c r="J505" s="139"/>
    </row>
    <row r="506" spans="5:10" ht="15.75" customHeight="1" x14ac:dyDescent="0.25">
      <c r="E506" s="139"/>
      <c r="J506" s="139"/>
    </row>
    <row r="507" spans="5:10" ht="15.75" customHeight="1" x14ac:dyDescent="0.25">
      <c r="E507" s="139"/>
      <c r="J507" s="139"/>
    </row>
    <row r="508" spans="5:10" ht="15.75" customHeight="1" x14ac:dyDescent="0.25">
      <c r="E508" s="139"/>
      <c r="J508" s="139"/>
    </row>
    <row r="509" spans="5:10" ht="15.75" customHeight="1" x14ac:dyDescent="0.25">
      <c r="E509" s="139"/>
      <c r="J509" s="139"/>
    </row>
    <row r="510" spans="5:10" ht="15.75" customHeight="1" x14ac:dyDescent="0.25">
      <c r="E510" s="139"/>
      <c r="J510" s="139"/>
    </row>
    <row r="511" spans="5:10" ht="15.75" customHeight="1" x14ac:dyDescent="0.25">
      <c r="E511" s="139"/>
      <c r="J511" s="139"/>
    </row>
    <row r="512" spans="5:10" ht="15.75" customHeight="1" x14ac:dyDescent="0.25">
      <c r="E512" s="139"/>
      <c r="J512" s="139"/>
    </row>
    <row r="513" spans="5:10" ht="15.75" customHeight="1" x14ac:dyDescent="0.25">
      <c r="E513" s="139"/>
      <c r="J513" s="139"/>
    </row>
    <row r="514" spans="5:10" ht="15.75" customHeight="1" x14ac:dyDescent="0.25">
      <c r="E514" s="139"/>
      <c r="J514" s="139"/>
    </row>
    <row r="515" spans="5:10" ht="15.75" customHeight="1" x14ac:dyDescent="0.25">
      <c r="E515" s="139"/>
      <c r="J515" s="139"/>
    </row>
    <row r="516" spans="5:10" ht="15.75" customHeight="1" x14ac:dyDescent="0.25">
      <c r="E516" s="139"/>
      <c r="J516" s="139"/>
    </row>
    <row r="517" spans="5:10" ht="15.75" customHeight="1" x14ac:dyDescent="0.25">
      <c r="E517" s="139"/>
      <c r="J517" s="139"/>
    </row>
    <row r="518" spans="5:10" ht="15.75" customHeight="1" x14ac:dyDescent="0.25">
      <c r="E518" s="139"/>
      <c r="J518" s="139"/>
    </row>
    <row r="519" spans="5:10" ht="15.75" customHeight="1" x14ac:dyDescent="0.25">
      <c r="E519" s="139"/>
      <c r="J519" s="139"/>
    </row>
    <row r="520" spans="5:10" ht="15.75" customHeight="1" x14ac:dyDescent="0.25">
      <c r="E520" s="139"/>
      <c r="J520" s="139"/>
    </row>
    <row r="521" spans="5:10" ht="15.75" customHeight="1" x14ac:dyDescent="0.25">
      <c r="E521" s="139"/>
      <c r="J521" s="139"/>
    </row>
    <row r="522" spans="5:10" ht="15.75" customHeight="1" x14ac:dyDescent="0.25">
      <c r="E522" s="139"/>
      <c r="J522" s="139"/>
    </row>
    <row r="523" spans="5:10" ht="15.75" customHeight="1" x14ac:dyDescent="0.25">
      <c r="E523" s="139"/>
      <c r="J523" s="139"/>
    </row>
    <row r="524" spans="5:10" ht="15.75" customHeight="1" x14ac:dyDescent="0.25">
      <c r="E524" s="139"/>
      <c r="J524" s="139"/>
    </row>
    <row r="525" spans="5:10" ht="15.75" customHeight="1" x14ac:dyDescent="0.25">
      <c r="E525" s="139"/>
      <c r="J525" s="139"/>
    </row>
    <row r="526" spans="5:10" ht="15.75" customHeight="1" x14ac:dyDescent="0.25">
      <c r="E526" s="139"/>
      <c r="J526" s="139"/>
    </row>
    <row r="527" spans="5:10" ht="15.75" customHeight="1" x14ac:dyDescent="0.25">
      <c r="E527" s="139"/>
      <c r="J527" s="139"/>
    </row>
    <row r="528" spans="5:10" ht="15.75" customHeight="1" x14ac:dyDescent="0.25">
      <c r="E528" s="139"/>
      <c r="J528" s="139"/>
    </row>
    <row r="529" spans="5:10" ht="15.75" customHeight="1" x14ac:dyDescent="0.25">
      <c r="E529" s="139"/>
      <c r="J529" s="139"/>
    </row>
    <row r="530" spans="5:10" ht="15.75" customHeight="1" x14ac:dyDescent="0.25">
      <c r="E530" s="139"/>
      <c r="J530" s="139"/>
    </row>
    <row r="531" spans="5:10" ht="15.75" customHeight="1" x14ac:dyDescent="0.25">
      <c r="E531" s="139"/>
      <c r="J531" s="139"/>
    </row>
    <row r="532" spans="5:10" ht="15.75" customHeight="1" x14ac:dyDescent="0.25">
      <c r="E532" s="139"/>
      <c r="J532" s="139"/>
    </row>
    <row r="533" spans="5:10" ht="15.75" customHeight="1" x14ac:dyDescent="0.25">
      <c r="E533" s="139"/>
      <c r="J533" s="139"/>
    </row>
    <row r="534" spans="5:10" ht="15.75" customHeight="1" x14ac:dyDescent="0.25">
      <c r="E534" s="139"/>
      <c r="J534" s="139"/>
    </row>
    <row r="535" spans="5:10" ht="15.75" customHeight="1" x14ac:dyDescent="0.25">
      <c r="E535" s="139"/>
      <c r="J535" s="139"/>
    </row>
    <row r="536" spans="5:10" ht="15.75" customHeight="1" x14ac:dyDescent="0.25">
      <c r="E536" s="139"/>
      <c r="J536" s="139"/>
    </row>
    <row r="537" spans="5:10" ht="15.75" customHeight="1" x14ac:dyDescent="0.25">
      <c r="E537" s="139"/>
      <c r="J537" s="139"/>
    </row>
    <row r="538" spans="5:10" ht="15.75" customHeight="1" x14ac:dyDescent="0.25">
      <c r="E538" s="139"/>
      <c r="J538" s="139"/>
    </row>
    <row r="539" spans="5:10" ht="15.75" customHeight="1" x14ac:dyDescent="0.25">
      <c r="E539" s="139"/>
      <c r="J539" s="139"/>
    </row>
    <row r="540" spans="5:10" ht="15.75" customHeight="1" x14ac:dyDescent="0.25">
      <c r="E540" s="139"/>
      <c r="J540" s="139"/>
    </row>
    <row r="541" spans="5:10" ht="15.75" customHeight="1" x14ac:dyDescent="0.25">
      <c r="E541" s="139"/>
      <c r="J541" s="139"/>
    </row>
    <row r="542" spans="5:10" ht="15.75" customHeight="1" x14ac:dyDescent="0.25">
      <c r="E542" s="139"/>
      <c r="J542" s="139"/>
    </row>
    <row r="543" spans="5:10" ht="15.75" customHeight="1" x14ac:dyDescent="0.25">
      <c r="E543" s="139"/>
      <c r="J543" s="139"/>
    </row>
    <row r="544" spans="5:10" ht="15.75" customHeight="1" x14ac:dyDescent="0.25">
      <c r="E544" s="139"/>
      <c r="J544" s="139"/>
    </row>
    <row r="545" spans="5:10" ht="15.75" customHeight="1" x14ac:dyDescent="0.25">
      <c r="E545" s="139"/>
      <c r="J545" s="139"/>
    </row>
    <row r="546" spans="5:10" ht="15.75" customHeight="1" x14ac:dyDescent="0.25">
      <c r="E546" s="139"/>
      <c r="J546" s="139"/>
    </row>
    <row r="547" spans="5:10" ht="15.75" customHeight="1" x14ac:dyDescent="0.25">
      <c r="E547" s="139"/>
      <c r="J547" s="139"/>
    </row>
    <row r="548" spans="5:10" ht="15.75" customHeight="1" x14ac:dyDescent="0.25">
      <c r="E548" s="139"/>
      <c r="J548" s="139"/>
    </row>
    <row r="549" spans="5:10" ht="15.75" customHeight="1" x14ac:dyDescent="0.25">
      <c r="E549" s="139"/>
      <c r="J549" s="139"/>
    </row>
    <row r="550" spans="5:10" ht="15.75" customHeight="1" x14ac:dyDescent="0.25">
      <c r="E550" s="139"/>
      <c r="J550" s="139"/>
    </row>
    <row r="551" spans="5:10" ht="15.75" customHeight="1" x14ac:dyDescent="0.25">
      <c r="E551" s="139"/>
      <c r="J551" s="139"/>
    </row>
    <row r="552" spans="5:10" ht="15.75" customHeight="1" x14ac:dyDescent="0.25">
      <c r="E552" s="139"/>
      <c r="J552" s="139"/>
    </row>
    <row r="553" spans="5:10" ht="15.75" customHeight="1" x14ac:dyDescent="0.25">
      <c r="E553" s="139"/>
      <c r="J553" s="139"/>
    </row>
    <row r="554" spans="5:10" ht="15.75" customHeight="1" x14ac:dyDescent="0.25">
      <c r="E554" s="139"/>
      <c r="J554" s="139"/>
    </row>
    <row r="555" spans="5:10" ht="15.75" customHeight="1" x14ac:dyDescent="0.25">
      <c r="E555" s="139"/>
      <c r="J555" s="139"/>
    </row>
    <row r="556" spans="5:10" ht="15.75" customHeight="1" x14ac:dyDescent="0.25">
      <c r="E556" s="139"/>
      <c r="J556" s="139"/>
    </row>
    <row r="557" spans="5:10" ht="15.75" customHeight="1" x14ac:dyDescent="0.25">
      <c r="E557" s="139"/>
      <c r="J557" s="139"/>
    </row>
    <row r="558" spans="5:10" ht="15.75" customHeight="1" x14ac:dyDescent="0.25">
      <c r="E558" s="139"/>
      <c r="J558" s="139"/>
    </row>
    <row r="559" spans="5:10" ht="15.75" customHeight="1" x14ac:dyDescent="0.25">
      <c r="E559" s="139"/>
      <c r="J559" s="139"/>
    </row>
    <row r="560" spans="5:10" ht="15.75" customHeight="1" x14ac:dyDescent="0.25">
      <c r="E560" s="139"/>
      <c r="J560" s="139"/>
    </row>
    <row r="561" spans="5:10" ht="15.75" customHeight="1" x14ac:dyDescent="0.25">
      <c r="E561" s="139"/>
      <c r="J561" s="139"/>
    </row>
    <row r="562" spans="5:10" ht="15.75" customHeight="1" x14ac:dyDescent="0.25">
      <c r="E562" s="139"/>
      <c r="J562" s="139"/>
    </row>
    <row r="563" spans="5:10" ht="15.75" customHeight="1" x14ac:dyDescent="0.25">
      <c r="E563" s="139"/>
      <c r="J563" s="139"/>
    </row>
    <row r="564" spans="5:10" ht="15.75" customHeight="1" x14ac:dyDescent="0.25">
      <c r="E564" s="139"/>
      <c r="J564" s="139"/>
    </row>
    <row r="565" spans="5:10" ht="15.75" customHeight="1" x14ac:dyDescent="0.25">
      <c r="E565" s="139"/>
      <c r="J565" s="139"/>
    </row>
    <row r="566" spans="5:10" ht="15.75" customHeight="1" x14ac:dyDescent="0.25">
      <c r="E566" s="139"/>
      <c r="J566" s="139"/>
    </row>
    <row r="567" spans="5:10" ht="15.75" customHeight="1" x14ac:dyDescent="0.25">
      <c r="E567" s="139"/>
      <c r="J567" s="139"/>
    </row>
    <row r="568" spans="5:10" ht="15.75" customHeight="1" x14ac:dyDescent="0.25">
      <c r="E568" s="139"/>
      <c r="J568" s="139"/>
    </row>
    <row r="569" spans="5:10" ht="15.75" customHeight="1" x14ac:dyDescent="0.25">
      <c r="E569" s="139"/>
      <c r="J569" s="139"/>
    </row>
    <row r="570" spans="5:10" ht="15.75" customHeight="1" x14ac:dyDescent="0.25">
      <c r="E570" s="139"/>
      <c r="J570" s="139"/>
    </row>
    <row r="571" spans="5:10" ht="15.75" customHeight="1" x14ac:dyDescent="0.25">
      <c r="E571" s="139"/>
      <c r="J571" s="139"/>
    </row>
    <row r="572" spans="5:10" ht="15.75" customHeight="1" x14ac:dyDescent="0.25">
      <c r="E572" s="139"/>
      <c r="J572" s="139"/>
    </row>
    <row r="573" spans="5:10" ht="15.75" customHeight="1" x14ac:dyDescent="0.25">
      <c r="E573" s="139"/>
      <c r="J573" s="139"/>
    </row>
    <row r="574" spans="5:10" ht="15.75" customHeight="1" x14ac:dyDescent="0.25">
      <c r="E574" s="139"/>
      <c r="J574" s="139"/>
    </row>
    <row r="575" spans="5:10" ht="15.75" customHeight="1" x14ac:dyDescent="0.25">
      <c r="E575" s="139"/>
      <c r="J575" s="139"/>
    </row>
    <row r="576" spans="5:10" ht="15.75" customHeight="1" x14ac:dyDescent="0.25">
      <c r="E576" s="139"/>
      <c r="J576" s="139"/>
    </row>
    <row r="577" spans="5:10" ht="15.75" customHeight="1" x14ac:dyDescent="0.25">
      <c r="E577" s="139"/>
      <c r="J577" s="139"/>
    </row>
    <row r="578" spans="5:10" ht="15.75" customHeight="1" x14ac:dyDescent="0.25">
      <c r="E578" s="139"/>
      <c r="J578" s="139"/>
    </row>
    <row r="579" spans="5:10" ht="15.75" customHeight="1" x14ac:dyDescent="0.25">
      <c r="E579" s="139"/>
      <c r="J579" s="139"/>
    </row>
    <row r="580" spans="5:10" ht="15.75" customHeight="1" x14ac:dyDescent="0.25">
      <c r="E580" s="139"/>
      <c r="J580" s="139"/>
    </row>
    <row r="581" spans="5:10" ht="15.75" customHeight="1" x14ac:dyDescent="0.25">
      <c r="E581" s="139"/>
      <c r="J581" s="139"/>
    </row>
    <row r="582" spans="5:10" ht="15.75" customHeight="1" x14ac:dyDescent="0.25">
      <c r="E582" s="139"/>
      <c r="J582" s="139"/>
    </row>
    <row r="583" spans="5:10" ht="15.75" customHeight="1" x14ac:dyDescent="0.25">
      <c r="E583" s="139"/>
      <c r="J583" s="139"/>
    </row>
    <row r="584" spans="5:10" ht="15.75" customHeight="1" x14ac:dyDescent="0.25">
      <c r="E584" s="139"/>
      <c r="J584" s="139"/>
    </row>
    <row r="585" spans="5:10" ht="15.75" customHeight="1" x14ac:dyDescent="0.25">
      <c r="E585" s="139"/>
      <c r="J585" s="139"/>
    </row>
    <row r="586" spans="5:10" ht="15.75" customHeight="1" x14ac:dyDescent="0.25">
      <c r="E586" s="139"/>
      <c r="J586" s="139"/>
    </row>
    <row r="587" spans="5:10" ht="15.75" customHeight="1" x14ac:dyDescent="0.25">
      <c r="E587" s="139"/>
      <c r="J587" s="139"/>
    </row>
    <row r="588" spans="5:10" ht="15.75" customHeight="1" x14ac:dyDescent="0.25">
      <c r="E588" s="139"/>
      <c r="J588" s="139"/>
    </row>
    <row r="589" spans="5:10" ht="15.75" customHeight="1" x14ac:dyDescent="0.25">
      <c r="E589" s="139"/>
      <c r="J589" s="139"/>
    </row>
    <row r="590" spans="5:10" ht="15.75" customHeight="1" x14ac:dyDescent="0.25">
      <c r="E590" s="139"/>
      <c r="J590" s="139"/>
    </row>
    <row r="591" spans="5:10" ht="15.75" customHeight="1" x14ac:dyDescent="0.25">
      <c r="E591" s="139"/>
      <c r="J591" s="139"/>
    </row>
    <row r="592" spans="5:10" ht="15.75" customHeight="1" x14ac:dyDescent="0.25">
      <c r="E592" s="139"/>
      <c r="J592" s="139"/>
    </row>
    <row r="593" spans="5:10" ht="15.75" customHeight="1" x14ac:dyDescent="0.25">
      <c r="E593" s="139"/>
      <c r="J593" s="139"/>
    </row>
    <row r="594" spans="5:10" ht="15.75" customHeight="1" x14ac:dyDescent="0.25">
      <c r="E594" s="139"/>
      <c r="J594" s="139"/>
    </row>
    <row r="595" spans="5:10" ht="15.75" customHeight="1" x14ac:dyDescent="0.25">
      <c r="E595" s="139"/>
      <c r="J595" s="139"/>
    </row>
    <row r="596" spans="5:10" ht="15.75" customHeight="1" x14ac:dyDescent="0.25">
      <c r="E596" s="139"/>
      <c r="J596" s="139"/>
    </row>
    <row r="597" spans="5:10" ht="15.75" customHeight="1" x14ac:dyDescent="0.25">
      <c r="E597" s="139"/>
      <c r="J597" s="139"/>
    </row>
    <row r="598" spans="5:10" ht="15.75" customHeight="1" x14ac:dyDescent="0.25">
      <c r="E598" s="139"/>
      <c r="J598" s="139"/>
    </row>
    <row r="599" spans="5:10" ht="15.75" customHeight="1" x14ac:dyDescent="0.25">
      <c r="E599" s="139"/>
      <c r="J599" s="139"/>
    </row>
    <row r="600" spans="5:10" ht="15.75" customHeight="1" x14ac:dyDescent="0.25">
      <c r="E600" s="139"/>
      <c r="J600" s="139"/>
    </row>
    <row r="601" spans="5:10" ht="15.75" customHeight="1" x14ac:dyDescent="0.25">
      <c r="E601" s="139"/>
      <c r="J601" s="139"/>
    </row>
    <row r="602" spans="5:10" ht="15.75" customHeight="1" x14ac:dyDescent="0.25">
      <c r="E602" s="139"/>
      <c r="J602" s="139"/>
    </row>
    <row r="603" spans="5:10" ht="15.75" customHeight="1" x14ac:dyDescent="0.25">
      <c r="E603" s="139"/>
      <c r="J603" s="139"/>
    </row>
    <row r="604" spans="5:10" ht="15.75" customHeight="1" x14ac:dyDescent="0.25">
      <c r="E604" s="139"/>
      <c r="J604" s="139"/>
    </row>
    <row r="605" spans="5:10" ht="15.75" customHeight="1" x14ac:dyDescent="0.25">
      <c r="E605" s="139"/>
      <c r="J605" s="139"/>
    </row>
    <row r="606" spans="5:10" ht="15.75" customHeight="1" x14ac:dyDescent="0.25">
      <c r="E606" s="139"/>
      <c r="J606" s="139"/>
    </row>
    <row r="607" spans="5:10" ht="15.75" customHeight="1" x14ac:dyDescent="0.25">
      <c r="E607" s="139"/>
      <c r="J607" s="139"/>
    </row>
    <row r="608" spans="5:10" ht="15.75" customHeight="1" x14ac:dyDescent="0.25">
      <c r="E608" s="139"/>
      <c r="J608" s="139"/>
    </row>
    <row r="609" spans="5:10" ht="15.75" customHeight="1" x14ac:dyDescent="0.25">
      <c r="E609" s="139"/>
      <c r="J609" s="139"/>
    </row>
    <row r="610" spans="5:10" ht="15.75" customHeight="1" x14ac:dyDescent="0.25">
      <c r="E610" s="139"/>
      <c r="J610" s="139"/>
    </row>
    <row r="611" spans="5:10" ht="15.75" customHeight="1" x14ac:dyDescent="0.25">
      <c r="E611" s="139"/>
      <c r="J611" s="139"/>
    </row>
    <row r="612" spans="5:10" ht="15.75" customHeight="1" x14ac:dyDescent="0.25">
      <c r="E612" s="139"/>
      <c r="J612" s="139"/>
    </row>
    <row r="613" spans="5:10" ht="15.75" customHeight="1" x14ac:dyDescent="0.25">
      <c r="E613" s="139"/>
      <c r="J613" s="139"/>
    </row>
    <row r="614" spans="5:10" ht="15.75" customHeight="1" x14ac:dyDescent="0.25">
      <c r="E614" s="139"/>
      <c r="J614" s="139"/>
    </row>
    <row r="615" spans="5:10" ht="15.75" customHeight="1" x14ac:dyDescent="0.25">
      <c r="E615" s="139"/>
      <c r="J615" s="139"/>
    </row>
    <row r="616" spans="5:10" ht="15.75" customHeight="1" x14ac:dyDescent="0.25">
      <c r="E616" s="139"/>
      <c r="J616" s="139"/>
    </row>
    <row r="617" spans="5:10" ht="15.75" customHeight="1" x14ac:dyDescent="0.25">
      <c r="E617" s="139"/>
      <c r="J617" s="139"/>
    </row>
    <row r="618" spans="5:10" ht="15.75" customHeight="1" x14ac:dyDescent="0.25">
      <c r="E618" s="139"/>
      <c r="J618" s="139"/>
    </row>
    <row r="619" spans="5:10" ht="15.75" customHeight="1" x14ac:dyDescent="0.25">
      <c r="E619" s="139"/>
      <c r="J619" s="139"/>
    </row>
    <row r="620" spans="5:10" ht="15.75" customHeight="1" x14ac:dyDescent="0.25">
      <c r="E620" s="139"/>
      <c r="J620" s="139"/>
    </row>
    <row r="621" spans="5:10" ht="15.75" customHeight="1" x14ac:dyDescent="0.25">
      <c r="E621" s="139"/>
      <c r="J621" s="139"/>
    </row>
    <row r="622" spans="5:10" ht="15.75" customHeight="1" x14ac:dyDescent="0.25">
      <c r="E622" s="139"/>
      <c r="J622" s="139"/>
    </row>
    <row r="623" spans="5:10" ht="15.75" customHeight="1" x14ac:dyDescent="0.25">
      <c r="E623" s="139"/>
      <c r="J623" s="139"/>
    </row>
    <row r="624" spans="5:10" ht="15.75" customHeight="1" x14ac:dyDescent="0.25">
      <c r="E624" s="139"/>
      <c r="J624" s="139"/>
    </row>
    <row r="625" spans="5:10" ht="15.75" customHeight="1" x14ac:dyDescent="0.25">
      <c r="E625" s="139"/>
      <c r="J625" s="139"/>
    </row>
    <row r="626" spans="5:10" ht="15.75" customHeight="1" x14ac:dyDescent="0.25">
      <c r="E626" s="139"/>
      <c r="J626" s="139"/>
    </row>
    <row r="627" spans="5:10" ht="15.75" customHeight="1" x14ac:dyDescent="0.25">
      <c r="E627" s="139"/>
      <c r="J627" s="139"/>
    </row>
    <row r="628" spans="5:10" ht="15.75" customHeight="1" x14ac:dyDescent="0.25">
      <c r="E628" s="139"/>
      <c r="J628" s="139"/>
    </row>
    <row r="629" spans="5:10" ht="15.75" customHeight="1" x14ac:dyDescent="0.25">
      <c r="E629" s="139"/>
      <c r="J629" s="139"/>
    </row>
    <row r="630" spans="5:10" ht="15.75" customHeight="1" x14ac:dyDescent="0.25">
      <c r="E630" s="139"/>
      <c r="J630" s="139"/>
    </row>
    <row r="631" spans="5:10" ht="15.75" customHeight="1" x14ac:dyDescent="0.25">
      <c r="E631" s="139"/>
      <c r="J631" s="139"/>
    </row>
    <row r="632" spans="5:10" ht="15.75" customHeight="1" x14ac:dyDescent="0.25">
      <c r="E632" s="139"/>
      <c r="J632" s="139"/>
    </row>
    <row r="633" spans="5:10" ht="15.75" customHeight="1" x14ac:dyDescent="0.25">
      <c r="E633" s="139"/>
      <c r="J633" s="139"/>
    </row>
    <row r="634" spans="5:10" ht="15.75" customHeight="1" x14ac:dyDescent="0.25">
      <c r="E634" s="139"/>
      <c r="J634" s="139"/>
    </row>
    <row r="635" spans="5:10" ht="15.75" customHeight="1" x14ac:dyDescent="0.25">
      <c r="E635" s="139"/>
      <c r="J635" s="139"/>
    </row>
    <row r="636" spans="5:10" ht="15.75" customHeight="1" x14ac:dyDescent="0.25">
      <c r="E636" s="139"/>
      <c r="J636" s="139"/>
    </row>
    <row r="637" spans="5:10" ht="15.75" customHeight="1" x14ac:dyDescent="0.25">
      <c r="E637" s="139"/>
      <c r="J637" s="139"/>
    </row>
    <row r="638" spans="5:10" ht="15.75" customHeight="1" x14ac:dyDescent="0.25">
      <c r="E638" s="139"/>
      <c r="J638" s="139"/>
    </row>
    <row r="639" spans="5:10" ht="15.75" customHeight="1" x14ac:dyDescent="0.25">
      <c r="E639" s="139"/>
      <c r="J639" s="139"/>
    </row>
    <row r="640" spans="5:10" ht="15.75" customHeight="1" x14ac:dyDescent="0.25">
      <c r="E640" s="139"/>
      <c r="J640" s="139"/>
    </row>
    <row r="641" spans="5:10" ht="15.75" customHeight="1" x14ac:dyDescent="0.25">
      <c r="E641" s="139"/>
      <c r="J641" s="139"/>
    </row>
    <row r="642" spans="5:10" ht="15.75" customHeight="1" x14ac:dyDescent="0.25">
      <c r="E642" s="139"/>
      <c r="J642" s="139"/>
    </row>
    <row r="643" spans="5:10" ht="15.75" customHeight="1" x14ac:dyDescent="0.25">
      <c r="E643" s="139"/>
      <c r="J643" s="139"/>
    </row>
    <row r="644" spans="5:10" ht="15.75" customHeight="1" x14ac:dyDescent="0.25">
      <c r="E644" s="139"/>
      <c r="J644" s="139"/>
    </row>
    <row r="645" spans="5:10" ht="15.75" customHeight="1" x14ac:dyDescent="0.25">
      <c r="E645" s="139"/>
      <c r="J645" s="139"/>
    </row>
    <row r="646" spans="5:10" ht="15.75" customHeight="1" x14ac:dyDescent="0.25">
      <c r="E646" s="139"/>
      <c r="J646" s="139"/>
    </row>
    <row r="647" spans="5:10" ht="15.75" customHeight="1" x14ac:dyDescent="0.25">
      <c r="E647" s="139"/>
      <c r="J647" s="139"/>
    </row>
    <row r="648" spans="5:10" ht="15.75" customHeight="1" x14ac:dyDescent="0.25">
      <c r="E648" s="139"/>
      <c r="J648" s="139"/>
    </row>
    <row r="649" spans="5:10" ht="15.75" customHeight="1" x14ac:dyDescent="0.25">
      <c r="E649" s="139"/>
      <c r="J649" s="139"/>
    </row>
    <row r="650" spans="5:10" ht="15.75" customHeight="1" x14ac:dyDescent="0.25">
      <c r="E650" s="139"/>
      <c r="J650" s="139"/>
    </row>
    <row r="651" spans="5:10" ht="15.75" customHeight="1" x14ac:dyDescent="0.25">
      <c r="E651" s="139"/>
      <c r="J651" s="139"/>
    </row>
    <row r="652" spans="5:10" ht="15.75" customHeight="1" x14ac:dyDescent="0.25">
      <c r="E652" s="139"/>
      <c r="J652" s="139"/>
    </row>
    <row r="653" spans="5:10" ht="15.75" customHeight="1" x14ac:dyDescent="0.25">
      <c r="E653" s="139"/>
      <c r="J653" s="139"/>
    </row>
    <row r="654" spans="5:10" ht="15.75" customHeight="1" x14ac:dyDescent="0.25">
      <c r="E654" s="139"/>
      <c r="J654" s="139"/>
    </row>
    <row r="655" spans="5:10" ht="15.75" customHeight="1" x14ac:dyDescent="0.25">
      <c r="E655" s="139"/>
      <c r="J655" s="139"/>
    </row>
    <row r="656" spans="5:10" ht="15.75" customHeight="1" x14ac:dyDescent="0.25">
      <c r="E656" s="139"/>
      <c r="J656" s="139"/>
    </row>
    <row r="657" spans="5:10" ht="15.75" customHeight="1" x14ac:dyDescent="0.25">
      <c r="E657" s="139"/>
      <c r="J657" s="139"/>
    </row>
    <row r="658" spans="5:10" ht="15.75" customHeight="1" x14ac:dyDescent="0.25">
      <c r="E658" s="139"/>
      <c r="J658" s="139"/>
    </row>
    <row r="659" spans="5:10" ht="15.75" customHeight="1" x14ac:dyDescent="0.25">
      <c r="E659" s="139"/>
      <c r="J659" s="139"/>
    </row>
    <row r="660" spans="5:10" ht="15.75" customHeight="1" x14ac:dyDescent="0.25">
      <c r="E660" s="139"/>
      <c r="J660" s="139"/>
    </row>
    <row r="661" spans="5:10" ht="15.75" customHeight="1" x14ac:dyDescent="0.25">
      <c r="E661" s="139"/>
      <c r="J661" s="139"/>
    </row>
    <row r="662" spans="5:10" ht="15.75" customHeight="1" x14ac:dyDescent="0.25">
      <c r="E662" s="139"/>
      <c r="J662" s="139"/>
    </row>
    <row r="663" spans="5:10" ht="15.75" customHeight="1" x14ac:dyDescent="0.25">
      <c r="E663" s="139"/>
      <c r="J663" s="139"/>
    </row>
    <row r="664" spans="5:10" ht="15.75" customHeight="1" x14ac:dyDescent="0.25">
      <c r="E664" s="139"/>
      <c r="J664" s="139"/>
    </row>
    <row r="665" spans="5:10" ht="15.75" customHeight="1" x14ac:dyDescent="0.25">
      <c r="E665" s="139"/>
      <c r="J665" s="139"/>
    </row>
    <row r="666" spans="5:10" ht="15.75" customHeight="1" x14ac:dyDescent="0.25">
      <c r="E666" s="139"/>
      <c r="J666" s="139"/>
    </row>
    <row r="667" spans="5:10" ht="15.75" customHeight="1" x14ac:dyDescent="0.25">
      <c r="E667" s="139"/>
      <c r="J667" s="139"/>
    </row>
    <row r="668" spans="5:10" ht="15.75" customHeight="1" x14ac:dyDescent="0.25">
      <c r="E668" s="139"/>
      <c r="J668" s="139"/>
    </row>
    <row r="669" spans="5:10" ht="15.75" customHeight="1" x14ac:dyDescent="0.25">
      <c r="E669" s="139"/>
      <c r="J669" s="139"/>
    </row>
    <row r="670" spans="5:10" ht="15.75" customHeight="1" x14ac:dyDescent="0.25">
      <c r="E670" s="139"/>
      <c r="J670" s="139"/>
    </row>
    <row r="671" spans="5:10" ht="15.75" customHeight="1" x14ac:dyDescent="0.25">
      <c r="E671" s="139"/>
      <c r="J671" s="139"/>
    </row>
    <row r="672" spans="5:10" ht="15.75" customHeight="1" x14ac:dyDescent="0.25">
      <c r="E672" s="139"/>
      <c r="J672" s="139"/>
    </row>
    <row r="673" spans="5:10" ht="15.75" customHeight="1" x14ac:dyDescent="0.25">
      <c r="E673" s="139"/>
      <c r="J673" s="139"/>
    </row>
    <row r="674" spans="5:10" ht="15.75" customHeight="1" x14ac:dyDescent="0.25">
      <c r="E674" s="139"/>
      <c r="J674" s="139"/>
    </row>
    <row r="675" spans="5:10" ht="15.75" customHeight="1" x14ac:dyDescent="0.25">
      <c r="E675" s="139"/>
      <c r="J675" s="139"/>
    </row>
    <row r="676" spans="5:10" ht="15.75" customHeight="1" x14ac:dyDescent="0.25">
      <c r="E676" s="139"/>
      <c r="J676" s="139"/>
    </row>
    <row r="677" spans="5:10" ht="15.75" customHeight="1" x14ac:dyDescent="0.25">
      <c r="E677" s="139"/>
      <c r="J677" s="139"/>
    </row>
    <row r="678" spans="5:10" ht="15.75" customHeight="1" x14ac:dyDescent="0.25">
      <c r="E678" s="139"/>
      <c r="J678" s="139"/>
    </row>
    <row r="679" spans="5:10" ht="15.75" customHeight="1" x14ac:dyDescent="0.25">
      <c r="E679" s="139"/>
      <c r="J679" s="139"/>
    </row>
    <row r="680" spans="5:10" ht="15.75" customHeight="1" x14ac:dyDescent="0.25">
      <c r="E680" s="139"/>
      <c r="J680" s="139"/>
    </row>
    <row r="681" spans="5:10" ht="15.75" customHeight="1" x14ac:dyDescent="0.25">
      <c r="E681" s="139"/>
      <c r="J681" s="139"/>
    </row>
    <row r="682" spans="5:10" ht="15.75" customHeight="1" x14ac:dyDescent="0.25">
      <c r="E682" s="139"/>
      <c r="J682" s="139"/>
    </row>
    <row r="683" spans="5:10" ht="15.75" customHeight="1" x14ac:dyDescent="0.25">
      <c r="E683" s="139"/>
      <c r="J683" s="139"/>
    </row>
    <row r="684" spans="5:10" ht="15.75" customHeight="1" x14ac:dyDescent="0.25">
      <c r="E684" s="139"/>
      <c r="J684" s="139"/>
    </row>
    <row r="685" spans="5:10" ht="15.75" customHeight="1" x14ac:dyDescent="0.25">
      <c r="E685" s="139"/>
      <c r="J685" s="139"/>
    </row>
    <row r="686" spans="5:10" ht="15.75" customHeight="1" x14ac:dyDescent="0.25">
      <c r="E686" s="139"/>
      <c r="J686" s="139"/>
    </row>
    <row r="687" spans="5:10" ht="15.75" customHeight="1" x14ac:dyDescent="0.25">
      <c r="E687" s="139"/>
      <c r="J687" s="139"/>
    </row>
    <row r="688" spans="5:10" ht="15.75" customHeight="1" x14ac:dyDescent="0.25">
      <c r="E688" s="139"/>
      <c r="J688" s="139"/>
    </row>
    <row r="689" spans="5:10" ht="15.75" customHeight="1" x14ac:dyDescent="0.25">
      <c r="E689" s="139"/>
      <c r="J689" s="139"/>
    </row>
    <row r="690" spans="5:10" ht="15.75" customHeight="1" x14ac:dyDescent="0.25">
      <c r="E690" s="139"/>
      <c r="J690" s="139"/>
    </row>
    <row r="691" spans="5:10" ht="15.75" customHeight="1" x14ac:dyDescent="0.25">
      <c r="E691" s="139"/>
      <c r="J691" s="139"/>
    </row>
    <row r="692" spans="5:10" ht="15.75" customHeight="1" x14ac:dyDescent="0.25">
      <c r="E692" s="139"/>
      <c r="J692" s="139"/>
    </row>
    <row r="693" spans="5:10" ht="15.75" customHeight="1" x14ac:dyDescent="0.25">
      <c r="E693" s="139"/>
      <c r="J693" s="139"/>
    </row>
    <row r="694" spans="5:10" ht="15.75" customHeight="1" x14ac:dyDescent="0.25">
      <c r="E694" s="139"/>
      <c r="J694" s="139"/>
    </row>
    <row r="695" spans="5:10" ht="15.75" customHeight="1" x14ac:dyDescent="0.25">
      <c r="E695" s="139"/>
      <c r="J695" s="139"/>
    </row>
    <row r="696" spans="5:10" ht="15.75" customHeight="1" x14ac:dyDescent="0.25">
      <c r="E696" s="139"/>
      <c r="J696" s="139"/>
    </row>
    <row r="697" spans="5:10" ht="15.75" customHeight="1" x14ac:dyDescent="0.25">
      <c r="E697" s="139"/>
      <c r="J697" s="139"/>
    </row>
    <row r="698" spans="5:10" ht="15.75" customHeight="1" x14ac:dyDescent="0.25">
      <c r="E698" s="139"/>
      <c r="J698" s="139"/>
    </row>
    <row r="699" spans="5:10" ht="15.75" customHeight="1" x14ac:dyDescent="0.25">
      <c r="E699" s="139"/>
      <c r="J699" s="139"/>
    </row>
    <row r="700" spans="5:10" ht="15.75" customHeight="1" x14ac:dyDescent="0.25">
      <c r="E700" s="139"/>
      <c r="J700" s="139"/>
    </row>
    <row r="701" spans="5:10" ht="15.75" customHeight="1" x14ac:dyDescent="0.25">
      <c r="E701" s="139"/>
      <c r="J701" s="139"/>
    </row>
    <row r="702" spans="5:10" ht="15.75" customHeight="1" x14ac:dyDescent="0.25">
      <c r="E702" s="139"/>
      <c r="J702" s="139"/>
    </row>
    <row r="703" spans="5:10" ht="15.75" customHeight="1" x14ac:dyDescent="0.25">
      <c r="E703" s="139"/>
      <c r="J703" s="139"/>
    </row>
    <row r="704" spans="5:10" ht="15.75" customHeight="1" x14ac:dyDescent="0.25">
      <c r="E704" s="139"/>
      <c r="J704" s="139"/>
    </row>
    <row r="705" spans="5:10" ht="15.75" customHeight="1" x14ac:dyDescent="0.25">
      <c r="E705" s="139"/>
      <c r="J705" s="139"/>
    </row>
    <row r="706" spans="5:10" ht="15.75" customHeight="1" x14ac:dyDescent="0.25">
      <c r="E706" s="139"/>
      <c r="J706" s="139"/>
    </row>
    <row r="707" spans="5:10" ht="15.75" customHeight="1" x14ac:dyDescent="0.25">
      <c r="E707" s="139"/>
      <c r="J707" s="139"/>
    </row>
    <row r="708" spans="5:10" ht="15.75" customHeight="1" x14ac:dyDescent="0.25">
      <c r="E708" s="139"/>
      <c r="J708" s="139"/>
    </row>
    <row r="709" spans="5:10" ht="15.75" customHeight="1" x14ac:dyDescent="0.25">
      <c r="E709" s="139"/>
      <c r="J709" s="139"/>
    </row>
    <row r="710" spans="5:10" ht="15.75" customHeight="1" x14ac:dyDescent="0.25">
      <c r="E710" s="139"/>
      <c r="J710" s="139"/>
    </row>
    <row r="711" spans="5:10" ht="15.75" customHeight="1" x14ac:dyDescent="0.25">
      <c r="E711" s="139"/>
      <c r="J711" s="139"/>
    </row>
    <row r="712" spans="5:10" ht="15.75" customHeight="1" x14ac:dyDescent="0.25">
      <c r="E712" s="139"/>
      <c r="J712" s="139"/>
    </row>
    <row r="713" spans="5:10" ht="15.75" customHeight="1" x14ac:dyDescent="0.25">
      <c r="E713" s="139"/>
      <c r="J713" s="139"/>
    </row>
    <row r="714" spans="5:10" ht="15.75" customHeight="1" x14ac:dyDescent="0.25">
      <c r="E714" s="139"/>
      <c r="J714" s="139"/>
    </row>
    <row r="715" spans="5:10" ht="15.75" customHeight="1" x14ac:dyDescent="0.25">
      <c r="E715" s="139"/>
      <c r="J715" s="139"/>
    </row>
    <row r="716" spans="5:10" ht="15.75" customHeight="1" x14ac:dyDescent="0.25">
      <c r="E716" s="139"/>
      <c r="J716" s="139"/>
    </row>
    <row r="717" spans="5:10" ht="15.75" customHeight="1" x14ac:dyDescent="0.25">
      <c r="E717" s="139"/>
      <c r="J717" s="139"/>
    </row>
    <row r="718" spans="5:10" ht="15.75" customHeight="1" x14ac:dyDescent="0.25">
      <c r="E718" s="139"/>
      <c r="J718" s="139"/>
    </row>
    <row r="719" spans="5:10" ht="15.75" customHeight="1" x14ac:dyDescent="0.25">
      <c r="E719" s="139"/>
      <c r="J719" s="139"/>
    </row>
    <row r="720" spans="5:10" ht="15.75" customHeight="1" x14ac:dyDescent="0.25">
      <c r="E720" s="139"/>
      <c r="J720" s="139"/>
    </row>
    <row r="721" spans="5:10" ht="15.75" customHeight="1" x14ac:dyDescent="0.25">
      <c r="E721" s="139"/>
      <c r="J721" s="139"/>
    </row>
    <row r="722" spans="5:10" ht="15.75" customHeight="1" x14ac:dyDescent="0.25">
      <c r="E722" s="139"/>
      <c r="J722" s="139"/>
    </row>
    <row r="723" spans="5:10" ht="15.75" customHeight="1" x14ac:dyDescent="0.25">
      <c r="E723" s="139"/>
      <c r="J723" s="139"/>
    </row>
    <row r="724" spans="5:10" ht="15.75" customHeight="1" x14ac:dyDescent="0.25">
      <c r="E724" s="139"/>
      <c r="J724" s="139"/>
    </row>
    <row r="725" spans="5:10" ht="15.75" customHeight="1" x14ac:dyDescent="0.25">
      <c r="E725" s="139"/>
      <c r="J725" s="139"/>
    </row>
    <row r="726" spans="5:10" ht="15.75" customHeight="1" x14ac:dyDescent="0.25">
      <c r="E726" s="139"/>
      <c r="J726" s="139"/>
    </row>
    <row r="727" spans="5:10" ht="15.75" customHeight="1" x14ac:dyDescent="0.25">
      <c r="E727" s="139"/>
      <c r="J727" s="139"/>
    </row>
    <row r="728" spans="5:10" ht="15.75" customHeight="1" x14ac:dyDescent="0.25">
      <c r="E728" s="139"/>
      <c r="J728" s="139"/>
    </row>
    <row r="729" spans="5:10" ht="15.75" customHeight="1" x14ac:dyDescent="0.25">
      <c r="E729" s="139"/>
      <c r="J729" s="139"/>
    </row>
    <row r="730" spans="5:10" ht="15.75" customHeight="1" x14ac:dyDescent="0.25">
      <c r="E730" s="139"/>
      <c r="J730" s="139"/>
    </row>
    <row r="731" spans="5:10" ht="15.75" customHeight="1" x14ac:dyDescent="0.25">
      <c r="E731" s="139"/>
      <c r="J731" s="139"/>
    </row>
    <row r="732" spans="5:10" ht="15.75" customHeight="1" x14ac:dyDescent="0.25">
      <c r="E732" s="139"/>
      <c r="J732" s="139"/>
    </row>
    <row r="733" spans="5:10" ht="15.75" customHeight="1" x14ac:dyDescent="0.25">
      <c r="E733" s="139"/>
      <c r="J733" s="139"/>
    </row>
    <row r="734" spans="5:10" ht="15.75" customHeight="1" x14ac:dyDescent="0.25">
      <c r="E734" s="139"/>
      <c r="J734" s="139"/>
    </row>
    <row r="735" spans="5:10" ht="15.75" customHeight="1" x14ac:dyDescent="0.25">
      <c r="E735" s="139"/>
      <c r="J735" s="139"/>
    </row>
    <row r="736" spans="5:10" ht="15.75" customHeight="1" x14ac:dyDescent="0.25">
      <c r="E736" s="139"/>
      <c r="J736" s="139"/>
    </row>
    <row r="737" spans="5:10" ht="15.75" customHeight="1" x14ac:dyDescent="0.25">
      <c r="E737" s="139"/>
      <c r="J737" s="139"/>
    </row>
    <row r="738" spans="5:10" ht="15.75" customHeight="1" x14ac:dyDescent="0.25">
      <c r="E738" s="139"/>
      <c r="J738" s="139"/>
    </row>
    <row r="739" spans="5:10" ht="15.75" customHeight="1" x14ac:dyDescent="0.25">
      <c r="E739" s="139"/>
      <c r="J739" s="139"/>
    </row>
    <row r="740" spans="5:10" ht="15.75" customHeight="1" x14ac:dyDescent="0.25">
      <c r="E740" s="139"/>
      <c r="J740" s="139"/>
    </row>
    <row r="741" spans="5:10" ht="15.75" customHeight="1" x14ac:dyDescent="0.25">
      <c r="E741" s="139"/>
      <c r="J741" s="139"/>
    </row>
    <row r="742" spans="5:10" ht="15.75" customHeight="1" x14ac:dyDescent="0.25">
      <c r="E742" s="139"/>
      <c r="J742" s="139"/>
    </row>
    <row r="743" spans="5:10" ht="15.75" customHeight="1" x14ac:dyDescent="0.25">
      <c r="E743" s="139"/>
      <c r="J743" s="139"/>
    </row>
    <row r="744" spans="5:10" ht="15.75" customHeight="1" x14ac:dyDescent="0.25">
      <c r="E744" s="139"/>
      <c r="J744" s="139"/>
    </row>
    <row r="745" spans="5:10" ht="15.75" customHeight="1" x14ac:dyDescent="0.25">
      <c r="E745" s="139"/>
      <c r="J745" s="139"/>
    </row>
    <row r="746" spans="5:10" ht="15.75" customHeight="1" x14ac:dyDescent="0.25">
      <c r="E746" s="139"/>
      <c r="J746" s="139"/>
    </row>
    <row r="747" spans="5:10" ht="15.75" customHeight="1" x14ac:dyDescent="0.25">
      <c r="E747" s="139"/>
      <c r="J747" s="139"/>
    </row>
    <row r="748" spans="5:10" ht="15.75" customHeight="1" x14ac:dyDescent="0.25">
      <c r="E748" s="139"/>
      <c r="J748" s="139"/>
    </row>
    <row r="749" spans="5:10" ht="15.75" customHeight="1" x14ac:dyDescent="0.25">
      <c r="E749" s="139"/>
      <c r="J749" s="139"/>
    </row>
    <row r="750" spans="5:10" ht="15.75" customHeight="1" x14ac:dyDescent="0.25">
      <c r="E750" s="139"/>
      <c r="J750" s="139"/>
    </row>
    <row r="751" spans="5:10" ht="15.75" customHeight="1" x14ac:dyDescent="0.25">
      <c r="E751" s="139"/>
      <c r="J751" s="139"/>
    </row>
    <row r="752" spans="5:10" ht="15.75" customHeight="1" x14ac:dyDescent="0.25">
      <c r="E752" s="139"/>
      <c r="J752" s="139"/>
    </row>
    <row r="753" spans="5:10" ht="15.75" customHeight="1" x14ac:dyDescent="0.25">
      <c r="E753" s="139"/>
      <c r="J753" s="139"/>
    </row>
    <row r="754" spans="5:10" ht="15.75" customHeight="1" x14ac:dyDescent="0.25">
      <c r="E754" s="139"/>
      <c r="J754" s="139"/>
    </row>
    <row r="755" spans="5:10" ht="15.75" customHeight="1" x14ac:dyDescent="0.25">
      <c r="E755" s="139"/>
      <c r="J755" s="139"/>
    </row>
    <row r="756" spans="5:10" ht="15.75" customHeight="1" x14ac:dyDescent="0.25">
      <c r="E756" s="139"/>
      <c r="J756" s="139"/>
    </row>
    <row r="757" spans="5:10" ht="15.75" customHeight="1" x14ac:dyDescent="0.25">
      <c r="E757" s="139"/>
      <c r="J757" s="139"/>
    </row>
    <row r="758" spans="5:10" ht="15.75" customHeight="1" x14ac:dyDescent="0.25">
      <c r="E758" s="139"/>
      <c r="J758" s="139"/>
    </row>
    <row r="759" spans="5:10" ht="15.75" customHeight="1" x14ac:dyDescent="0.25">
      <c r="E759" s="139"/>
      <c r="J759" s="139"/>
    </row>
    <row r="760" spans="5:10" ht="15.75" customHeight="1" x14ac:dyDescent="0.25">
      <c r="E760" s="139"/>
      <c r="J760" s="139"/>
    </row>
    <row r="761" spans="5:10" ht="15.75" customHeight="1" x14ac:dyDescent="0.25">
      <c r="E761" s="139"/>
      <c r="J761" s="139"/>
    </row>
    <row r="762" spans="5:10" ht="15.75" customHeight="1" x14ac:dyDescent="0.25">
      <c r="E762" s="139"/>
      <c r="J762" s="139"/>
    </row>
    <row r="763" spans="5:10" ht="15.75" customHeight="1" x14ac:dyDescent="0.25">
      <c r="E763" s="139"/>
      <c r="J763" s="139"/>
    </row>
    <row r="764" spans="5:10" ht="15.75" customHeight="1" x14ac:dyDescent="0.25">
      <c r="E764" s="139"/>
      <c r="J764" s="139"/>
    </row>
    <row r="765" spans="5:10" ht="15.75" customHeight="1" x14ac:dyDescent="0.25">
      <c r="E765" s="139"/>
      <c r="J765" s="139"/>
    </row>
    <row r="766" spans="5:10" ht="15.75" customHeight="1" x14ac:dyDescent="0.25">
      <c r="E766" s="139"/>
      <c r="J766" s="139"/>
    </row>
    <row r="767" spans="5:10" ht="15.75" customHeight="1" x14ac:dyDescent="0.25">
      <c r="E767" s="139"/>
      <c r="J767" s="139"/>
    </row>
    <row r="768" spans="5:10" ht="15.75" customHeight="1" x14ac:dyDescent="0.25">
      <c r="E768" s="139"/>
      <c r="J768" s="139"/>
    </row>
    <row r="769" spans="5:10" ht="15.75" customHeight="1" x14ac:dyDescent="0.25">
      <c r="E769" s="139"/>
      <c r="J769" s="139"/>
    </row>
    <row r="770" spans="5:10" ht="15.75" customHeight="1" x14ac:dyDescent="0.25">
      <c r="E770" s="139"/>
      <c r="J770" s="139"/>
    </row>
    <row r="771" spans="5:10" ht="15.75" customHeight="1" x14ac:dyDescent="0.25">
      <c r="E771" s="139"/>
      <c r="J771" s="139"/>
    </row>
    <row r="772" spans="5:10" ht="15.75" customHeight="1" x14ac:dyDescent="0.25">
      <c r="E772" s="139"/>
      <c r="J772" s="139"/>
    </row>
    <row r="773" spans="5:10" ht="15.75" customHeight="1" x14ac:dyDescent="0.25">
      <c r="E773" s="139"/>
      <c r="J773" s="139"/>
    </row>
    <row r="774" spans="5:10" ht="15.75" customHeight="1" x14ac:dyDescent="0.25">
      <c r="E774" s="139"/>
      <c r="J774" s="139"/>
    </row>
    <row r="775" spans="5:10" ht="15.75" customHeight="1" x14ac:dyDescent="0.25">
      <c r="E775" s="139"/>
      <c r="J775" s="139"/>
    </row>
    <row r="776" spans="5:10" ht="15.75" customHeight="1" x14ac:dyDescent="0.25">
      <c r="E776" s="139"/>
      <c r="J776" s="139"/>
    </row>
    <row r="777" spans="5:10" ht="15.75" customHeight="1" x14ac:dyDescent="0.25">
      <c r="E777" s="139"/>
      <c r="J777" s="139"/>
    </row>
    <row r="778" spans="5:10" ht="15.75" customHeight="1" x14ac:dyDescent="0.25">
      <c r="E778" s="139"/>
      <c r="J778" s="139"/>
    </row>
    <row r="779" spans="5:10" ht="15.75" customHeight="1" x14ac:dyDescent="0.25">
      <c r="E779" s="139"/>
      <c r="J779" s="139"/>
    </row>
    <row r="780" spans="5:10" ht="15.75" customHeight="1" x14ac:dyDescent="0.25">
      <c r="E780" s="139"/>
      <c r="J780" s="139"/>
    </row>
    <row r="781" spans="5:10" ht="15.75" customHeight="1" x14ac:dyDescent="0.25">
      <c r="E781" s="139"/>
      <c r="J781" s="139"/>
    </row>
    <row r="782" spans="5:10" ht="15.75" customHeight="1" x14ac:dyDescent="0.25">
      <c r="E782" s="139"/>
      <c r="J782" s="139"/>
    </row>
    <row r="783" spans="5:10" ht="15.75" customHeight="1" x14ac:dyDescent="0.25">
      <c r="E783" s="139"/>
      <c r="J783" s="139"/>
    </row>
    <row r="784" spans="5:10" ht="15.75" customHeight="1" x14ac:dyDescent="0.25">
      <c r="E784" s="139"/>
      <c r="J784" s="139"/>
    </row>
    <row r="785" spans="5:10" ht="15.75" customHeight="1" x14ac:dyDescent="0.25">
      <c r="E785" s="139"/>
      <c r="J785" s="139"/>
    </row>
    <row r="786" spans="5:10" ht="15.75" customHeight="1" x14ac:dyDescent="0.25">
      <c r="E786" s="139"/>
      <c r="J786" s="139"/>
    </row>
    <row r="787" spans="5:10" ht="15.75" customHeight="1" x14ac:dyDescent="0.25">
      <c r="E787" s="139"/>
      <c r="J787" s="139"/>
    </row>
    <row r="788" spans="5:10" ht="15.75" customHeight="1" x14ac:dyDescent="0.25">
      <c r="E788" s="139"/>
      <c r="J788" s="139"/>
    </row>
    <row r="789" spans="5:10" ht="15.75" customHeight="1" x14ac:dyDescent="0.25">
      <c r="E789" s="139"/>
      <c r="J789" s="139"/>
    </row>
    <row r="790" spans="5:10" ht="15.75" customHeight="1" x14ac:dyDescent="0.25">
      <c r="E790" s="139"/>
      <c r="J790" s="139"/>
    </row>
    <row r="791" spans="5:10" ht="15.75" customHeight="1" x14ac:dyDescent="0.25">
      <c r="E791" s="139"/>
      <c r="J791" s="139"/>
    </row>
    <row r="792" spans="5:10" ht="15.75" customHeight="1" x14ac:dyDescent="0.25">
      <c r="E792" s="139"/>
      <c r="J792" s="139"/>
    </row>
    <row r="793" spans="5:10" ht="15.75" customHeight="1" x14ac:dyDescent="0.25">
      <c r="E793" s="139"/>
      <c r="J793" s="139"/>
    </row>
    <row r="794" spans="5:10" ht="15.75" customHeight="1" x14ac:dyDescent="0.25">
      <c r="E794" s="139"/>
      <c r="J794" s="139"/>
    </row>
    <row r="795" spans="5:10" ht="15.75" customHeight="1" x14ac:dyDescent="0.25">
      <c r="E795" s="139"/>
      <c r="J795" s="139"/>
    </row>
    <row r="796" spans="5:10" ht="15.75" customHeight="1" x14ac:dyDescent="0.25">
      <c r="E796" s="139"/>
      <c r="J796" s="139"/>
    </row>
    <row r="797" spans="5:10" ht="15.75" customHeight="1" x14ac:dyDescent="0.25">
      <c r="E797" s="139"/>
      <c r="J797" s="139"/>
    </row>
    <row r="798" spans="5:10" ht="15.75" customHeight="1" x14ac:dyDescent="0.25">
      <c r="E798" s="139"/>
      <c r="J798" s="139"/>
    </row>
    <row r="799" spans="5:10" ht="15.75" customHeight="1" x14ac:dyDescent="0.25">
      <c r="E799" s="139"/>
      <c r="J799" s="139"/>
    </row>
    <row r="800" spans="5:10" ht="15.75" customHeight="1" x14ac:dyDescent="0.25">
      <c r="E800" s="139"/>
      <c r="J800" s="139"/>
    </row>
    <row r="801" spans="5:10" ht="15.75" customHeight="1" x14ac:dyDescent="0.25">
      <c r="E801" s="139"/>
      <c r="J801" s="139"/>
    </row>
    <row r="802" spans="5:10" ht="15.75" customHeight="1" x14ac:dyDescent="0.25">
      <c r="E802" s="139"/>
      <c r="J802" s="139"/>
    </row>
    <row r="803" spans="5:10" ht="15.75" customHeight="1" x14ac:dyDescent="0.25">
      <c r="E803" s="139"/>
      <c r="J803" s="139"/>
    </row>
    <row r="804" spans="5:10" ht="15.75" customHeight="1" x14ac:dyDescent="0.25">
      <c r="E804" s="139"/>
      <c r="J804" s="139"/>
    </row>
    <row r="805" spans="5:10" ht="15.75" customHeight="1" x14ac:dyDescent="0.25">
      <c r="E805" s="139"/>
      <c r="J805" s="139"/>
    </row>
    <row r="806" spans="5:10" ht="15.75" customHeight="1" x14ac:dyDescent="0.25">
      <c r="E806" s="139"/>
      <c r="J806" s="139"/>
    </row>
    <row r="807" spans="5:10" ht="15.75" customHeight="1" x14ac:dyDescent="0.25">
      <c r="E807" s="139"/>
      <c r="J807" s="139"/>
    </row>
    <row r="808" spans="5:10" ht="15.75" customHeight="1" x14ac:dyDescent="0.25">
      <c r="E808" s="139"/>
      <c r="J808" s="139"/>
    </row>
    <row r="809" spans="5:10" ht="15.75" customHeight="1" x14ac:dyDescent="0.25">
      <c r="E809" s="139"/>
      <c r="J809" s="139"/>
    </row>
    <row r="810" spans="5:10" ht="15.75" customHeight="1" x14ac:dyDescent="0.25">
      <c r="E810" s="139"/>
      <c r="J810" s="139"/>
    </row>
    <row r="811" spans="5:10" ht="15.75" customHeight="1" x14ac:dyDescent="0.25">
      <c r="E811" s="139"/>
      <c r="J811" s="139"/>
    </row>
    <row r="812" spans="5:10" ht="15.75" customHeight="1" x14ac:dyDescent="0.25">
      <c r="E812" s="139"/>
      <c r="J812" s="139"/>
    </row>
    <row r="813" spans="5:10" ht="15.75" customHeight="1" x14ac:dyDescent="0.25">
      <c r="E813" s="139"/>
      <c r="J813" s="139"/>
    </row>
    <row r="814" spans="5:10" ht="15.75" customHeight="1" x14ac:dyDescent="0.25">
      <c r="E814" s="139"/>
      <c r="J814" s="139"/>
    </row>
    <row r="815" spans="5:10" ht="15.75" customHeight="1" x14ac:dyDescent="0.25">
      <c r="E815" s="139"/>
      <c r="J815" s="139"/>
    </row>
    <row r="816" spans="5:10" ht="15.75" customHeight="1" x14ac:dyDescent="0.25">
      <c r="E816" s="139"/>
      <c r="J816" s="139"/>
    </row>
    <row r="817" spans="5:10" ht="15.75" customHeight="1" x14ac:dyDescent="0.25">
      <c r="E817" s="139"/>
      <c r="J817" s="139"/>
    </row>
    <row r="818" spans="5:10" ht="15.75" customHeight="1" x14ac:dyDescent="0.25">
      <c r="E818" s="139"/>
      <c r="J818" s="139"/>
    </row>
    <row r="819" spans="5:10" ht="15.75" customHeight="1" x14ac:dyDescent="0.25">
      <c r="E819" s="139"/>
      <c r="J819" s="139"/>
    </row>
    <row r="820" spans="5:10" ht="15.75" customHeight="1" x14ac:dyDescent="0.25">
      <c r="E820" s="139"/>
      <c r="J820" s="139"/>
    </row>
    <row r="821" spans="5:10" ht="15.75" customHeight="1" x14ac:dyDescent="0.25">
      <c r="E821" s="139"/>
      <c r="J821" s="139"/>
    </row>
    <row r="822" spans="5:10" ht="15.75" customHeight="1" x14ac:dyDescent="0.25">
      <c r="E822" s="139"/>
      <c r="J822" s="139"/>
    </row>
    <row r="823" spans="5:10" ht="15.75" customHeight="1" x14ac:dyDescent="0.25">
      <c r="E823" s="139"/>
      <c r="J823" s="139"/>
    </row>
    <row r="824" spans="5:10" ht="15.75" customHeight="1" x14ac:dyDescent="0.25">
      <c r="E824" s="139"/>
      <c r="J824" s="139"/>
    </row>
    <row r="825" spans="5:10" ht="15.75" customHeight="1" x14ac:dyDescent="0.25">
      <c r="E825" s="139"/>
      <c r="J825" s="139"/>
    </row>
    <row r="826" spans="5:10" ht="15.75" customHeight="1" x14ac:dyDescent="0.25">
      <c r="E826" s="139"/>
      <c r="J826" s="139"/>
    </row>
    <row r="827" spans="5:10" ht="15.75" customHeight="1" x14ac:dyDescent="0.25">
      <c r="E827" s="139"/>
      <c r="J827" s="139"/>
    </row>
    <row r="828" spans="5:10" ht="15.75" customHeight="1" x14ac:dyDescent="0.25">
      <c r="E828" s="139"/>
      <c r="J828" s="139"/>
    </row>
    <row r="829" spans="5:10" ht="15.75" customHeight="1" x14ac:dyDescent="0.25">
      <c r="E829" s="139"/>
      <c r="J829" s="139"/>
    </row>
    <row r="830" spans="5:10" ht="15.75" customHeight="1" x14ac:dyDescent="0.25">
      <c r="E830" s="139"/>
      <c r="J830" s="139"/>
    </row>
    <row r="831" spans="5:10" ht="15.75" customHeight="1" x14ac:dyDescent="0.25">
      <c r="E831" s="139"/>
      <c r="J831" s="139"/>
    </row>
    <row r="832" spans="5:10" ht="15.75" customHeight="1" x14ac:dyDescent="0.25">
      <c r="E832" s="139"/>
      <c r="J832" s="139"/>
    </row>
    <row r="833" spans="5:10" ht="15.75" customHeight="1" x14ac:dyDescent="0.25">
      <c r="E833" s="139"/>
      <c r="J833" s="139"/>
    </row>
    <row r="834" spans="5:10" ht="15.75" customHeight="1" x14ac:dyDescent="0.25">
      <c r="E834" s="139"/>
      <c r="J834" s="139"/>
    </row>
    <row r="835" spans="5:10" ht="15.75" customHeight="1" x14ac:dyDescent="0.25">
      <c r="E835" s="139"/>
      <c r="J835" s="139"/>
    </row>
    <row r="836" spans="5:10" ht="15.75" customHeight="1" x14ac:dyDescent="0.25">
      <c r="E836" s="139"/>
      <c r="J836" s="139"/>
    </row>
    <row r="837" spans="5:10" ht="15.75" customHeight="1" x14ac:dyDescent="0.25">
      <c r="E837" s="139"/>
      <c r="J837" s="139"/>
    </row>
    <row r="838" spans="5:10" ht="15.75" customHeight="1" x14ac:dyDescent="0.25">
      <c r="E838" s="139"/>
      <c r="J838" s="139"/>
    </row>
    <row r="839" spans="5:10" ht="15.75" customHeight="1" x14ac:dyDescent="0.25">
      <c r="E839" s="139"/>
      <c r="J839" s="139"/>
    </row>
    <row r="840" spans="5:10" ht="15.75" customHeight="1" x14ac:dyDescent="0.25">
      <c r="E840" s="139"/>
      <c r="J840" s="139"/>
    </row>
    <row r="841" spans="5:10" ht="15.75" customHeight="1" x14ac:dyDescent="0.25">
      <c r="E841" s="139"/>
      <c r="J841" s="139"/>
    </row>
    <row r="842" spans="5:10" ht="15.75" customHeight="1" x14ac:dyDescent="0.25">
      <c r="E842" s="139"/>
      <c r="J842" s="139"/>
    </row>
    <row r="843" spans="5:10" ht="15.75" customHeight="1" x14ac:dyDescent="0.25">
      <c r="E843" s="139"/>
      <c r="J843" s="139"/>
    </row>
    <row r="844" spans="5:10" ht="15.75" customHeight="1" x14ac:dyDescent="0.25">
      <c r="E844" s="139"/>
      <c r="J844" s="139"/>
    </row>
    <row r="845" spans="5:10" ht="15.75" customHeight="1" x14ac:dyDescent="0.25">
      <c r="E845" s="139"/>
      <c r="J845" s="139"/>
    </row>
    <row r="846" spans="5:10" ht="15.75" customHeight="1" x14ac:dyDescent="0.25">
      <c r="E846" s="139"/>
      <c r="J846" s="139"/>
    </row>
    <row r="847" spans="5:10" ht="15.75" customHeight="1" x14ac:dyDescent="0.25">
      <c r="E847" s="139"/>
      <c r="J847" s="139"/>
    </row>
    <row r="848" spans="5:10" ht="15.75" customHeight="1" x14ac:dyDescent="0.25">
      <c r="E848" s="139"/>
      <c r="J848" s="139"/>
    </row>
    <row r="849" spans="5:10" ht="15.75" customHeight="1" x14ac:dyDescent="0.25">
      <c r="E849" s="139"/>
      <c r="J849" s="139"/>
    </row>
    <row r="850" spans="5:10" ht="15.75" customHeight="1" x14ac:dyDescent="0.25">
      <c r="E850" s="139"/>
      <c r="J850" s="139"/>
    </row>
    <row r="851" spans="5:10" ht="15.75" customHeight="1" x14ac:dyDescent="0.25">
      <c r="E851" s="139"/>
      <c r="J851" s="139"/>
    </row>
    <row r="852" spans="5:10" ht="15.75" customHeight="1" x14ac:dyDescent="0.25">
      <c r="E852" s="139"/>
      <c r="J852" s="139"/>
    </row>
    <row r="853" spans="5:10" ht="15.75" customHeight="1" x14ac:dyDescent="0.25">
      <c r="E853" s="139"/>
      <c r="J853" s="139"/>
    </row>
    <row r="854" spans="5:10" ht="15.75" customHeight="1" x14ac:dyDescent="0.25">
      <c r="E854" s="139"/>
      <c r="J854" s="139"/>
    </row>
    <row r="855" spans="5:10" ht="15.75" customHeight="1" x14ac:dyDescent="0.25">
      <c r="E855" s="139"/>
      <c r="J855" s="139"/>
    </row>
    <row r="856" spans="5:10" ht="15.75" customHeight="1" x14ac:dyDescent="0.25">
      <c r="E856" s="139"/>
      <c r="J856" s="139"/>
    </row>
    <row r="857" spans="5:10" ht="15.75" customHeight="1" x14ac:dyDescent="0.25">
      <c r="E857" s="139"/>
      <c r="J857" s="139"/>
    </row>
    <row r="858" spans="5:10" ht="15.75" customHeight="1" x14ac:dyDescent="0.25">
      <c r="E858" s="139"/>
      <c r="J858" s="139"/>
    </row>
    <row r="859" spans="5:10" ht="15.75" customHeight="1" x14ac:dyDescent="0.25">
      <c r="E859" s="139"/>
      <c r="J859" s="139"/>
    </row>
    <row r="860" spans="5:10" ht="15.75" customHeight="1" x14ac:dyDescent="0.25">
      <c r="E860" s="139"/>
      <c r="J860" s="139"/>
    </row>
    <row r="861" spans="5:10" ht="15.75" customHeight="1" x14ac:dyDescent="0.25">
      <c r="E861" s="139"/>
      <c r="J861" s="139"/>
    </row>
    <row r="862" spans="5:10" ht="15.75" customHeight="1" x14ac:dyDescent="0.25">
      <c r="E862" s="139"/>
      <c r="J862" s="139"/>
    </row>
    <row r="863" spans="5:10" ht="15.75" customHeight="1" x14ac:dyDescent="0.25">
      <c r="E863" s="139"/>
      <c r="J863" s="139"/>
    </row>
    <row r="864" spans="5:10" ht="15.75" customHeight="1" x14ac:dyDescent="0.25">
      <c r="E864" s="139"/>
      <c r="J864" s="139"/>
    </row>
    <row r="865" spans="5:10" ht="15.75" customHeight="1" x14ac:dyDescent="0.25">
      <c r="E865" s="139"/>
      <c r="J865" s="139"/>
    </row>
    <row r="866" spans="5:10" ht="15.75" customHeight="1" x14ac:dyDescent="0.25">
      <c r="E866" s="139"/>
      <c r="J866" s="139"/>
    </row>
    <row r="867" spans="5:10" ht="15.75" customHeight="1" x14ac:dyDescent="0.25">
      <c r="E867" s="139"/>
      <c r="J867" s="139"/>
    </row>
    <row r="868" spans="5:10" ht="15.75" customHeight="1" x14ac:dyDescent="0.25">
      <c r="E868" s="139"/>
      <c r="J868" s="139"/>
    </row>
    <row r="869" spans="5:10" ht="15.75" customHeight="1" x14ac:dyDescent="0.25">
      <c r="E869" s="139"/>
      <c r="J869" s="139"/>
    </row>
    <row r="870" spans="5:10" ht="15.75" customHeight="1" x14ac:dyDescent="0.25">
      <c r="E870" s="139"/>
      <c r="J870" s="139"/>
    </row>
    <row r="871" spans="5:10" ht="15.75" customHeight="1" x14ac:dyDescent="0.25">
      <c r="E871" s="139"/>
      <c r="J871" s="139"/>
    </row>
    <row r="872" spans="5:10" ht="15.75" customHeight="1" x14ac:dyDescent="0.25">
      <c r="E872" s="139"/>
      <c r="J872" s="139"/>
    </row>
    <row r="873" spans="5:10" ht="15.75" customHeight="1" x14ac:dyDescent="0.25">
      <c r="E873" s="139"/>
      <c r="J873" s="139"/>
    </row>
    <row r="874" spans="5:10" ht="15.75" customHeight="1" x14ac:dyDescent="0.25">
      <c r="E874" s="139"/>
      <c r="J874" s="139"/>
    </row>
    <row r="875" spans="5:10" ht="15.75" customHeight="1" x14ac:dyDescent="0.25">
      <c r="E875" s="139"/>
      <c r="J875" s="139"/>
    </row>
    <row r="876" spans="5:10" ht="15.75" customHeight="1" x14ac:dyDescent="0.25">
      <c r="E876" s="139"/>
      <c r="J876" s="139"/>
    </row>
    <row r="877" spans="5:10" ht="15.75" customHeight="1" x14ac:dyDescent="0.25">
      <c r="E877" s="139"/>
      <c r="J877" s="139"/>
    </row>
    <row r="878" spans="5:10" ht="15.75" customHeight="1" x14ac:dyDescent="0.25">
      <c r="E878" s="139"/>
      <c r="J878" s="139"/>
    </row>
    <row r="879" spans="5:10" ht="15.75" customHeight="1" x14ac:dyDescent="0.25">
      <c r="E879" s="139"/>
      <c r="J879" s="139"/>
    </row>
    <row r="880" spans="5:10" ht="15.75" customHeight="1" x14ac:dyDescent="0.25">
      <c r="E880" s="139"/>
      <c r="J880" s="139"/>
    </row>
    <row r="881" spans="5:10" ht="15.75" customHeight="1" x14ac:dyDescent="0.25">
      <c r="E881" s="139"/>
      <c r="J881" s="139"/>
    </row>
    <row r="882" spans="5:10" ht="15.75" customHeight="1" x14ac:dyDescent="0.25">
      <c r="E882" s="139"/>
      <c r="J882" s="139"/>
    </row>
    <row r="883" spans="5:10" ht="15.75" customHeight="1" x14ac:dyDescent="0.25">
      <c r="E883" s="139"/>
      <c r="J883" s="139"/>
    </row>
    <row r="884" spans="5:10" ht="15.75" customHeight="1" x14ac:dyDescent="0.25">
      <c r="E884" s="139"/>
      <c r="J884" s="139"/>
    </row>
    <row r="885" spans="5:10" ht="15.75" customHeight="1" x14ac:dyDescent="0.25">
      <c r="E885" s="139"/>
      <c r="J885" s="139"/>
    </row>
    <row r="886" spans="5:10" ht="15.75" customHeight="1" x14ac:dyDescent="0.25">
      <c r="E886" s="139"/>
      <c r="J886" s="139"/>
    </row>
    <row r="887" spans="5:10" ht="15.75" customHeight="1" x14ac:dyDescent="0.25">
      <c r="E887" s="139"/>
      <c r="J887" s="139"/>
    </row>
    <row r="888" spans="5:10" ht="15.75" customHeight="1" x14ac:dyDescent="0.25">
      <c r="E888" s="139"/>
      <c r="J888" s="139"/>
    </row>
    <row r="889" spans="5:10" ht="15.75" customHeight="1" x14ac:dyDescent="0.25">
      <c r="E889" s="139"/>
      <c r="J889" s="139"/>
    </row>
    <row r="890" spans="5:10" ht="15.75" customHeight="1" x14ac:dyDescent="0.25">
      <c r="E890" s="139"/>
      <c r="J890" s="139"/>
    </row>
    <row r="891" spans="5:10" ht="15.75" customHeight="1" x14ac:dyDescent="0.25">
      <c r="E891" s="139"/>
      <c r="J891" s="139"/>
    </row>
    <row r="892" spans="5:10" ht="15.75" customHeight="1" x14ac:dyDescent="0.25">
      <c r="E892" s="139"/>
      <c r="J892" s="139"/>
    </row>
    <row r="893" spans="5:10" ht="15.75" customHeight="1" x14ac:dyDescent="0.25">
      <c r="E893" s="139"/>
      <c r="J893" s="139"/>
    </row>
    <row r="894" spans="5:10" ht="15.75" customHeight="1" x14ac:dyDescent="0.25">
      <c r="E894" s="139"/>
      <c r="J894" s="139"/>
    </row>
    <row r="895" spans="5:10" ht="15.75" customHeight="1" x14ac:dyDescent="0.25">
      <c r="E895" s="139"/>
      <c r="J895" s="139"/>
    </row>
    <row r="896" spans="5:10" ht="15.75" customHeight="1" x14ac:dyDescent="0.25">
      <c r="E896" s="139"/>
      <c r="J896" s="139"/>
    </row>
    <row r="897" spans="5:10" ht="15.75" customHeight="1" x14ac:dyDescent="0.25">
      <c r="E897" s="139"/>
      <c r="J897" s="139"/>
    </row>
    <row r="898" spans="5:10" ht="15.75" customHeight="1" x14ac:dyDescent="0.25">
      <c r="E898" s="139"/>
      <c r="J898" s="139"/>
    </row>
    <row r="899" spans="5:10" ht="15.75" customHeight="1" x14ac:dyDescent="0.25">
      <c r="E899" s="139"/>
      <c r="J899" s="139"/>
    </row>
    <row r="900" spans="5:10" ht="15.75" customHeight="1" x14ac:dyDescent="0.25">
      <c r="E900" s="139"/>
      <c r="J900" s="139"/>
    </row>
    <row r="901" spans="5:10" ht="15.75" customHeight="1" x14ac:dyDescent="0.25">
      <c r="E901" s="139"/>
      <c r="J901" s="139"/>
    </row>
    <row r="902" spans="5:10" ht="15.75" customHeight="1" x14ac:dyDescent="0.25">
      <c r="E902" s="139"/>
      <c r="J902" s="139"/>
    </row>
    <row r="903" spans="5:10" ht="15.75" customHeight="1" x14ac:dyDescent="0.25">
      <c r="E903" s="139"/>
      <c r="J903" s="139"/>
    </row>
    <row r="904" spans="5:10" ht="15.75" customHeight="1" x14ac:dyDescent="0.25">
      <c r="E904" s="139"/>
      <c r="J904" s="139"/>
    </row>
    <row r="905" spans="5:10" ht="15.75" customHeight="1" x14ac:dyDescent="0.25">
      <c r="E905" s="139"/>
      <c r="J905" s="139"/>
    </row>
    <row r="906" spans="5:10" ht="15.75" customHeight="1" x14ac:dyDescent="0.25">
      <c r="E906" s="139"/>
      <c r="J906" s="139"/>
    </row>
    <row r="907" spans="5:10" ht="15.75" customHeight="1" x14ac:dyDescent="0.25">
      <c r="E907" s="139"/>
      <c r="J907" s="139"/>
    </row>
    <row r="908" spans="5:10" ht="15.75" customHeight="1" x14ac:dyDescent="0.25">
      <c r="E908" s="139"/>
      <c r="J908" s="139"/>
    </row>
    <row r="909" spans="5:10" ht="15.75" customHeight="1" x14ac:dyDescent="0.25">
      <c r="E909" s="139"/>
      <c r="J909" s="139"/>
    </row>
    <row r="910" spans="5:10" ht="15.75" customHeight="1" x14ac:dyDescent="0.25">
      <c r="E910" s="139"/>
      <c r="J910" s="139"/>
    </row>
    <row r="911" spans="5:10" ht="15.75" customHeight="1" x14ac:dyDescent="0.25">
      <c r="E911" s="139"/>
      <c r="J911" s="139"/>
    </row>
    <row r="912" spans="5:10" ht="15.75" customHeight="1" x14ac:dyDescent="0.25">
      <c r="E912" s="139"/>
      <c r="J912" s="139"/>
    </row>
    <row r="913" spans="5:10" ht="15.75" customHeight="1" x14ac:dyDescent="0.25">
      <c r="E913" s="139"/>
      <c r="J913" s="139"/>
    </row>
    <row r="914" spans="5:10" ht="15.75" customHeight="1" x14ac:dyDescent="0.25">
      <c r="E914" s="139"/>
      <c r="J914" s="139"/>
    </row>
    <row r="915" spans="5:10" ht="15.75" customHeight="1" x14ac:dyDescent="0.25">
      <c r="E915" s="139"/>
      <c r="J915" s="139"/>
    </row>
    <row r="916" spans="5:10" ht="15.75" customHeight="1" x14ac:dyDescent="0.25">
      <c r="E916" s="139"/>
      <c r="J916" s="139"/>
    </row>
    <row r="917" spans="5:10" ht="15.75" customHeight="1" x14ac:dyDescent="0.25">
      <c r="E917" s="139"/>
      <c r="J917" s="139"/>
    </row>
    <row r="918" spans="5:10" ht="15.75" customHeight="1" x14ac:dyDescent="0.25">
      <c r="E918" s="139"/>
      <c r="J918" s="139"/>
    </row>
    <row r="919" spans="5:10" ht="15.75" customHeight="1" x14ac:dyDescent="0.25">
      <c r="E919" s="139"/>
      <c r="J919" s="139"/>
    </row>
    <row r="920" spans="5:10" ht="15.75" customHeight="1" x14ac:dyDescent="0.25">
      <c r="E920" s="139"/>
      <c r="J920" s="139"/>
    </row>
    <row r="921" spans="5:10" ht="15.75" customHeight="1" x14ac:dyDescent="0.25">
      <c r="E921" s="139"/>
      <c r="J921" s="139"/>
    </row>
    <row r="922" spans="5:10" ht="15.75" customHeight="1" x14ac:dyDescent="0.25">
      <c r="E922" s="139"/>
      <c r="J922" s="139"/>
    </row>
    <row r="923" spans="5:10" ht="15.75" customHeight="1" x14ac:dyDescent="0.25">
      <c r="E923" s="139"/>
      <c r="J923" s="139"/>
    </row>
    <row r="924" spans="5:10" ht="15.75" customHeight="1" x14ac:dyDescent="0.25">
      <c r="E924" s="139"/>
      <c r="J924" s="139"/>
    </row>
    <row r="925" spans="5:10" ht="15.75" customHeight="1" x14ac:dyDescent="0.25">
      <c r="E925" s="139"/>
      <c r="J925" s="139"/>
    </row>
    <row r="926" spans="5:10" ht="15.75" customHeight="1" x14ac:dyDescent="0.25">
      <c r="E926" s="139"/>
      <c r="J926" s="139"/>
    </row>
    <row r="927" spans="5:10" ht="15.75" customHeight="1" x14ac:dyDescent="0.25">
      <c r="E927" s="139"/>
      <c r="J927" s="139"/>
    </row>
    <row r="928" spans="5:10" ht="15.75" customHeight="1" x14ac:dyDescent="0.25">
      <c r="E928" s="139"/>
      <c r="J928" s="139"/>
    </row>
    <row r="929" spans="5:10" ht="15.75" customHeight="1" x14ac:dyDescent="0.25">
      <c r="E929" s="139"/>
      <c r="J929" s="139"/>
    </row>
    <row r="930" spans="5:10" ht="15.75" customHeight="1" x14ac:dyDescent="0.25">
      <c r="E930" s="139"/>
      <c r="J930" s="139"/>
    </row>
    <row r="931" spans="5:10" ht="15.75" customHeight="1" x14ac:dyDescent="0.25">
      <c r="E931" s="139"/>
      <c r="J931" s="139"/>
    </row>
    <row r="932" spans="5:10" ht="15.75" customHeight="1" x14ac:dyDescent="0.25">
      <c r="E932" s="139"/>
      <c r="J932" s="139"/>
    </row>
    <row r="933" spans="5:10" ht="15.75" customHeight="1" x14ac:dyDescent="0.25">
      <c r="E933" s="139"/>
      <c r="J933" s="139"/>
    </row>
    <row r="934" spans="5:10" ht="15.75" customHeight="1" x14ac:dyDescent="0.25">
      <c r="E934" s="139"/>
      <c r="J934" s="139"/>
    </row>
    <row r="935" spans="5:10" ht="15.75" customHeight="1" x14ac:dyDescent="0.25">
      <c r="E935" s="139"/>
      <c r="J935" s="139"/>
    </row>
    <row r="936" spans="5:10" ht="15.75" customHeight="1" x14ac:dyDescent="0.25">
      <c r="E936" s="139"/>
      <c r="J936" s="139"/>
    </row>
    <row r="937" spans="5:10" ht="15.75" customHeight="1" x14ac:dyDescent="0.25">
      <c r="E937" s="139"/>
      <c r="J937" s="139"/>
    </row>
    <row r="938" spans="5:10" ht="15.75" customHeight="1" x14ac:dyDescent="0.25">
      <c r="E938" s="139"/>
      <c r="J938" s="139"/>
    </row>
    <row r="939" spans="5:10" ht="15.75" customHeight="1" x14ac:dyDescent="0.25">
      <c r="E939" s="139"/>
      <c r="J939" s="139"/>
    </row>
    <row r="940" spans="5:10" ht="15.75" customHeight="1" x14ac:dyDescent="0.25">
      <c r="E940" s="139"/>
      <c r="J940" s="139"/>
    </row>
    <row r="941" spans="5:10" ht="15.75" customHeight="1" x14ac:dyDescent="0.25">
      <c r="E941" s="139"/>
      <c r="J941" s="139"/>
    </row>
    <row r="942" spans="5:10" ht="15.75" customHeight="1" x14ac:dyDescent="0.25">
      <c r="E942" s="139"/>
      <c r="J942" s="139"/>
    </row>
    <row r="943" spans="5:10" ht="15.75" customHeight="1" x14ac:dyDescent="0.25">
      <c r="E943" s="139"/>
      <c r="J943" s="139"/>
    </row>
    <row r="944" spans="5:10" ht="15.75" customHeight="1" x14ac:dyDescent="0.25">
      <c r="E944" s="139"/>
      <c r="J944" s="139"/>
    </row>
    <row r="945" spans="5:10" ht="15.75" customHeight="1" x14ac:dyDescent="0.25">
      <c r="E945" s="139"/>
      <c r="J945" s="139"/>
    </row>
    <row r="946" spans="5:10" ht="15.75" customHeight="1" x14ac:dyDescent="0.25">
      <c r="E946" s="139"/>
      <c r="J946" s="139"/>
    </row>
    <row r="947" spans="5:10" ht="15.75" customHeight="1" x14ac:dyDescent="0.25">
      <c r="E947" s="139"/>
      <c r="J947" s="139"/>
    </row>
    <row r="948" spans="5:10" ht="15.75" customHeight="1" x14ac:dyDescent="0.25">
      <c r="E948" s="139"/>
      <c r="J948" s="139"/>
    </row>
    <row r="949" spans="5:10" ht="15.75" customHeight="1" x14ac:dyDescent="0.25">
      <c r="E949" s="139"/>
      <c r="J949" s="139"/>
    </row>
    <row r="950" spans="5:10" ht="15.75" customHeight="1" x14ac:dyDescent="0.25">
      <c r="E950" s="139"/>
      <c r="J950" s="139"/>
    </row>
    <row r="951" spans="5:10" ht="15.75" customHeight="1" x14ac:dyDescent="0.25">
      <c r="E951" s="139"/>
      <c r="J951" s="139"/>
    </row>
    <row r="952" spans="5:10" ht="15.75" customHeight="1" x14ac:dyDescent="0.25">
      <c r="E952" s="139"/>
      <c r="J952" s="139"/>
    </row>
    <row r="953" spans="5:10" ht="15.75" customHeight="1" x14ac:dyDescent="0.25">
      <c r="E953" s="139"/>
      <c r="J953" s="139"/>
    </row>
    <row r="954" spans="5:10" ht="15.75" customHeight="1" x14ac:dyDescent="0.25">
      <c r="E954" s="139"/>
      <c r="J954" s="139"/>
    </row>
    <row r="955" spans="5:10" ht="15.75" customHeight="1" x14ac:dyDescent="0.25">
      <c r="E955" s="139"/>
      <c r="J955" s="139"/>
    </row>
    <row r="956" spans="5:10" ht="15.75" customHeight="1" x14ac:dyDescent="0.25">
      <c r="E956" s="139"/>
      <c r="J956" s="139"/>
    </row>
    <row r="957" spans="5:10" ht="15.75" customHeight="1" x14ac:dyDescent="0.25">
      <c r="E957" s="139"/>
      <c r="J957" s="139"/>
    </row>
    <row r="958" spans="5:10" ht="15.75" customHeight="1" x14ac:dyDescent="0.25">
      <c r="E958" s="139"/>
      <c r="J958" s="139"/>
    </row>
    <row r="959" spans="5:10" ht="15.75" customHeight="1" x14ac:dyDescent="0.25">
      <c r="E959" s="139"/>
      <c r="J959" s="139"/>
    </row>
    <row r="960" spans="5:10" ht="15.75" customHeight="1" x14ac:dyDescent="0.25">
      <c r="E960" s="139"/>
      <c r="J960" s="139"/>
    </row>
    <row r="961" spans="5:10" ht="15.75" customHeight="1" x14ac:dyDescent="0.25">
      <c r="E961" s="139"/>
      <c r="J961" s="139"/>
    </row>
    <row r="962" spans="5:10" ht="15.75" customHeight="1" x14ac:dyDescent="0.25">
      <c r="E962" s="139"/>
      <c r="J962" s="139"/>
    </row>
    <row r="963" spans="5:10" ht="15.75" customHeight="1" x14ac:dyDescent="0.25">
      <c r="E963" s="139"/>
      <c r="J963" s="139"/>
    </row>
    <row r="964" spans="5:10" ht="15.75" customHeight="1" x14ac:dyDescent="0.25">
      <c r="E964" s="139"/>
      <c r="J964" s="139"/>
    </row>
    <row r="965" spans="5:10" ht="15.75" customHeight="1" x14ac:dyDescent="0.25">
      <c r="E965" s="139"/>
      <c r="J965" s="139"/>
    </row>
    <row r="966" spans="5:10" ht="15.75" customHeight="1" x14ac:dyDescent="0.25">
      <c r="E966" s="139"/>
      <c r="J966" s="139"/>
    </row>
    <row r="967" spans="5:10" ht="15.75" customHeight="1" x14ac:dyDescent="0.25">
      <c r="E967" s="139"/>
      <c r="J967" s="139"/>
    </row>
    <row r="968" spans="5:10" ht="15.75" customHeight="1" x14ac:dyDescent="0.25">
      <c r="E968" s="139"/>
      <c r="J968" s="139"/>
    </row>
    <row r="969" spans="5:10" ht="15.75" customHeight="1" x14ac:dyDescent="0.25">
      <c r="E969" s="139"/>
      <c r="J969" s="139"/>
    </row>
    <row r="970" spans="5:10" ht="15.75" customHeight="1" x14ac:dyDescent="0.25">
      <c r="E970" s="139"/>
      <c r="J970" s="139"/>
    </row>
    <row r="971" spans="5:10" ht="15.75" customHeight="1" x14ac:dyDescent="0.25">
      <c r="E971" s="139"/>
      <c r="J971" s="139"/>
    </row>
    <row r="972" spans="5:10" ht="15.75" customHeight="1" x14ac:dyDescent="0.25">
      <c r="E972" s="139"/>
      <c r="J972" s="139"/>
    </row>
    <row r="973" spans="5:10" ht="15.75" customHeight="1" x14ac:dyDescent="0.25">
      <c r="E973" s="139"/>
      <c r="J973" s="139"/>
    </row>
    <row r="974" spans="5:10" ht="15.75" customHeight="1" x14ac:dyDescent="0.25">
      <c r="E974" s="139"/>
      <c r="J974" s="139"/>
    </row>
    <row r="975" spans="5:10" ht="15.75" customHeight="1" x14ac:dyDescent="0.25">
      <c r="E975" s="139"/>
      <c r="J975" s="139"/>
    </row>
    <row r="976" spans="5:10" ht="15.75" customHeight="1" x14ac:dyDescent="0.25">
      <c r="E976" s="139"/>
      <c r="J976" s="139"/>
    </row>
    <row r="977" spans="5:10" ht="15.75" customHeight="1" x14ac:dyDescent="0.25">
      <c r="E977" s="139"/>
      <c r="J977" s="139"/>
    </row>
    <row r="978" spans="5:10" ht="15.75" customHeight="1" x14ac:dyDescent="0.25">
      <c r="E978" s="139"/>
      <c r="J978" s="139"/>
    </row>
    <row r="979" spans="5:10" ht="15.75" customHeight="1" x14ac:dyDescent="0.25">
      <c r="E979" s="139"/>
      <c r="J979" s="139"/>
    </row>
    <row r="980" spans="5:10" ht="15.75" customHeight="1" x14ac:dyDescent="0.25">
      <c r="E980" s="139"/>
      <c r="J980" s="139"/>
    </row>
    <row r="981" spans="5:10" ht="15.75" customHeight="1" x14ac:dyDescent="0.25">
      <c r="E981" s="139"/>
      <c r="J981" s="139"/>
    </row>
    <row r="982" spans="5:10" ht="15.75" customHeight="1" x14ac:dyDescent="0.25">
      <c r="E982" s="139"/>
      <c r="J982" s="139"/>
    </row>
    <row r="983" spans="5:10" ht="15.75" customHeight="1" x14ac:dyDescent="0.25">
      <c r="E983" s="139"/>
      <c r="J983" s="139"/>
    </row>
    <row r="984" spans="5:10" ht="15.75" customHeight="1" x14ac:dyDescent="0.25">
      <c r="E984" s="139"/>
      <c r="J984" s="139"/>
    </row>
    <row r="985" spans="5:10" ht="15.75" customHeight="1" x14ac:dyDescent="0.25">
      <c r="E985" s="139"/>
      <c r="J985" s="139"/>
    </row>
    <row r="986" spans="5:10" ht="15.75" customHeight="1" x14ac:dyDescent="0.25">
      <c r="E986" s="139"/>
      <c r="J986" s="139"/>
    </row>
    <row r="987" spans="5:10" ht="15.75" customHeight="1" x14ac:dyDescent="0.25">
      <c r="E987" s="139"/>
      <c r="J987" s="139"/>
    </row>
    <row r="988" spans="5:10" ht="15.75" customHeight="1" x14ac:dyDescent="0.25">
      <c r="E988" s="139"/>
      <c r="J988" s="139"/>
    </row>
    <row r="989" spans="5:10" ht="15.75" customHeight="1" x14ac:dyDescent="0.25">
      <c r="E989" s="139"/>
      <c r="J989" s="139"/>
    </row>
    <row r="990" spans="5:10" ht="15.75" customHeight="1" x14ac:dyDescent="0.25">
      <c r="E990" s="139"/>
      <c r="J990" s="139"/>
    </row>
    <row r="991" spans="5:10" ht="15.75" customHeight="1" x14ac:dyDescent="0.25">
      <c r="E991" s="139"/>
      <c r="J991" s="139"/>
    </row>
    <row r="992" spans="5:10" ht="15.75" customHeight="1" x14ac:dyDescent="0.25">
      <c r="E992" s="139"/>
      <c r="J992" s="139"/>
    </row>
    <row r="993" spans="5:10" ht="15.75" customHeight="1" x14ac:dyDescent="0.25">
      <c r="E993" s="139"/>
      <c r="J993" s="139"/>
    </row>
    <row r="994" spans="5:10" ht="15.75" customHeight="1" x14ac:dyDescent="0.25">
      <c r="E994" s="139"/>
      <c r="J994" s="139"/>
    </row>
    <row r="995" spans="5:10" ht="15.75" customHeight="1" x14ac:dyDescent="0.25">
      <c r="E995" s="139"/>
      <c r="J995" s="139"/>
    </row>
    <row r="996" spans="5:10" ht="15.75" customHeight="1" x14ac:dyDescent="0.25">
      <c r="E996" s="139"/>
      <c r="J996" s="139"/>
    </row>
    <row r="997" spans="5:10" ht="15.75" customHeight="1" x14ac:dyDescent="0.25">
      <c r="E997" s="139"/>
      <c r="J997" s="139"/>
    </row>
    <row r="998" spans="5:10" ht="15.75" customHeight="1" x14ac:dyDescent="0.25">
      <c r="E998" s="139"/>
      <c r="J998" s="139"/>
    </row>
    <row r="999" spans="5:10" ht="15.75" customHeight="1" x14ac:dyDescent="0.25">
      <c r="E999" s="139"/>
      <c r="J999" s="139"/>
    </row>
    <row r="1000" spans="5:10" ht="15.75" customHeight="1" x14ac:dyDescent="0.25">
      <c r="E1000" s="139"/>
      <c r="J1000" s="139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F00-000000000000}">
          <x14:formula1>
            <xm:f>January!$B$27:$C$44</xm:f>
          </x14:formula1>
          <xm:sqref>E5:E1000</xm:sqref>
        </x14:dataValidation>
        <x14:dataValidation type="list" allowBlank="1" xr:uid="{00000000-0002-0000-0F00-000001000000}">
          <x14:formula1>
            <xm:f>January!$H$27:$I$44</xm:f>
          </x14:formula1>
          <xm:sqref>J5:J1000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1000"/>
  <sheetViews>
    <sheetView showGridLines="0" workbookViewId="0"/>
  </sheetViews>
  <sheetFormatPr defaultColWidth="12.6640625" defaultRowHeight="15" customHeight="1" x14ac:dyDescent="0.25"/>
  <cols>
    <col min="1" max="1" width="6.109375" customWidth="1"/>
    <col min="2" max="3" width="8.88671875" customWidth="1"/>
    <col min="4" max="4" width="16.77734375" customWidth="1"/>
    <col min="5" max="5" width="14.88671875" customWidth="1"/>
    <col min="6" max="6" width="17.44140625" customWidth="1"/>
    <col min="7" max="7" width="16.21875" customWidth="1"/>
    <col min="8" max="8" width="8.88671875" customWidth="1"/>
    <col min="9" max="9" width="17" customWidth="1"/>
    <col min="10" max="10" width="12.6640625" customWidth="1"/>
    <col min="11" max="11" width="12.33203125" customWidth="1"/>
    <col min="12" max="12" width="13.77734375" customWidth="1"/>
    <col min="13" max="13" width="6.109375" customWidth="1"/>
  </cols>
  <sheetData>
    <row r="1" spans="1:13" ht="12" customHeight="1" x14ac:dyDescent="0.3">
      <c r="A1" s="142"/>
      <c r="B1" s="142"/>
      <c r="C1" s="142"/>
      <c r="D1" s="142"/>
      <c r="E1" s="142"/>
      <c r="F1" s="142"/>
      <c r="G1" s="143"/>
      <c r="H1" s="142"/>
      <c r="I1" s="142"/>
      <c r="J1" s="142"/>
      <c r="K1" s="142"/>
      <c r="L1" s="142"/>
      <c r="M1" s="142"/>
    </row>
    <row r="2" spans="1:13" ht="21" customHeight="1" x14ac:dyDescent="0.25">
      <c r="A2" s="144"/>
      <c r="B2" s="269" t="s">
        <v>28</v>
      </c>
      <c r="C2" s="266"/>
      <c r="D2" s="266"/>
      <c r="E2" s="266"/>
      <c r="F2" s="266"/>
      <c r="G2" s="266"/>
      <c r="H2" s="266"/>
      <c r="I2" s="270" t="s">
        <v>1</v>
      </c>
      <c r="J2" s="266"/>
      <c r="K2" s="266"/>
      <c r="L2" s="266"/>
      <c r="M2" s="144"/>
    </row>
    <row r="3" spans="1:13" ht="16.5" customHeight="1" x14ac:dyDescent="0.25">
      <c r="A3" s="145"/>
      <c r="B3" s="271" t="s">
        <v>29</v>
      </c>
      <c r="C3" s="266"/>
      <c r="D3" s="266"/>
      <c r="E3" s="266"/>
      <c r="F3" s="266"/>
      <c r="G3" s="266"/>
      <c r="H3" s="146"/>
      <c r="I3" s="272" t="s">
        <v>30</v>
      </c>
      <c r="J3" s="266"/>
      <c r="K3" s="266"/>
      <c r="L3" s="266"/>
      <c r="M3" s="147"/>
    </row>
    <row r="4" spans="1:13" ht="10.5" customHeight="1" x14ac:dyDescent="0.25">
      <c r="A4" s="145"/>
      <c r="B4" s="266"/>
      <c r="C4" s="266"/>
      <c r="D4" s="266"/>
      <c r="E4" s="266"/>
      <c r="F4" s="266"/>
      <c r="G4" s="266"/>
      <c r="H4" s="146"/>
      <c r="I4" s="273" t="s">
        <v>31</v>
      </c>
      <c r="J4" s="266"/>
      <c r="K4" s="266"/>
      <c r="L4" s="266"/>
      <c r="M4" s="266"/>
    </row>
    <row r="5" spans="1:13" ht="15.75" customHeight="1" x14ac:dyDescent="0.25">
      <c r="A5" s="145"/>
      <c r="B5" s="271" t="s">
        <v>32</v>
      </c>
      <c r="C5" s="266"/>
      <c r="D5" s="266"/>
      <c r="E5" s="266"/>
      <c r="F5" s="266"/>
      <c r="G5" s="266"/>
      <c r="H5" s="146"/>
      <c r="I5" s="266"/>
      <c r="J5" s="266"/>
      <c r="K5" s="266"/>
      <c r="L5" s="266"/>
      <c r="M5" s="266"/>
    </row>
    <row r="6" spans="1:13" ht="23.25" customHeight="1" x14ac:dyDescent="0.3">
      <c r="A6" s="148"/>
      <c r="B6" s="266"/>
      <c r="C6" s="266"/>
      <c r="D6" s="266"/>
      <c r="E6" s="266"/>
      <c r="F6" s="266"/>
      <c r="G6" s="266"/>
      <c r="H6" s="149"/>
      <c r="I6" s="142"/>
      <c r="J6" s="142"/>
      <c r="K6" s="142"/>
      <c r="L6" s="142"/>
      <c r="M6" s="142"/>
    </row>
    <row r="7" spans="1:13" ht="30" customHeight="1" x14ac:dyDescent="0.3">
      <c r="A7" s="150"/>
      <c r="B7" s="151"/>
      <c r="C7" s="151"/>
      <c r="D7" s="151"/>
      <c r="E7" s="152"/>
      <c r="F7" s="155"/>
      <c r="G7" s="155"/>
      <c r="H7" s="155"/>
      <c r="I7" s="155"/>
      <c r="J7" s="153"/>
      <c r="K7" s="153"/>
      <c r="L7" s="153"/>
      <c r="M7" s="153"/>
    </row>
    <row r="8" spans="1:13" ht="18" customHeight="1" x14ac:dyDescent="0.3">
      <c r="A8" s="156"/>
      <c r="B8" s="275" t="s">
        <v>65</v>
      </c>
      <c r="C8" s="266"/>
      <c r="D8" s="266"/>
      <c r="E8" s="266"/>
      <c r="F8" s="153"/>
      <c r="G8" s="157"/>
      <c r="H8" s="153"/>
      <c r="I8" s="158"/>
      <c r="J8" s="274" t="s">
        <v>34</v>
      </c>
      <c r="K8" s="266"/>
      <c r="L8" s="159">
        <f>Juni!E17</f>
        <v>3000000</v>
      </c>
      <c r="M8" s="153"/>
    </row>
    <row r="9" spans="1:13" ht="18" customHeight="1" x14ac:dyDescent="0.25">
      <c r="A9" s="156"/>
      <c r="B9" s="266"/>
      <c r="C9" s="266"/>
      <c r="D9" s="266"/>
      <c r="E9" s="266"/>
      <c r="F9" s="153"/>
      <c r="G9" s="157"/>
      <c r="H9" s="153"/>
      <c r="I9" s="160"/>
      <c r="J9" s="153"/>
      <c r="K9" s="153"/>
      <c r="M9" s="153"/>
    </row>
    <row r="10" spans="1:13" ht="18" customHeight="1" x14ac:dyDescent="0.25">
      <c r="A10" s="153"/>
      <c r="B10" s="161"/>
      <c r="C10" s="161"/>
      <c r="D10" s="161"/>
      <c r="E10" s="161"/>
      <c r="F10" s="153"/>
      <c r="G10" s="157"/>
      <c r="H10" s="153"/>
      <c r="I10" s="160"/>
      <c r="J10" s="153"/>
      <c r="K10" s="153"/>
      <c r="L10" s="157"/>
      <c r="M10" s="153"/>
    </row>
    <row r="11" spans="1:13" ht="12" customHeight="1" x14ac:dyDescent="0.3">
      <c r="A11" s="150"/>
      <c r="B11" s="162"/>
      <c r="C11" s="162"/>
      <c r="D11" s="163"/>
      <c r="E11" s="150"/>
      <c r="F11" s="150"/>
      <c r="G11" s="158"/>
      <c r="H11" s="164"/>
      <c r="I11" s="165"/>
      <c r="J11" s="165"/>
      <c r="K11" s="165"/>
      <c r="L11" s="166"/>
      <c r="M11" s="150"/>
    </row>
    <row r="12" spans="1:13" ht="18" customHeight="1" x14ac:dyDescent="0.3">
      <c r="A12" s="158"/>
      <c r="B12" s="150"/>
      <c r="C12" s="158"/>
      <c r="D12" s="276" t="str">
        <f ca="1">IFERROR(__xludf.DUMMYFUNCTION("SPARKLINE(D17,{""charttype"",""column"";""ymin"", 0; ""ymax"",MAX(D17:E17);""firstcolor"",""#334960""})"),"")</f>
        <v/>
      </c>
      <c r="E12" s="278" t="str">
        <f ca="1">IFERROR(__xludf.DUMMYFUNCTION("SPARKLINE(E17,{""charttype"",""column"";""ymin"", 0; ""ymax"",max(D17:E17);""firstcolor"",""#f46524""})"),"")</f>
        <v/>
      </c>
      <c r="F12" s="150"/>
      <c r="G12" s="150"/>
      <c r="H12" s="167"/>
      <c r="I12" s="168"/>
      <c r="J12" s="168"/>
      <c r="K12" s="168"/>
      <c r="L12" s="169"/>
      <c r="M12" s="158"/>
    </row>
    <row r="13" spans="1:13" ht="18" customHeight="1" x14ac:dyDescent="0.6">
      <c r="A13" s="158"/>
      <c r="B13" s="150"/>
      <c r="C13" s="150"/>
      <c r="D13" s="277"/>
      <c r="E13" s="266"/>
      <c r="F13" s="150"/>
      <c r="G13" s="150"/>
      <c r="H13" s="167"/>
      <c r="I13" s="279">
        <f>IFERROR(E17/D17-1, "")</f>
        <v>0</v>
      </c>
      <c r="J13" s="266"/>
      <c r="K13" s="266"/>
      <c r="L13" s="169"/>
      <c r="M13" s="170"/>
    </row>
    <row r="14" spans="1:13" ht="24" customHeight="1" x14ac:dyDescent="0.6">
      <c r="A14" s="150"/>
      <c r="B14" s="150"/>
      <c r="C14" s="150"/>
      <c r="D14" s="277"/>
      <c r="E14" s="266"/>
      <c r="F14" s="150"/>
      <c r="G14" s="150"/>
      <c r="H14" s="167"/>
      <c r="I14" s="280" t="str">
        <f>IF(I13 &lt; 0, "Decrease in total savings", "Increase in total savings")</f>
        <v>Increase in total savings</v>
      </c>
      <c r="J14" s="281"/>
      <c r="K14" s="281"/>
      <c r="L14" s="169"/>
      <c r="M14" s="170"/>
    </row>
    <row r="15" spans="1:13" ht="39.75" customHeight="1" x14ac:dyDescent="0.6">
      <c r="A15" s="150"/>
      <c r="B15" s="150"/>
      <c r="C15" s="150"/>
      <c r="D15" s="277"/>
      <c r="E15" s="266"/>
      <c r="F15" s="150"/>
      <c r="G15" s="150"/>
      <c r="H15" s="167"/>
      <c r="I15" s="279">
        <f>IFERROR(E17-D17, 0)</f>
        <v>0</v>
      </c>
      <c r="J15" s="266"/>
      <c r="K15" s="266"/>
      <c r="L15" s="169"/>
      <c r="M15" s="170"/>
    </row>
    <row r="16" spans="1:13" ht="18" customHeight="1" x14ac:dyDescent="0.35">
      <c r="A16" s="150"/>
      <c r="B16" s="162"/>
      <c r="C16" s="171"/>
      <c r="D16" s="172" t="s">
        <v>35</v>
      </c>
      <c r="E16" s="173" t="s">
        <v>36</v>
      </c>
      <c r="F16" s="171"/>
      <c r="G16" s="162"/>
      <c r="H16" s="167"/>
      <c r="I16" s="282" t="str">
        <f>IF(J15&lt;0, "Spent this month", "Saved this month")</f>
        <v>Saved this month</v>
      </c>
      <c r="J16" s="266"/>
      <c r="K16" s="266"/>
      <c r="L16" s="169"/>
      <c r="M16" s="174"/>
    </row>
    <row r="17" spans="1:13" ht="18" customHeight="1" x14ac:dyDescent="0.3">
      <c r="A17" s="158"/>
      <c r="B17" s="150"/>
      <c r="C17" s="158"/>
      <c r="D17" s="175">
        <f>IF(ISBLANK(L8),0,L8)</f>
        <v>3000000</v>
      </c>
      <c r="E17" s="176">
        <f>D17+(I22-C22)</f>
        <v>3000000</v>
      </c>
      <c r="F17" s="158"/>
      <c r="G17" s="150"/>
      <c r="H17" s="167"/>
      <c r="I17" s="283"/>
      <c r="J17" s="266"/>
      <c r="K17" s="266"/>
      <c r="L17" s="169"/>
      <c r="M17" s="158"/>
    </row>
    <row r="18" spans="1:13" ht="12" customHeight="1" x14ac:dyDescent="0.3">
      <c r="A18" s="158"/>
      <c r="B18" s="177"/>
      <c r="C18" s="177"/>
      <c r="D18" s="177"/>
      <c r="E18" s="157">
        <f>SUM(I7:I10)+SUM(G7:G10)</f>
        <v>0</v>
      </c>
      <c r="F18" s="177"/>
      <c r="G18" s="158"/>
      <c r="H18" s="178"/>
      <c r="I18" s="179"/>
      <c r="J18" s="180"/>
      <c r="K18" s="179"/>
      <c r="L18" s="181"/>
      <c r="M18" s="158"/>
    </row>
    <row r="19" spans="1:13" ht="24" customHeight="1" x14ac:dyDescent="0.3">
      <c r="A19" s="158"/>
      <c r="B19" s="177"/>
      <c r="C19" s="177"/>
      <c r="D19" s="177"/>
      <c r="E19" s="177"/>
      <c r="F19" s="177"/>
      <c r="G19" s="158"/>
      <c r="H19" s="158"/>
      <c r="I19" s="158"/>
      <c r="J19" s="151"/>
      <c r="K19" s="158"/>
      <c r="L19" s="158"/>
      <c r="M19" s="158"/>
    </row>
    <row r="20" spans="1:13" ht="24" customHeight="1" x14ac:dyDescent="0.25">
      <c r="A20" s="182"/>
      <c r="B20" s="284" t="s">
        <v>10</v>
      </c>
      <c r="C20" s="266"/>
      <c r="D20" s="266"/>
      <c r="E20" s="266"/>
      <c r="F20" s="266"/>
      <c r="G20" s="182"/>
      <c r="H20" s="183" t="s">
        <v>9</v>
      </c>
      <c r="I20" s="183"/>
      <c r="J20" s="184"/>
      <c r="K20" s="182"/>
      <c r="L20" s="182"/>
      <c r="M20" s="182"/>
    </row>
    <row r="21" spans="1:13" ht="19.5" customHeight="1" x14ac:dyDescent="0.25">
      <c r="A21" s="185"/>
      <c r="B21" s="186" t="s">
        <v>37</v>
      </c>
      <c r="C21" s="187">
        <f>D26</f>
        <v>22450000</v>
      </c>
      <c r="D21" s="285" t="str">
        <f ca="1">IFERROR(__xludf.DUMMYFUNCTION("SPARKLINE(C21,{""charttype"",""bar"";""max"",max(C21:C22);""color1"",""#AEB7C0""})"),"")</f>
        <v/>
      </c>
      <c r="E21" s="266"/>
      <c r="F21" s="266"/>
      <c r="G21" s="185"/>
      <c r="H21" s="186" t="s">
        <v>37</v>
      </c>
      <c r="I21" s="187">
        <f>J26</f>
        <v>0</v>
      </c>
      <c r="J21" s="285" t="str">
        <f ca="1">IFERROR(__xludf.DUMMYFUNCTION("SPARKLINE(I21,{""charttype"",""bar"";""max"",max(I21:I22);""color1"",""#AEB7C0""})"),"")</f>
        <v/>
      </c>
      <c r="K21" s="266"/>
      <c r="L21" s="266"/>
      <c r="M21" s="185"/>
    </row>
    <row r="22" spans="1:13" ht="19.5" customHeight="1" x14ac:dyDescent="0.25">
      <c r="A22" s="188"/>
      <c r="B22" s="189" t="s">
        <v>38</v>
      </c>
      <c r="C22" s="190">
        <f>E26</f>
        <v>0</v>
      </c>
      <c r="D22" s="286" t="str">
        <f ca="1">IFERROR(__xludf.DUMMYFUNCTION("SPARKLINE(C22,{""charttype"",""bar"";""max"",max(C21:C22);""color1"",""#334960""})"),"")</f>
        <v/>
      </c>
      <c r="E22" s="266"/>
      <c r="F22" s="266"/>
      <c r="G22" s="177"/>
      <c r="H22" s="189" t="s">
        <v>38</v>
      </c>
      <c r="I22" s="190">
        <f>K26</f>
        <v>0</v>
      </c>
      <c r="J22" s="286" t="str">
        <f ca="1">IFERROR(__xludf.DUMMYFUNCTION("SPARKLINE(I22,{""charttype"",""bar"";""max"",max(I21:I22);""color1"",""#334960""})"),"")</f>
        <v/>
      </c>
      <c r="K22" s="266"/>
      <c r="L22" s="266"/>
      <c r="M22" s="188"/>
    </row>
    <row r="23" spans="1:13" ht="30" customHeight="1" x14ac:dyDescent="0.3">
      <c r="A23" s="150"/>
      <c r="B23" s="191"/>
      <c r="C23" s="192"/>
      <c r="D23" s="287"/>
      <c r="E23" s="266"/>
      <c r="F23" s="266"/>
      <c r="G23" s="150"/>
      <c r="H23" s="191"/>
      <c r="I23" s="192"/>
      <c r="J23" s="287"/>
      <c r="K23" s="266"/>
      <c r="L23" s="266"/>
      <c r="M23" s="188"/>
    </row>
    <row r="24" spans="1:13" ht="29.25" customHeight="1" x14ac:dyDescent="0.25">
      <c r="A24" s="193"/>
      <c r="B24" s="288" t="s">
        <v>10</v>
      </c>
      <c r="C24" s="266"/>
      <c r="D24" s="194"/>
      <c r="E24" s="194"/>
      <c r="F24" s="194"/>
      <c r="G24" s="195"/>
      <c r="H24" s="196" t="s">
        <v>9</v>
      </c>
      <c r="I24" s="197"/>
      <c r="J24" s="194"/>
      <c r="K24" s="194"/>
      <c r="L24" s="194"/>
      <c r="M24" s="193"/>
    </row>
    <row r="25" spans="1:13" ht="19.5" customHeight="1" x14ac:dyDescent="0.45">
      <c r="A25" s="198"/>
      <c r="B25" s="199"/>
      <c r="C25" s="200"/>
      <c r="D25" s="199" t="s">
        <v>37</v>
      </c>
      <c r="E25" s="199" t="s">
        <v>38</v>
      </c>
      <c r="F25" s="199" t="s">
        <v>39</v>
      </c>
      <c r="G25" s="201"/>
      <c r="H25" s="202"/>
      <c r="I25" s="203"/>
      <c r="J25" s="199" t="s">
        <v>37</v>
      </c>
      <c r="K25" s="199" t="s">
        <v>38</v>
      </c>
      <c r="L25" s="199" t="s">
        <v>39</v>
      </c>
      <c r="M25" s="198"/>
    </row>
    <row r="26" spans="1:13" ht="17.25" customHeight="1" x14ac:dyDescent="0.25">
      <c r="A26" s="204"/>
      <c r="B26" s="205" t="s">
        <v>40</v>
      </c>
      <c r="C26" s="205"/>
      <c r="D26" s="206">
        <f t="shared" ref="D26:F26" si="0">SUM(D27:D1044)</f>
        <v>22450000</v>
      </c>
      <c r="E26" s="206">
        <f t="shared" si="0"/>
        <v>0</v>
      </c>
      <c r="F26" s="206">
        <f t="shared" si="0"/>
        <v>22450000</v>
      </c>
      <c r="G26" s="207"/>
      <c r="H26" s="208" t="s">
        <v>40</v>
      </c>
      <c r="I26" s="206"/>
      <c r="J26" s="206">
        <f t="shared" ref="J26:L26" si="1">SUM(J27:J44)</f>
        <v>0</v>
      </c>
      <c r="K26" s="206">
        <f t="shared" si="1"/>
        <v>0</v>
      </c>
      <c r="L26" s="206">
        <f t="shared" si="1"/>
        <v>0</v>
      </c>
      <c r="M26" s="204"/>
    </row>
    <row r="27" spans="1:13" ht="18" hidden="1" customHeight="1" x14ac:dyDescent="0.25">
      <c r="A27" s="209"/>
      <c r="B27" s="289"/>
      <c r="C27" s="290"/>
      <c r="D27" s="210"/>
      <c r="E27" s="211" t="str">
        <f>IF(ISBLANK($B27), "", SUMIF('Trans Jul'!$E:$E,$B27,'Trans Jul'!$C:$C))</f>
        <v/>
      </c>
      <c r="F27" s="211" t="str">
        <f t="shared" ref="F27:F43" si="2">IF(ISBLANK($B27), "", D27-E27)</f>
        <v/>
      </c>
      <c r="G27" s="190"/>
      <c r="H27" s="291"/>
      <c r="I27" s="292"/>
      <c r="J27" s="212"/>
      <c r="K27" s="211" t="str">
        <f>IF(ISBLANK($H27), "", SUMIF('Trans Jul'!$J:$J,$H27,'Trans Jul'!$H:$H))</f>
        <v/>
      </c>
      <c r="L27" s="211" t="str">
        <f t="shared" ref="L27:L44" si="3">IF(ISBLANK($H27), "", K27-J27)</f>
        <v/>
      </c>
      <c r="M27" s="209"/>
    </row>
    <row r="28" spans="1:13" ht="18" customHeight="1" x14ac:dyDescent="0.25">
      <c r="A28" s="209"/>
      <c r="B28" s="267" t="s">
        <v>15</v>
      </c>
      <c r="C28" s="268"/>
      <c r="D28" s="213">
        <v>7000000</v>
      </c>
      <c r="E28" s="214">
        <f>IF(ISBLANK($B28), "", SUMIF('Trans Jul'!$E:$E,$B28,'Trans Jul'!$C:$C))</f>
        <v>0</v>
      </c>
      <c r="F28" s="214">
        <f t="shared" si="2"/>
        <v>7000000</v>
      </c>
      <c r="G28" s="215"/>
      <c r="H28" s="267" t="s">
        <v>41</v>
      </c>
      <c r="I28" s="268"/>
      <c r="J28" s="213"/>
      <c r="K28" s="211">
        <f>IF(ISBLANK($H28), "", SUMIF('Trans Jul'!$J:$J,$H28,'Trans Jul'!$H:$H))</f>
        <v>0</v>
      </c>
      <c r="L28" s="214">
        <f t="shared" si="3"/>
        <v>0</v>
      </c>
      <c r="M28" s="209"/>
    </row>
    <row r="29" spans="1:13" ht="18" customHeight="1" x14ac:dyDescent="0.25">
      <c r="A29" s="209"/>
      <c r="B29" s="267" t="s">
        <v>23</v>
      </c>
      <c r="C29" s="268"/>
      <c r="D29" s="213">
        <v>500000</v>
      </c>
      <c r="E29" s="214">
        <f>IF(ISBLANK($B29), "", SUMIF('Trans Jul'!$E:$E,$B29,'Trans Jul'!$C:$C))</f>
        <v>0</v>
      </c>
      <c r="F29" s="214">
        <f t="shared" si="2"/>
        <v>500000</v>
      </c>
      <c r="G29" s="217"/>
      <c r="H29" s="267" t="s">
        <v>42</v>
      </c>
      <c r="I29" s="268"/>
      <c r="J29" s="213"/>
      <c r="K29" s="211">
        <f>IF(ISBLANK($H29), "", SUMIF('Trans Jul'!$J:$J,$H29,'Trans Jul'!$H:$H))</f>
        <v>0</v>
      </c>
      <c r="L29" s="214">
        <f t="shared" si="3"/>
        <v>0</v>
      </c>
      <c r="M29" s="209"/>
    </row>
    <row r="30" spans="1:13" ht="18" customHeight="1" x14ac:dyDescent="0.25">
      <c r="A30" s="188"/>
      <c r="B30" s="267" t="s">
        <v>24</v>
      </c>
      <c r="C30" s="268"/>
      <c r="D30" s="213">
        <v>600000</v>
      </c>
      <c r="E30" s="214">
        <f>IF(ISBLANK($B30), "", SUMIF('Trans Jul'!$E:$E,$B30,'Trans Jul'!$C:$C))</f>
        <v>0</v>
      </c>
      <c r="F30" s="214">
        <f t="shared" si="2"/>
        <v>600000</v>
      </c>
      <c r="G30" s="217"/>
      <c r="H30" s="267" t="s">
        <v>43</v>
      </c>
      <c r="I30" s="268"/>
      <c r="J30" s="213"/>
      <c r="K30" s="211">
        <f>IF(ISBLANK($H30), "", SUMIF('Trans Jul'!$J:$J,$H30,'Trans Jul'!$H:$H))</f>
        <v>0</v>
      </c>
      <c r="L30" s="214">
        <f t="shared" si="3"/>
        <v>0</v>
      </c>
      <c r="M30" s="188"/>
    </row>
    <row r="31" spans="1:13" ht="18" customHeight="1" x14ac:dyDescent="0.25">
      <c r="A31" s="188"/>
      <c r="B31" s="267" t="s">
        <v>44</v>
      </c>
      <c r="C31" s="268"/>
      <c r="D31" s="213">
        <v>5000000</v>
      </c>
      <c r="E31" s="214">
        <f>IF(ISBLANK($B31), "", SUMIF('Trans Jul'!$E:$E,$B31,'Trans Jul'!$C:$C))</f>
        <v>0</v>
      </c>
      <c r="F31" s="214">
        <f t="shared" si="2"/>
        <v>5000000</v>
      </c>
      <c r="G31" s="217"/>
      <c r="H31" s="267" t="s">
        <v>45</v>
      </c>
      <c r="I31" s="268"/>
      <c r="J31" s="213"/>
      <c r="K31" s="211">
        <f>IF(ISBLANK($H31), "", SUMIF('Trans Jul'!$J:$J,$H31,'Trans Jul'!$H:$H))</f>
        <v>0</v>
      </c>
      <c r="L31" s="214">
        <f t="shared" si="3"/>
        <v>0</v>
      </c>
      <c r="M31" s="188"/>
    </row>
    <row r="32" spans="1:13" ht="18" customHeight="1" x14ac:dyDescent="0.25">
      <c r="A32" s="188"/>
      <c r="B32" s="267" t="s">
        <v>46</v>
      </c>
      <c r="C32" s="268"/>
      <c r="D32" s="213">
        <v>4000000</v>
      </c>
      <c r="E32" s="214">
        <f>IF(ISBLANK($B32), "", SUMIF('Trans Jul'!$E:$E,$B32,'Trans Jul'!$C:$C))</f>
        <v>0</v>
      </c>
      <c r="F32" s="214">
        <f t="shared" si="2"/>
        <v>4000000</v>
      </c>
      <c r="G32" s="216"/>
      <c r="H32" s="267" t="s">
        <v>47</v>
      </c>
      <c r="I32" s="268"/>
      <c r="J32" s="213"/>
      <c r="K32" s="211">
        <f>IF(ISBLANK($H32), "", SUMIF('Trans Jul'!$J:$J,$H32,'Trans Jul'!$H:$H))</f>
        <v>0</v>
      </c>
      <c r="L32" s="214">
        <f t="shared" si="3"/>
        <v>0</v>
      </c>
      <c r="M32" s="188"/>
    </row>
    <row r="33" spans="1:13" ht="18" customHeight="1" x14ac:dyDescent="0.25">
      <c r="A33" s="188"/>
      <c r="B33" s="267" t="s">
        <v>48</v>
      </c>
      <c r="C33" s="268"/>
      <c r="D33" s="213">
        <v>1500000</v>
      </c>
      <c r="E33" s="214">
        <f>IF(ISBLANK($B33), "", SUMIF('Trans Jul'!$E:$E,$B33,'Trans Jul'!$C:$C))</f>
        <v>0</v>
      </c>
      <c r="F33" s="214">
        <f t="shared" si="2"/>
        <v>1500000</v>
      </c>
      <c r="G33" s="217"/>
      <c r="H33" s="267" t="s">
        <v>49</v>
      </c>
      <c r="I33" s="268"/>
      <c r="J33" s="218"/>
      <c r="K33" s="211">
        <f>IF(ISBLANK($H33), "", SUMIF('Trans Jul'!$J:$J,$H33,'Trans Jul'!$H:$H))</f>
        <v>0</v>
      </c>
      <c r="L33" s="214">
        <f t="shared" si="3"/>
        <v>0</v>
      </c>
      <c r="M33" s="188"/>
    </row>
    <row r="34" spans="1:13" ht="18" customHeight="1" x14ac:dyDescent="0.25">
      <c r="A34" s="188"/>
      <c r="B34" s="267" t="s">
        <v>50</v>
      </c>
      <c r="C34" s="268"/>
      <c r="D34" s="213">
        <v>500000</v>
      </c>
      <c r="E34" s="214">
        <f>IF(ISBLANK($B34), "", SUMIF('Trans Jul'!$E:$E,$B34,'Trans Jul'!$C:$C))</f>
        <v>0</v>
      </c>
      <c r="F34" s="214">
        <f t="shared" si="2"/>
        <v>500000</v>
      </c>
      <c r="G34" s="217"/>
      <c r="H34" s="267" t="s">
        <v>51</v>
      </c>
      <c r="I34" s="268"/>
      <c r="J34" s="218"/>
      <c r="K34" s="211">
        <f>IF(ISBLANK($H34), "", SUMIF('Trans Jul'!$J:$J,$H34,'Trans Jul'!$H:$H))</f>
        <v>0</v>
      </c>
      <c r="L34" s="214">
        <f t="shared" si="3"/>
        <v>0</v>
      </c>
      <c r="M34" s="188"/>
    </row>
    <row r="35" spans="1:13" ht="18" customHeight="1" x14ac:dyDescent="0.3">
      <c r="A35" s="188"/>
      <c r="B35" s="267" t="s">
        <v>52</v>
      </c>
      <c r="C35" s="268"/>
      <c r="D35" s="213">
        <v>500000</v>
      </c>
      <c r="E35" s="214">
        <f>IF(ISBLANK($B35), "", SUMIF('Trans Jul'!$E:$E,$B35,'Trans Jul'!$C:$C))</f>
        <v>0</v>
      </c>
      <c r="F35" s="214">
        <f t="shared" si="2"/>
        <v>500000</v>
      </c>
      <c r="G35" s="217"/>
      <c r="H35" s="293"/>
      <c r="I35" s="268"/>
      <c r="J35" s="219"/>
      <c r="K35" s="211" t="str">
        <f>IF(ISBLANK($H35), "", SUMIF('Trans Jul'!$J:$J,$H35,'Trans Jul'!$H:$H))</f>
        <v/>
      </c>
      <c r="L35" s="214" t="str">
        <f t="shared" si="3"/>
        <v/>
      </c>
      <c r="M35" s="188"/>
    </row>
    <row r="36" spans="1:13" ht="18" customHeight="1" x14ac:dyDescent="0.3">
      <c r="A36" s="188"/>
      <c r="B36" s="267" t="s">
        <v>53</v>
      </c>
      <c r="C36" s="268"/>
      <c r="D36" s="213">
        <v>500000</v>
      </c>
      <c r="E36" s="214">
        <f>IF(ISBLANK($B36), "", SUMIF('Trans Jul'!$E:$E,$B36,'Trans Jul'!$C:$C))</f>
        <v>0</v>
      </c>
      <c r="F36" s="214">
        <f t="shared" si="2"/>
        <v>500000</v>
      </c>
      <c r="G36" s="216"/>
      <c r="H36" s="293"/>
      <c r="I36" s="268"/>
      <c r="J36" s="219"/>
      <c r="K36" s="211" t="str">
        <f>IF(ISBLANK($H36), "", SUMIF('Trans Jul'!$J:$J,$H36,'Trans Jul'!$H:$H))</f>
        <v/>
      </c>
      <c r="L36" s="214" t="str">
        <f t="shared" si="3"/>
        <v/>
      </c>
      <c r="M36" s="188"/>
    </row>
    <row r="37" spans="1:13" ht="18" customHeight="1" x14ac:dyDescent="0.3">
      <c r="A37" s="188"/>
      <c r="B37" s="267" t="s">
        <v>54</v>
      </c>
      <c r="C37" s="268"/>
      <c r="D37" s="213">
        <v>500000</v>
      </c>
      <c r="E37" s="214">
        <f>IF(ISBLANK($B37), "", SUMIF('Trans Jul'!$E:$E,$B37,'Trans Jul'!$C:$C))</f>
        <v>0</v>
      </c>
      <c r="F37" s="214">
        <f t="shared" si="2"/>
        <v>500000</v>
      </c>
      <c r="G37" s="217"/>
      <c r="H37" s="293"/>
      <c r="I37" s="268"/>
      <c r="J37" s="219"/>
      <c r="K37" s="211" t="str">
        <f>IF(ISBLANK($H37), "", SUMIF('Trans Jul'!$J:$J,$H37,'Trans Jul'!$H:$H))</f>
        <v/>
      </c>
      <c r="L37" s="214" t="str">
        <f t="shared" si="3"/>
        <v/>
      </c>
      <c r="M37" s="188"/>
    </row>
    <row r="38" spans="1:13" ht="18" customHeight="1" x14ac:dyDescent="0.3">
      <c r="A38" s="188"/>
      <c r="B38" s="267" t="s">
        <v>55</v>
      </c>
      <c r="C38" s="268"/>
      <c r="D38" s="213">
        <v>200000</v>
      </c>
      <c r="E38" s="214">
        <f>IF(ISBLANK($B38), "", SUMIF('Trans Jul'!$E:$E,$B38,'Trans Jul'!$C:$C))</f>
        <v>0</v>
      </c>
      <c r="F38" s="214">
        <f t="shared" si="2"/>
        <v>200000</v>
      </c>
      <c r="G38" s="217"/>
      <c r="H38" s="293"/>
      <c r="I38" s="268"/>
      <c r="J38" s="219"/>
      <c r="K38" s="211" t="str">
        <f>IF(ISBLANK($H38), "", SUMIF('Trans Jul'!$J:$J,$H38,'Trans Jul'!$H:$H))</f>
        <v/>
      </c>
      <c r="L38" s="214" t="str">
        <f t="shared" si="3"/>
        <v/>
      </c>
      <c r="M38" s="188"/>
    </row>
    <row r="39" spans="1:13" ht="18" customHeight="1" x14ac:dyDescent="0.3">
      <c r="A39" s="188"/>
      <c r="B39" s="267" t="s">
        <v>56</v>
      </c>
      <c r="C39" s="268"/>
      <c r="D39" s="213">
        <v>150000</v>
      </c>
      <c r="E39" s="214">
        <f>IF(ISBLANK($B39), "", SUMIF('Trans Jul'!$E:$E,$B39,'Trans Jul'!$C:$C))</f>
        <v>0</v>
      </c>
      <c r="F39" s="214">
        <f t="shared" si="2"/>
        <v>150000</v>
      </c>
      <c r="G39" s="216"/>
      <c r="H39" s="293"/>
      <c r="I39" s="268"/>
      <c r="J39" s="219"/>
      <c r="K39" s="211" t="str">
        <f>IF(ISBLANK($H39), "", SUMIF('Trans Jul'!$J:$J,$H39,'Trans Jul'!$H:$H))</f>
        <v/>
      </c>
      <c r="L39" s="214" t="str">
        <f t="shared" si="3"/>
        <v/>
      </c>
      <c r="M39" s="188"/>
    </row>
    <row r="40" spans="1:13" ht="18" customHeight="1" x14ac:dyDescent="0.3">
      <c r="A40" s="188"/>
      <c r="B40" s="267" t="s">
        <v>57</v>
      </c>
      <c r="C40" s="268"/>
      <c r="D40" s="213">
        <v>1500000</v>
      </c>
      <c r="E40" s="214">
        <f>IF(ISBLANK($B40), "", SUMIF('Trans Jul'!$E:$E,$B40,'Trans Jul'!$C:$C))</f>
        <v>0</v>
      </c>
      <c r="F40" s="214">
        <f t="shared" si="2"/>
        <v>1500000</v>
      </c>
      <c r="G40" s="249"/>
      <c r="H40" s="293"/>
      <c r="I40" s="268"/>
      <c r="J40" s="219"/>
      <c r="K40" s="211" t="str">
        <f>IF(ISBLANK($H40), "", SUMIF('Trans Jul'!$J:$J,$H40,'Trans Jul'!$H:$H))</f>
        <v/>
      </c>
      <c r="L40" s="214" t="str">
        <f t="shared" si="3"/>
        <v/>
      </c>
      <c r="M40" s="188"/>
    </row>
    <row r="41" spans="1:13" ht="18" customHeight="1" x14ac:dyDescent="0.3">
      <c r="A41" s="188"/>
      <c r="B41" s="267" t="s">
        <v>58</v>
      </c>
      <c r="C41" s="268"/>
      <c r="D41" s="220">
        <v>0</v>
      </c>
      <c r="E41" s="214">
        <f>IF(ISBLANK($B41), "", SUMIF('Trans Jul'!$E:$E,$B41,'Trans Jul'!$C:$C))</f>
        <v>0</v>
      </c>
      <c r="F41" s="214">
        <f t="shared" si="2"/>
        <v>0</v>
      </c>
      <c r="G41" s="217"/>
      <c r="H41" s="293"/>
      <c r="I41" s="268"/>
      <c r="J41" s="219"/>
      <c r="K41" s="211" t="str">
        <f>IF(ISBLANK($H41), "", SUMIF('Trans Jul'!$J:$J,$H41,'Trans Jul'!$H:$H))</f>
        <v/>
      </c>
      <c r="L41" s="214" t="str">
        <f t="shared" si="3"/>
        <v/>
      </c>
      <c r="M41" s="188"/>
    </row>
    <row r="42" spans="1:13" ht="19.5" customHeight="1" x14ac:dyDescent="0.3">
      <c r="A42" s="188"/>
      <c r="B42" s="267" t="s">
        <v>59</v>
      </c>
      <c r="C42" s="268"/>
      <c r="D42" s="213">
        <v>0</v>
      </c>
      <c r="E42" s="214">
        <f>IF(ISBLANK($B42), "", SUMIF('Trans Jul'!$E:$E,$B42,'Trans Jul'!$C:$C))</f>
        <v>0</v>
      </c>
      <c r="F42" s="214">
        <f t="shared" si="2"/>
        <v>0</v>
      </c>
      <c r="G42" s="216"/>
      <c r="H42" s="293"/>
      <c r="I42" s="268"/>
      <c r="J42" s="219"/>
      <c r="K42" s="211" t="str">
        <f>IF(ISBLANK($H42), "", SUMIF('Trans Jul'!$J:$J,$H42,'Trans Jul'!$H:$H))</f>
        <v/>
      </c>
      <c r="L42" s="214" t="str">
        <f t="shared" si="3"/>
        <v/>
      </c>
      <c r="M42" s="188"/>
    </row>
    <row r="43" spans="1:13" ht="18" customHeight="1" x14ac:dyDescent="0.3">
      <c r="A43" s="188"/>
      <c r="B43" s="267"/>
      <c r="C43" s="268"/>
      <c r="D43" s="220"/>
      <c r="E43" s="211"/>
      <c r="F43" s="214" t="str">
        <f t="shared" si="2"/>
        <v/>
      </c>
      <c r="G43" s="216"/>
      <c r="H43" s="267"/>
      <c r="I43" s="268"/>
      <c r="J43" s="218"/>
      <c r="K43" s="211" t="str">
        <f>IF(ISBLANK($H43), "", SUMIF('Trans Jul'!$J:$J,$H43,'Trans Jul'!$H:$H))</f>
        <v/>
      </c>
      <c r="L43" s="214" t="str">
        <f t="shared" si="3"/>
        <v/>
      </c>
      <c r="M43" s="188"/>
    </row>
    <row r="44" spans="1:13" ht="18" customHeight="1" x14ac:dyDescent="0.25">
      <c r="A44" s="188"/>
      <c r="B44" s="267"/>
      <c r="C44" s="268"/>
      <c r="D44" s="218"/>
      <c r="E44" s="211" t="str">
        <f>IF(ISBLANK($B44), "", SUMIF('Trans Jul'!$E:$E,$B44,'Trans Jul'!$C:$C))</f>
        <v/>
      </c>
      <c r="F44" s="214"/>
      <c r="G44" s="216"/>
      <c r="H44" s="267"/>
      <c r="I44" s="268"/>
      <c r="J44" s="218"/>
      <c r="K44" s="211" t="str">
        <f>IF(ISBLANK($H44), "", SUMIF('Trans Jul'!$J:$J,$H44,'Trans Jul'!$H:$H))</f>
        <v/>
      </c>
      <c r="L44" s="214" t="str">
        <f t="shared" si="3"/>
        <v/>
      </c>
      <c r="M44" s="188"/>
    </row>
    <row r="45" spans="1:13" ht="18" customHeight="1" x14ac:dyDescent="0.25">
      <c r="A45" s="188"/>
      <c r="B45" s="221"/>
      <c r="C45" s="221"/>
      <c r="D45" s="222"/>
      <c r="E45" s="211"/>
      <c r="F45" s="214"/>
      <c r="G45" s="216"/>
      <c r="H45" s="221"/>
      <c r="I45" s="221"/>
      <c r="J45" s="222"/>
      <c r="K45" s="211"/>
      <c r="L45" s="214"/>
      <c r="M45" s="188"/>
    </row>
    <row r="46" spans="1:13" ht="18" customHeight="1" x14ac:dyDescent="0.25">
      <c r="A46" s="188"/>
      <c r="B46" s="221"/>
      <c r="C46" s="221"/>
      <c r="D46" s="222"/>
      <c r="E46" s="211"/>
      <c r="F46" s="214"/>
      <c r="G46" s="216"/>
      <c r="H46" s="221"/>
      <c r="I46" s="221"/>
      <c r="J46" s="222"/>
      <c r="K46" s="211"/>
      <c r="L46" s="214"/>
      <c r="M46" s="188"/>
    </row>
    <row r="47" spans="1:13" ht="18" customHeight="1" x14ac:dyDescent="0.25">
      <c r="A47" s="188"/>
      <c r="B47" s="221"/>
      <c r="C47" s="221"/>
      <c r="D47" s="222"/>
      <c r="E47" s="211"/>
      <c r="F47" s="214"/>
      <c r="G47" s="216"/>
      <c r="H47" s="221"/>
      <c r="I47" s="221"/>
      <c r="J47" s="222"/>
      <c r="K47" s="211"/>
      <c r="L47" s="214"/>
      <c r="M47" s="188"/>
    </row>
    <row r="48" spans="1:13" ht="18" customHeight="1" x14ac:dyDescent="0.25">
      <c r="A48" s="188"/>
      <c r="B48" s="221"/>
      <c r="C48" s="221"/>
      <c r="D48" s="222"/>
      <c r="E48" s="211"/>
      <c r="F48" s="214"/>
      <c r="G48" s="216"/>
      <c r="H48" s="221"/>
      <c r="I48" s="221"/>
      <c r="J48" s="222"/>
      <c r="K48" s="211"/>
      <c r="L48" s="214"/>
      <c r="M48" s="188"/>
    </row>
    <row r="49" spans="1:13" ht="18" customHeight="1" x14ac:dyDescent="0.25">
      <c r="A49" s="188"/>
      <c r="B49" s="221"/>
      <c r="C49" s="221"/>
      <c r="D49" s="222"/>
      <c r="E49" s="211"/>
      <c r="F49" s="214"/>
      <c r="G49" s="216"/>
      <c r="H49" s="221"/>
      <c r="I49" s="221"/>
      <c r="J49" s="222"/>
      <c r="K49" s="211"/>
      <c r="L49" s="214"/>
      <c r="M49" s="188"/>
    </row>
    <row r="50" spans="1:13" ht="18" customHeight="1" x14ac:dyDescent="0.25">
      <c r="A50" s="188"/>
      <c r="B50" s="221"/>
      <c r="C50" s="221"/>
      <c r="D50" s="222"/>
      <c r="E50" s="211"/>
      <c r="F50" s="214"/>
      <c r="G50" s="216"/>
      <c r="H50" s="221"/>
      <c r="I50" s="221"/>
      <c r="J50" s="222"/>
      <c r="K50" s="211"/>
      <c r="L50" s="214"/>
      <c r="M50" s="188"/>
    </row>
    <row r="51" spans="1:13" ht="18" customHeight="1" x14ac:dyDescent="0.25">
      <c r="A51" s="188"/>
      <c r="B51" s="221"/>
      <c r="C51" s="221"/>
      <c r="D51" s="222"/>
      <c r="E51" s="211"/>
      <c r="F51" s="214"/>
      <c r="G51" s="216"/>
      <c r="H51" s="221"/>
      <c r="I51" s="221"/>
      <c r="J51" s="222"/>
      <c r="K51" s="211"/>
      <c r="L51" s="214"/>
      <c r="M51" s="188"/>
    </row>
    <row r="52" spans="1:13" ht="18" customHeight="1" x14ac:dyDescent="0.25">
      <c r="A52" s="188"/>
      <c r="B52" s="221"/>
      <c r="C52" s="221"/>
      <c r="D52" s="222"/>
      <c r="E52" s="211"/>
      <c r="F52" s="214"/>
      <c r="G52" s="216"/>
      <c r="H52" s="221"/>
      <c r="I52" s="221"/>
      <c r="J52" s="222"/>
      <c r="K52" s="211"/>
      <c r="L52" s="214"/>
      <c r="M52" s="188"/>
    </row>
    <row r="53" spans="1:13" ht="18" customHeight="1" x14ac:dyDescent="0.25">
      <c r="A53" s="188"/>
      <c r="B53" s="221"/>
      <c r="C53" s="221"/>
      <c r="D53" s="222"/>
      <c r="E53" s="211"/>
      <c r="F53" s="214"/>
      <c r="G53" s="216"/>
      <c r="H53" s="221"/>
      <c r="I53" s="221"/>
      <c r="J53" s="222"/>
      <c r="K53" s="211"/>
      <c r="L53" s="214"/>
      <c r="M53" s="188"/>
    </row>
    <row r="54" spans="1:13" ht="18" customHeight="1" x14ac:dyDescent="0.25">
      <c r="A54" s="188"/>
      <c r="B54" s="221"/>
      <c r="C54" s="221"/>
      <c r="D54" s="222"/>
      <c r="E54" s="211"/>
      <c r="F54" s="214"/>
      <c r="G54" s="216"/>
      <c r="H54" s="221"/>
      <c r="I54" s="221"/>
      <c r="J54" s="222"/>
      <c r="K54" s="211"/>
      <c r="L54" s="214"/>
      <c r="M54" s="188"/>
    </row>
    <row r="55" spans="1:13" ht="18" customHeight="1" x14ac:dyDescent="0.25">
      <c r="A55" s="188"/>
      <c r="B55" s="221"/>
      <c r="C55" s="221"/>
      <c r="D55" s="222"/>
      <c r="E55" s="211"/>
      <c r="F55" s="214"/>
      <c r="G55" s="216"/>
      <c r="H55" s="221"/>
      <c r="I55" s="221"/>
      <c r="J55" s="222"/>
      <c r="K55" s="211"/>
      <c r="L55" s="214"/>
      <c r="M55" s="188"/>
    </row>
    <row r="56" spans="1:13" ht="18" customHeight="1" x14ac:dyDescent="0.25">
      <c r="A56" s="188"/>
      <c r="B56" s="221"/>
      <c r="C56" s="221"/>
      <c r="D56" s="222"/>
      <c r="E56" s="211"/>
      <c r="F56" s="214"/>
      <c r="G56" s="216"/>
      <c r="H56" s="221"/>
      <c r="I56" s="221"/>
      <c r="J56" s="222"/>
      <c r="K56" s="211"/>
      <c r="L56" s="214"/>
      <c r="M56" s="188"/>
    </row>
    <row r="57" spans="1:13" ht="18" customHeight="1" x14ac:dyDescent="0.25">
      <c r="A57" s="188"/>
      <c r="B57" s="221"/>
      <c r="C57" s="221"/>
      <c r="D57" s="222"/>
      <c r="E57" s="211"/>
      <c r="F57" s="214"/>
      <c r="G57" s="216"/>
      <c r="H57" s="221"/>
      <c r="I57" s="221"/>
      <c r="J57" s="222"/>
      <c r="K57" s="211"/>
      <c r="L57" s="214"/>
      <c r="M57" s="188"/>
    </row>
    <row r="58" spans="1:13" ht="18" customHeight="1" x14ac:dyDescent="0.25">
      <c r="A58" s="188"/>
      <c r="B58" s="221"/>
      <c r="C58" s="221"/>
      <c r="D58" s="222"/>
      <c r="E58" s="211"/>
      <c r="F58" s="214"/>
      <c r="G58" s="216"/>
      <c r="H58" s="221"/>
      <c r="I58" s="221"/>
      <c r="J58" s="222"/>
      <c r="K58" s="211"/>
      <c r="L58" s="214"/>
      <c r="M58" s="188"/>
    </row>
    <row r="59" spans="1:13" ht="18" customHeight="1" x14ac:dyDescent="0.25">
      <c r="A59" s="188"/>
      <c r="B59" s="221"/>
      <c r="C59" s="221"/>
      <c r="D59" s="222"/>
      <c r="E59" s="211"/>
      <c r="F59" s="214"/>
      <c r="G59" s="216"/>
      <c r="H59" s="221"/>
      <c r="I59" s="221"/>
      <c r="J59" s="222"/>
      <c r="K59" s="211"/>
      <c r="L59" s="214"/>
      <c r="M59" s="188"/>
    </row>
    <row r="60" spans="1:13" ht="18" customHeight="1" x14ac:dyDescent="0.25">
      <c r="A60" s="188"/>
      <c r="B60" s="221"/>
      <c r="C60" s="221"/>
      <c r="D60" s="222"/>
      <c r="E60" s="211"/>
      <c r="F60" s="214"/>
      <c r="G60" s="216"/>
      <c r="H60" s="221"/>
      <c r="I60" s="221"/>
      <c r="J60" s="222"/>
      <c r="K60" s="211"/>
      <c r="L60" s="214"/>
      <c r="M60" s="188"/>
    </row>
    <row r="61" spans="1:13" ht="18" customHeight="1" x14ac:dyDescent="0.25">
      <c r="A61" s="188"/>
      <c r="B61" s="221"/>
      <c r="C61" s="221"/>
      <c r="D61" s="222"/>
      <c r="E61" s="211"/>
      <c r="F61" s="214"/>
      <c r="G61" s="216"/>
      <c r="H61" s="221"/>
      <c r="I61" s="221"/>
      <c r="J61" s="222"/>
      <c r="K61" s="211"/>
      <c r="L61" s="214"/>
      <c r="M61" s="188"/>
    </row>
    <row r="62" spans="1:13" ht="18" customHeight="1" x14ac:dyDescent="0.25">
      <c r="A62" s="188"/>
      <c r="B62" s="221"/>
      <c r="C62" s="221"/>
      <c r="D62" s="222"/>
      <c r="E62" s="211"/>
      <c r="F62" s="214"/>
      <c r="G62" s="216"/>
      <c r="H62" s="221"/>
      <c r="I62" s="221"/>
      <c r="J62" s="222"/>
      <c r="K62" s="211"/>
      <c r="L62" s="214"/>
      <c r="M62" s="188"/>
    </row>
    <row r="63" spans="1:13" ht="18" customHeight="1" x14ac:dyDescent="0.25">
      <c r="A63" s="188"/>
      <c r="B63" s="221"/>
      <c r="C63" s="221"/>
      <c r="D63" s="222"/>
      <c r="E63" s="211"/>
      <c r="F63" s="214"/>
      <c r="G63" s="216"/>
      <c r="H63" s="221"/>
      <c r="I63" s="221"/>
      <c r="J63" s="222"/>
      <c r="K63" s="211"/>
      <c r="L63" s="214"/>
      <c r="M63" s="188"/>
    </row>
    <row r="64" spans="1:13" ht="18" customHeight="1" x14ac:dyDescent="0.25">
      <c r="A64" s="188"/>
      <c r="B64" s="221"/>
      <c r="C64" s="221"/>
      <c r="D64" s="222"/>
      <c r="E64" s="211"/>
      <c r="F64" s="214"/>
      <c r="G64" s="216"/>
      <c r="H64" s="221"/>
      <c r="I64" s="221"/>
      <c r="J64" s="222"/>
      <c r="K64" s="211"/>
      <c r="L64" s="214"/>
      <c r="M64" s="188"/>
    </row>
    <row r="65" spans="1:13" ht="18" customHeight="1" x14ac:dyDescent="0.25">
      <c r="A65" s="188"/>
      <c r="B65" s="221"/>
      <c r="C65" s="221"/>
      <c r="D65" s="222"/>
      <c r="E65" s="211"/>
      <c r="F65" s="214"/>
      <c r="G65" s="216"/>
      <c r="H65" s="221"/>
      <c r="I65" s="221"/>
      <c r="J65" s="222"/>
      <c r="K65" s="211"/>
      <c r="L65" s="214"/>
      <c r="M65" s="188"/>
    </row>
    <row r="66" spans="1:13" ht="18" customHeight="1" x14ac:dyDescent="0.25">
      <c r="A66" s="188"/>
      <c r="B66" s="221"/>
      <c r="C66" s="221"/>
      <c r="D66" s="222"/>
      <c r="E66" s="211"/>
      <c r="F66" s="214"/>
      <c r="G66" s="216"/>
      <c r="H66" s="221"/>
      <c r="I66" s="221"/>
      <c r="J66" s="222"/>
      <c r="K66" s="211"/>
      <c r="L66" s="214"/>
      <c r="M66" s="188"/>
    </row>
    <row r="67" spans="1:13" ht="18" customHeight="1" x14ac:dyDescent="0.25">
      <c r="A67" s="188"/>
      <c r="B67" s="221"/>
      <c r="C67" s="221"/>
      <c r="D67" s="222"/>
      <c r="E67" s="211"/>
      <c r="F67" s="214"/>
      <c r="G67" s="216"/>
      <c r="H67" s="221"/>
      <c r="I67" s="221"/>
      <c r="J67" s="222"/>
      <c r="K67" s="211"/>
      <c r="L67" s="214"/>
      <c r="M67" s="188"/>
    </row>
    <row r="68" spans="1:13" ht="18" customHeight="1" x14ac:dyDescent="0.25">
      <c r="A68" s="188"/>
      <c r="B68" s="221"/>
      <c r="C68" s="221"/>
      <c r="D68" s="222"/>
      <c r="E68" s="211"/>
      <c r="F68" s="214"/>
      <c r="G68" s="216"/>
      <c r="H68" s="221"/>
      <c r="I68" s="221"/>
      <c r="J68" s="222"/>
      <c r="K68" s="211"/>
      <c r="L68" s="214"/>
      <c r="M68" s="188"/>
    </row>
    <row r="69" spans="1:13" ht="18" customHeight="1" x14ac:dyDescent="0.25">
      <c r="A69" s="188"/>
      <c r="B69" s="221"/>
      <c r="C69" s="221"/>
      <c r="D69" s="222"/>
      <c r="E69" s="211"/>
      <c r="F69" s="214"/>
      <c r="G69" s="216"/>
      <c r="H69" s="221"/>
      <c r="I69" s="221"/>
      <c r="J69" s="222"/>
      <c r="K69" s="211"/>
      <c r="L69" s="214"/>
      <c r="M69" s="188"/>
    </row>
    <row r="70" spans="1:13" ht="18" customHeight="1" x14ac:dyDescent="0.25">
      <c r="A70" s="188"/>
      <c r="B70" s="221"/>
      <c r="C70" s="221"/>
      <c r="D70" s="222"/>
      <c r="E70" s="211"/>
      <c r="F70" s="214"/>
      <c r="G70" s="216"/>
      <c r="H70" s="221"/>
      <c r="I70" s="221"/>
      <c r="J70" s="222"/>
      <c r="K70" s="211"/>
      <c r="L70" s="214"/>
      <c r="M70" s="188"/>
    </row>
    <row r="71" spans="1:13" ht="18" customHeight="1" x14ac:dyDescent="0.25">
      <c r="A71" s="188"/>
      <c r="B71" s="221"/>
      <c r="C71" s="221"/>
      <c r="D71" s="222"/>
      <c r="E71" s="211"/>
      <c r="F71" s="214"/>
      <c r="G71" s="216"/>
      <c r="H71" s="221"/>
      <c r="I71" s="221"/>
      <c r="J71" s="222"/>
      <c r="K71" s="211"/>
      <c r="L71" s="214"/>
      <c r="M71" s="188"/>
    </row>
    <row r="72" spans="1:13" ht="18" customHeight="1" x14ac:dyDescent="0.25">
      <c r="A72" s="188"/>
      <c r="B72" s="221"/>
      <c r="C72" s="221"/>
      <c r="D72" s="222"/>
      <c r="E72" s="211"/>
      <c r="F72" s="214"/>
      <c r="G72" s="216"/>
      <c r="H72" s="221"/>
      <c r="I72" s="221"/>
      <c r="J72" s="222"/>
      <c r="K72" s="211"/>
      <c r="L72" s="214"/>
      <c r="M72" s="188"/>
    </row>
    <row r="73" spans="1:13" ht="18" customHeight="1" x14ac:dyDescent="0.25">
      <c r="A73" s="188"/>
      <c r="B73" s="221"/>
      <c r="C73" s="221"/>
      <c r="D73" s="222"/>
      <c r="E73" s="211"/>
      <c r="F73" s="214"/>
      <c r="G73" s="216"/>
      <c r="H73" s="221"/>
      <c r="I73" s="221"/>
      <c r="J73" s="222"/>
      <c r="K73" s="211"/>
      <c r="L73" s="214"/>
      <c r="M73" s="188"/>
    </row>
    <row r="74" spans="1:13" ht="18" customHeight="1" x14ac:dyDescent="0.25">
      <c r="A74" s="188"/>
      <c r="B74" s="221"/>
      <c r="C74" s="221"/>
      <c r="D74" s="222"/>
      <c r="E74" s="211"/>
      <c r="F74" s="214"/>
      <c r="G74" s="216"/>
      <c r="H74" s="221"/>
      <c r="I74" s="221"/>
      <c r="J74" s="222"/>
      <c r="K74" s="211"/>
      <c r="L74" s="214"/>
      <c r="M74" s="188"/>
    </row>
    <row r="75" spans="1:13" ht="18" customHeight="1" x14ac:dyDescent="0.25">
      <c r="A75" s="188"/>
      <c r="B75" s="221"/>
      <c r="C75" s="221"/>
      <c r="D75" s="222"/>
      <c r="E75" s="211"/>
      <c r="F75" s="214"/>
      <c r="G75" s="216"/>
      <c r="H75" s="221"/>
      <c r="I75" s="221"/>
      <c r="J75" s="222"/>
      <c r="K75" s="211"/>
      <c r="L75" s="214"/>
      <c r="M75" s="188"/>
    </row>
    <row r="76" spans="1:13" ht="18" customHeight="1" x14ac:dyDescent="0.25">
      <c r="A76" s="188"/>
      <c r="B76" s="221"/>
      <c r="C76" s="221"/>
      <c r="D76" s="222"/>
      <c r="E76" s="211"/>
      <c r="F76" s="214"/>
      <c r="G76" s="216"/>
      <c r="H76" s="221"/>
      <c r="I76" s="221"/>
      <c r="J76" s="222"/>
      <c r="K76" s="211"/>
      <c r="L76" s="214"/>
      <c r="M76" s="188"/>
    </row>
    <row r="77" spans="1:13" ht="18" customHeight="1" x14ac:dyDescent="0.25">
      <c r="A77" s="188"/>
      <c r="B77" s="221"/>
      <c r="C77" s="221"/>
      <c r="D77" s="222"/>
      <c r="E77" s="211"/>
      <c r="F77" s="214"/>
      <c r="G77" s="216"/>
      <c r="H77" s="221"/>
      <c r="I77" s="221"/>
      <c r="J77" s="222"/>
      <c r="K77" s="211"/>
      <c r="L77" s="214"/>
      <c r="M77" s="188"/>
    </row>
    <row r="78" spans="1:13" ht="18" customHeight="1" x14ac:dyDescent="0.25">
      <c r="A78" s="188"/>
      <c r="B78" s="221"/>
      <c r="C78" s="221"/>
      <c r="D78" s="222"/>
      <c r="E78" s="211"/>
      <c r="F78" s="214"/>
      <c r="G78" s="216"/>
      <c r="H78" s="221"/>
      <c r="I78" s="221"/>
      <c r="J78" s="222"/>
      <c r="K78" s="211"/>
      <c r="L78" s="214"/>
      <c r="M78" s="188"/>
    </row>
    <row r="79" spans="1:13" ht="18" customHeight="1" x14ac:dyDescent="0.25">
      <c r="A79" s="188"/>
      <c r="B79" s="221"/>
      <c r="C79" s="221"/>
      <c r="D79" s="222"/>
      <c r="E79" s="211"/>
      <c r="F79" s="214"/>
      <c r="G79" s="216"/>
      <c r="H79" s="221"/>
      <c r="I79" s="221"/>
      <c r="J79" s="222"/>
      <c r="K79" s="211"/>
      <c r="L79" s="214"/>
      <c r="M79" s="188"/>
    </row>
    <row r="80" spans="1:13" ht="18" customHeight="1" x14ac:dyDescent="0.25">
      <c r="A80" s="188"/>
      <c r="B80" s="221"/>
      <c r="C80" s="221"/>
      <c r="D80" s="222"/>
      <c r="E80" s="211"/>
      <c r="F80" s="214"/>
      <c r="G80" s="216"/>
      <c r="H80" s="221"/>
      <c r="I80" s="221"/>
      <c r="J80" s="222"/>
      <c r="K80" s="211"/>
      <c r="L80" s="214"/>
      <c r="M80" s="188"/>
    </row>
    <row r="81" spans="1:13" ht="18" customHeight="1" x14ac:dyDescent="0.25">
      <c r="A81" s="188"/>
      <c r="B81" s="221"/>
      <c r="C81" s="221"/>
      <c r="D81" s="222"/>
      <c r="E81" s="211"/>
      <c r="F81" s="214"/>
      <c r="G81" s="216"/>
      <c r="H81" s="221"/>
      <c r="I81" s="221"/>
      <c r="J81" s="222"/>
      <c r="K81" s="211"/>
      <c r="L81" s="214"/>
      <c r="M81" s="188"/>
    </row>
    <row r="82" spans="1:13" ht="18" customHeight="1" x14ac:dyDescent="0.25">
      <c r="A82" s="188"/>
      <c r="B82" s="221"/>
      <c r="C82" s="221"/>
      <c r="D82" s="222"/>
      <c r="E82" s="211"/>
      <c r="F82" s="214"/>
      <c r="G82" s="216"/>
      <c r="H82" s="221"/>
      <c r="I82" s="221"/>
      <c r="J82" s="222"/>
      <c r="K82" s="211"/>
      <c r="L82" s="214"/>
      <c r="M82" s="188"/>
    </row>
    <row r="83" spans="1:13" ht="18" customHeight="1" x14ac:dyDescent="0.25">
      <c r="A83" s="188"/>
      <c r="B83" s="221"/>
      <c r="C83" s="221"/>
      <c r="D83" s="222"/>
      <c r="E83" s="211"/>
      <c r="F83" s="214"/>
      <c r="G83" s="216"/>
      <c r="H83" s="221"/>
      <c r="I83" s="221"/>
      <c r="J83" s="222"/>
      <c r="K83" s="211"/>
      <c r="L83" s="214"/>
      <c r="M83" s="188"/>
    </row>
    <row r="84" spans="1:13" ht="18" customHeight="1" x14ac:dyDescent="0.25">
      <c r="A84" s="188"/>
      <c r="B84" s="221"/>
      <c r="C84" s="221"/>
      <c r="D84" s="222"/>
      <c r="E84" s="211"/>
      <c r="F84" s="214"/>
      <c r="G84" s="216"/>
      <c r="H84" s="221"/>
      <c r="I84" s="221"/>
      <c r="J84" s="222"/>
      <c r="K84" s="211"/>
      <c r="L84" s="214"/>
      <c r="M84" s="188"/>
    </row>
    <row r="85" spans="1:13" ht="18" customHeight="1" x14ac:dyDescent="0.25">
      <c r="A85" s="188"/>
      <c r="B85" s="221"/>
      <c r="C85" s="221"/>
      <c r="D85" s="222"/>
      <c r="E85" s="211"/>
      <c r="F85" s="214"/>
      <c r="G85" s="216"/>
      <c r="H85" s="221"/>
      <c r="I85" s="221"/>
      <c r="J85" s="222"/>
      <c r="K85" s="211"/>
      <c r="L85" s="214"/>
      <c r="M85" s="188"/>
    </row>
    <row r="86" spans="1:13" ht="18" customHeight="1" x14ac:dyDescent="0.25">
      <c r="A86" s="188"/>
      <c r="B86" s="221"/>
      <c r="C86" s="221"/>
      <c r="D86" s="222"/>
      <c r="E86" s="211"/>
      <c r="F86" s="214"/>
      <c r="G86" s="216"/>
      <c r="H86" s="221"/>
      <c r="I86" s="221"/>
      <c r="J86" s="222"/>
      <c r="K86" s="211"/>
      <c r="L86" s="214"/>
      <c r="M86" s="188"/>
    </row>
    <row r="87" spans="1:13" ht="18" customHeight="1" x14ac:dyDescent="0.25">
      <c r="A87" s="188"/>
      <c r="B87" s="221"/>
      <c r="C87" s="221"/>
      <c r="D87" s="222"/>
      <c r="E87" s="211"/>
      <c r="F87" s="214"/>
      <c r="G87" s="216"/>
      <c r="H87" s="221"/>
      <c r="I87" s="221"/>
      <c r="J87" s="222"/>
      <c r="K87" s="211"/>
      <c r="L87" s="214"/>
      <c r="M87" s="188"/>
    </row>
    <row r="88" spans="1:13" ht="18" customHeight="1" x14ac:dyDescent="0.25">
      <c r="A88" s="188"/>
      <c r="B88" s="221"/>
      <c r="C88" s="221"/>
      <c r="D88" s="222"/>
      <c r="E88" s="211"/>
      <c r="F88" s="214"/>
      <c r="G88" s="216"/>
      <c r="H88" s="221"/>
      <c r="I88" s="221"/>
      <c r="J88" s="222"/>
      <c r="K88" s="211"/>
      <c r="L88" s="214"/>
      <c r="M88" s="188"/>
    </row>
    <row r="89" spans="1:13" ht="18" customHeight="1" x14ac:dyDescent="0.25">
      <c r="A89" s="188"/>
      <c r="B89" s="221"/>
      <c r="C89" s="221"/>
      <c r="D89" s="222"/>
      <c r="E89" s="211"/>
      <c r="F89" s="214"/>
      <c r="G89" s="216"/>
      <c r="H89" s="221"/>
      <c r="I89" s="221"/>
      <c r="J89" s="222"/>
      <c r="K89" s="211"/>
      <c r="L89" s="214"/>
      <c r="M89" s="188"/>
    </row>
    <row r="90" spans="1:13" ht="18" customHeight="1" x14ac:dyDescent="0.25">
      <c r="A90" s="188"/>
      <c r="B90" s="221"/>
      <c r="C90" s="221"/>
      <c r="D90" s="222"/>
      <c r="E90" s="211"/>
      <c r="F90" s="214"/>
      <c r="G90" s="216"/>
      <c r="H90" s="221"/>
      <c r="I90" s="221"/>
      <c r="J90" s="222"/>
      <c r="K90" s="211"/>
      <c r="L90" s="214"/>
      <c r="M90" s="188"/>
    </row>
    <row r="91" spans="1:13" ht="18" customHeight="1" x14ac:dyDescent="0.25">
      <c r="A91" s="188"/>
      <c r="B91" s="221"/>
      <c r="C91" s="221"/>
      <c r="D91" s="222"/>
      <c r="E91" s="211"/>
      <c r="F91" s="214"/>
      <c r="G91" s="216"/>
      <c r="H91" s="221"/>
      <c r="I91" s="221"/>
      <c r="J91" s="222"/>
      <c r="K91" s="211"/>
      <c r="L91" s="214"/>
      <c r="M91" s="188"/>
    </row>
    <row r="92" spans="1:13" ht="18" customHeight="1" x14ac:dyDescent="0.25">
      <c r="A92" s="188"/>
      <c r="B92" s="221"/>
      <c r="C92" s="221"/>
      <c r="D92" s="222"/>
      <c r="E92" s="211"/>
      <c r="F92" s="214"/>
      <c r="G92" s="216"/>
      <c r="H92" s="221"/>
      <c r="I92" s="221"/>
      <c r="J92" s="222"/>
      <c r="K92" s="211"/>
      <c r="L92" s="214"/>
      <c r="M92" s="188"/>
    </row>
    <row r="93" spans="1:13" ht="18" customHeight="1" x14ac:dyDescent="0.25">
      <c r="A93" s="188"/>
      <c r="B93" s="221"/>
      <c r="C93" s="221"/>
      <c r="D93" s="222"/>
      <c r="E93" s="211"/>
      <c r="F93" s="214"/>
      <c r="G93" s="216"/>
      <c r="H93" s="221"/>
      <c r="I93" s="221"/>
      <c r="J93" s="222"/>
      <c r="K93" s="211"/>
      <c r="L93" s="214"/>
      <c r="M93" s="188"/>
    </row>
    <row r="94" spans="1:13" ht="18" customHeight="1" x14ac:dyDescent="0.25">
      <c r="A94" s="188"/>
      <c r="B94" s="221"/>
      <c r="C94" s="221"/>
      <c r="D94" s="222"/>
      <c r="E94" s="211"/>
      <c r="F94" s="214"/>
      <c r="G94" s="216"/>
      <c r="H94" s="221"/>
      <c r="I94" s="221"/>
      <c r="J94" s="222"/>
      <c r="K94" s="211"/>
      <c r="L94" s="214"/>
      <c r="M94" s="188"/>
    </row>
    <row r="95" spans="1:13" ht="18" customHeight="1" x14ac:dyDescent="0.25">
      <c r="A95" s="188"/>
      <c r="B95" s="221"/>
      <c r="C95" s="221"/>
      <c r="D95" s="222"/>
      <c r="E95" s="211"/>
      <c r="F95" s="214"/>
      <c r="G95" s="216"/>
      <c r="H95" s="221"/>
      <c r="I95" s="221"/>
      <c r="J95" s="222"/>
      <c r="K95" s="211"/>
      <c r="L95" s="214"/>
      <c r="M95" s="188"/>
    </row>
    <row r="96" spans="1:13" ht="18" customHeight="1" x14ac:dyDescent="0.25">
      <c r="A96" s="188"/>
      <c r="B96" s="221"/>
      <c r="C96" s="221"/>
      <c r="D96" s="222"/>
      <c r="E96" s="211"/>
      <c r="F96" s="214"/>
      <c r="G96" s="216"/>
      <c r="H96" s="221"/>
      <c r="I96" s="221"/>
      <c r="J96" s="222"/>
      <c r="K96" s="211"/>
      <c r="L96" s="214"/>
      <c r="M96" s="188"/>
    </row>
    <row r="97" spans="1:13" ht="18" customHeight="1" x14ac:dyDescent="0.25">
      <c r="A97" s="188"/>
      <c r="B97" s="221"/>
      <c r="C97" s="221"/>
      <c r="D97" s="222"/>
      <c r="E97" s="211"/>
      <c r="F97" s="214"/>
      <c r="G97" s="216"/>
      <c r="H97" s="221"/>
      <c r="I97" s="221"/>
      <c r="J97" s="222"/>
      <c r="K97" s="211"/>
      <c r="L97" s="214"/>
      <c r="M97" s="188"/>
    </row>
    <row r="98" spans="1:13" ht="18" customHeight="1" x14ac:dyDescent="0.25">
      <c r="A98" s="188"/>
      <c r="B98" s="221"/>
      <c r="C98" s="221"/>
      <c r="D98" s="222"/>
      <c r="E98" s="211"/>
      <c r="F98" s="214"/>
      <c r="G98" s="216"/>
      <c r="H98" s="221"/>
      <c r="I98" s="221"/>
      <c r="J98" s="222"/>
      <c r="K98" s="211"/>
      <c r="L98" s="214"/>
      <c r="M98" s="188"/>
    </row>
    <row r="99" spans="1:13" ht="18" customHeight="1" x14ac:dyDescent="0.25">
      <c r="A99" s="188"/>
      <c r="B99" s="221"/>
      <c r="C99" s="221"/>
      <c r="D99" s="222"/>
      <c r="E99" s="211"/>
      <c r="F99" s="214"/>
      <c r="G99" s="216"/>
      <c r="H99" s="221"/>
      <c r="I99" s="221"/>
      <c r="J99" s="222"/>
      <c r="K99" s="211"/>
      <c r="L99" s="214"/>
      <c r="M99" s="188"/>
    </row>
    <row r="100" spans="1:13" ht="18" customHeight="1" x14ac:dyDescent="0.25">
      <c r="A100" s="188"/>
      <c r="B100" s="221"/>
      <c r="C100" s="221"/>
      <c r="D100" s="222"/>
      <c r="E100" s="211"/>
      <c r="F100" s="214"/>
      <c r="G100" s="216"/>
      <c r="H100" s="221"/>
      <c r="I100" s="221"/>
      <c r="J100" s="222"/>
      <c r="K100" s="211"/>
      <c r="L100" s="214"/>
      <c r="M100" s="188"/>
    </row>
    <row r="101" spans="1:13" ht="18" customHeight="1" x14ac:dyDescent="0.25">
      <c r="A101" s="188"/>
      <c r="B101" s="221"/>
      <c r="C101" s="221"/>
      <c r="D101" s="222"/>
      <c r="E101" s="211"/>
      <c r="F101" s="214"/>
      <c r="G101" s="216"/>
      <c r="H101" s="221"/>
      <c r="I101" s="221"/>
      <c r="J101" s="222"/>
      <c r="K101" s="211"/>
      <c r="L101" s="214"/>
      <c r="M101" s="188"/>
    </row>
    <row r="102" spans="1:13" ht="18" customHeight="1" x14ac:dyDescent="0.25">
      <c r="A102" s="188"/>
      <c r="B102" s="221"/>
      <c r="C102" s="221"/>
      <c r="D102" s="222"/>
      <c r="E102" s="211"/>
      <c r="F102" s="214"/>
      <c r="G102" s="216"/>
      <c r="H102" s="221"/>
      <c r="I102" s="221"/>
      <c r="J102" s="222"/>
      <c r="K102" s="211"/>
      <c r="L102" s="214"/>
      <c r="M102" s="188"/>
    </row>
    <row r="103" spans="1:13" ht="18" customHeight="1" x14ac:dyDescent="0.25">
      <c r="A103" s="188"/>
      <c r="B103" s="221"/>
      <c r="C103" s="221"/>
      <c r="D103" s="222"/>
      <c r="E103" s="211"/>
      <c r="F103" s="214"/>
      <c r="G103" s="216"/>
      <c r="H103" s="221"/>
      <c r="I103" s="221"/>
      <c r="J103" s="222"/>
      <c r="K103" s="211"/>
      <c r="L103" s="214"/>
      <c r="M103" s="188"/>
    </row>
    <row r="104" spans="1:13" ht="18" customHeight="1" x14ac:dyDescent="0.25">
      <c r="A104" s="188"/>
      <c r="B104" s="221"/>
      <c r="C104" s="221"/>
      <c r="D104" s="222"/>
      <c r="E104" s="211"/>
      <c r="F104" s="214"/>
      <c r="G104" s="216"/>
      <c r="H104" s="221"/>
      <c r="I104" s="221"/>
      <c r="J104" s="222"/>
      <c r="K104" s="211"/>
      <c r="L104" s="214"/>
      <c r="M104" s="188"/>
    </row>
    <row r="105" spans="1:13" ht="18" customHeight="1" x14ac:dyDescent="0.25">
      <c r="A105" s="188"/>
      <c r="B105" s="221"/>
      <c r="C105" s="221"/>
      <c r="D105" s="222"/>
      <c r="E105" s="211"/>
      <c r="F105" s="214"/>
      <c r="G105" s="216"/>
      <c r="H105" s="221"/>
      <c r="I105" s="221"/>
      <c r="J105" s="222"/>
      <c r="K105" s="211"/>
      <c r="L105" s="214"/>
      <c r="M105" s="188"/>
    </row>
    <row r="106" spans="1:13" ht="18" customHeight="1" x14ac:dyDescent="0.25">
      <c r="A106" s="188"/>
      <c r="B106" s="221"/>
      <c r="C106" s="221"/>
      <c r="D106" s="222"/>
      <c r="E106" s="211"/>
      <c r="F106" s="214"/>
      <c r="G106" s="216"/>
      <c r="H106" s="221"/>
      <c r="I106" s="221"/>
      <c r="J106" s="222"/>
      <c r="K106" s="211"/>
      <c r="L106" s="214"/>
      <c r="M106" s="188"/>
    </row>
    <row r="107" spans="1:13" ht="18" customHeight="1" x14ac:dyDescent="0.25">
      <c r="A107" s="188"/>
      <c r="B107" s="221"/>
      <c r="C107" s="221"/>
      <c r="D107" s="222"/>
      <c r="E107" s="211"/>
      <c r="F107" s="214"/>
      <c r="G107" s="216"/>
      <c r="H107" s="221"/>
      <c r="I107" s="221"/>
      <c r="J107" s="222"/>
      <c r="K107" s="211"/>
      <c r="L107" s="214"/>
      <c r="M107" s="188"/>
    </row>
    <row r="108" spans="1:13" ht="18" customHeight="1" x14ac:dyDescent="0.25">
      <c r="A108" s="188"/>
      <c r="B108" s="221"/>
      <c r="C108" s="221"/>
      <c r="D108" s="222"/>
      <c r="E108" s="211"/>
      <c r="F108" s="214"/>
      <c r="G108" s="216"/>
      <c r="H108" s="221"/>
      <c r="I108" s="221"/>
      <c r="J108" s="222"/>
      <c r="K108" s="211"/>
      <c r="L108" s="214"/>
      <c r="M108" s="188"/>
    </row>
    <row r="109" spans="1:13" ht="18" customHeight="1" x14ac:dyDescent="0.25">
      <c r="A109" s="188"/>
      <c r="B109" s="221"/>
      <c r="C109" s="221"/>
      <c r="D109" s="222"/>
      <c r="E109" s="211"/>
      <c r="F109" s="214"/>
      <c r="G109" s="216"/>
      <c r="H109" s="221"/>
      <c r="I109" s="221"/>
      <c r="J109" s="222"/>
      <c r="K109" s="211"/>
      <c r="L109" s="214"/>
      <c r="M109" s="188"/>
    </row>
    <row r="110" spans="1:13" ht="18" customHeight="1" x14ac:dyDescent="0.25">
      <c r="A110" s="188"/>
      <c r="B110" s="221"/>
      <c r="C110" s="221"/>
      <c r="D110" s="222"/>
      <c r="E110" s="211"/>
      <c r="F110" s="214"/>
      <c r="G110" s="216"/>
      <c r="H110" s="221"/>
      <c r="I110" s="221"/>
      <c r="J110" s="222"/>
      <c r="K110" s="211"/>
      <c r="L110" s="214"/>
      <c r="M110" s="188"/>
    </row>
    <row r="111" spans="1:13" ht="18" customHeight="1" x14ac:dyDescent="0.25">
      <c r="A111" s="188"/>
      <c r="B111" s="221"/>
      <c r="C111" s="221"/>
      <c r="D111" s="222"/>
      <c r="E111" s="211"/>
      <c r="F111" s="214"/>
      <c r="G111" s="216"/>
      <c r="H111" s="221"/>
      <c r="I111" s="221"/>
      <c r="J111" s="222"/>
      <c r="K111" s="211"/>
      <c r="L111" s="214"/>
      <c r="M111" s="188"/>
    </row>
    <row r="112" spans="1:13" ht="18" customHeight="1" x14ac:dyDescent="0.25">
      <c r="A112" s="188"/>
      <c r="B112" s="221"/>
      <c r="C112" s="221"/>
      <c r="D112" s="222"/>
      <c r="E112" s="211"/>
      <c r="F112" s="214"/>
      <c r="G112" s="216"/>
      <c r="H112" s="221"/>
      <c r="I112" s="221"/>
      <c r="J112" s="222"/>
      <c r="K112" s="211"/>
      <c r="L112" s="214"/>
      <c r="M112" s="188"/>
    </row>
    <row r="113" spans="1:13" ht="18" customHeight="1" x14ac:dyDescent="0.25">
      <c r="A113" s="188"/>
      <c r="B113" s="221"/>
      <c r="C113" s="221"/>
      <c r="D113" s="222"/>
      <c r="E113" s="211"/>
      <c r="F113" s="214"/>
      <c r="G113" s="216"/>
      <c r="H113" s="221"/>
      <c r="I113" s="221"/>
      <c r="J113" s="222"/>
      <c r="K113" s="211"/>
      <c r="L113" s="214"/>
      <c r="M113" s="188"/>
    </row>
    <row r="114" spans="1:13" ht="18" customHeight="1" x14ac:dyDescent="0.25">
      <c r="A114" s="188"/>
      <c r="B114" s="221"/>
      <c r="C114" s="221"/>
      <c r="D114" s="222"/>
      <c r="E114" s="211"/>
      <c r="F114" s="214"/>
      <c r="G114" s="216"/>
      <c r="H114" s="221"/>
      <c r="I114" s="221"/>
      <c r="J114" s="222"/>
      <c r="K114" s="211"/>
      <c r="L114" s="214"/>
      <c r="M114" s="188"/>
    </row>
    <row r="115" spans="1:13" ht="18" customHeight="1" x14ac:dyDescent="0.25">
      <c r="A115" s="188"/>
      <c r="B115" s="221"/>
      <c r="C115" s="221"/>
      <c r="D115" s="222"/>
      <c r="E115" s="211"/>
      <c r="F115" s="214"/>
      <c r="G115" s="216"/>
      <c r="H115" s="221"/>
      <c r="I115" s="221"/>
      <c r="J115" s="222"/>
      <c r="K115" s="211"/>
      <c r="L115" s="214"/>
      <c r="M115" s="188"/>
    </row>
    <row r="116" spans="1:13" ht="18" customHeight="1" x14ac:dyDescent="0.25">
      <c r="A116" s="188"/>
      <c r="B116" s="221"/>
      <c r="C116" s="221"/>
      <c r="D116" s="222"/>
      <c r="E116" s="211"/>
      <c r="F116" s="214"/>
      <c r="G116" s="216"/>
      <c r="H116" s="221"/>
      <c r="I116" s="221"/>
      <c r="J116" s="222"/>
      <c r="K116" s="211"/>
      <c r="L116" s="214"/>
      <c r="M116" s="188"/>
    </row>
    <row r="117" spans="1:13" ht="18" customHeight="1" x14ac:dyDescent="0.25">
      <c r="A117" s="188"/>
      <c r="B117" s="221"/>
      <c r="C117" s="221"/>
      <c r="D117" s="222"/>
      <c r="E117" s="211"/>
      <c r="F117" s="214"/>
      <c r="G117" s="216"/>
      <c r="H117" s="221"/>
      <c r="I117" s="221"/>
      <c r="J117" s="222"/>
      <c r="K117" s="211"/>
      <c r="L117" s="214"/>
      <c r="M117" s="188"/>
    </row>
    <row r="118" spans="1:13" ht="18" customHeight="1" x14ac:dyDescent="0.25">
      <c r="A118" s="188"/>
      <c r="B118" s="221"/>
      <c r="C118" s="221"/>
      <c r="D118" s="222"/>
      <c r="E118" s="211"/>
      <c r="F118" s="214"/>
      <c r="G118" s="216"/>
      <c r="H118" s="221"/>
      <c r="I118" s="221"/>
      <c r="J118" s="222"/>
      <c r="K118" s="211"/>
      <c r="L118" s="214"/>
      <c r="M118" s="188"/>
    </row>
    <row r="119" spans="1:13" ht="18" customHeight="1" x14ac:dyDescent="0.25">
      <c r="A119" s="188"/>
      <c r="B119" s="221"/>
      <c r="C119" s="221"/>
      <c r="D119" s="222"/>
      <c r="E119" s="211"/>
      <c r="F119" s="214"/>
      <c r="G119" s="216"/>
      <c r="H119" s="221"/>
      <c r="I119" s="221"/>
      <c r="J119" s="222"/>
      <c r="K119" s="211"/>
      <c r="L119" s="214"/>
      <c r="M119" s="188"/>
    </row>
    <row r="120" spans="1:13" ht="18" customHeight="1" x14ac:dyDescent="0.25">
      <c r="A120" s="188"/>
      <c r="B120" s="221"/>
      <c r="C120" s="221"/>
      <c r="D120" s="222"/>
      <c r="E120" s="211"/>
      <c r="F120" s="214"/>
      <c r="G120" s="216"/>
      <c r="H120" s="221"/>
      <c r="I120" s="221"/>
      <c r="J120" s="222"/>
      <c r="K120" s="211"/>
      <c r="L120" s="214"/>
      <c r="M120" s="188"/>
    </row>
    <row r="121" spans="1:13" ht="18" customHeight="1" x14ac:dyDescent="0.25">
      <c r="A121" s="188"/>
      <c r="B121" s="221"/>
      <c r="C121" s="221"/>
      <c r="D121" s="222"/>
      <c r="E121" s="211"/>
      <c r="F121" s="214"/>
      <c r="G121" s="216"/>
      <c r="H121" s="221"/>
      <c r="I121" s="221"/>
      <c r="J121" s="222"/>
      <c r="K121" s="211"/>
      <c r="L121" s="214"/>
      <c r="M121" s="188"/>
    </row>
    <row r="122" spans="1:13" ht="18" customHeight="1" x14ac:dyDescent="0.25">
      <c r="A122" s="188"/>
      <c r="B122" s="221"/>
      <c r="C122" s="221"/>
      <c r="D122" s="222"/>
      <c r="E122" s="211"/>
      <c r="F122" s="214"/>
      <c r="G122" s="216"/>
      <c r="H122" s="221"/>
      <c r="I122" s="221"/>
      <c r="J122" s="222"/>
      <c r="K122" s="211"/>
      <c r="L122" s="214"/>
      <c r="M122" s="188"/>
    </row>
    <row r="123" spans="1:13" ht="18" customHeight="1" x14ac:dyDescent="0.25">
      <c r="A123" s="188"/>
      <c r="B123" s="221"/>
      <c r="C123" s="221"/>
      <c r="D123" s="222"/>
      <c r="E123" s="211"/>
      <c r="F123" s="214"/>
      <c r="G123" s="216"/>
      <c r="H123" s="221"/>
      <c r="I123" s="221"/>
      <c r="J123" s="222"/>
      <c r="K123" s="211"/>
      <c r="L123" s="214"/>
      <c r="M123" s="188"/>
    </row>
    <row r="124" spans="1:13" ht="18" customHeight="1" x14ac:dyDescent="0.25">
      <c r="A124" s="188"/>
      <c r="B124" s="221"/>
      <c r="C124" s="221"/>
      <c r="D124" s="222"/>
      <c r="E124" s="211"/>
      <c r="F124" s="214"/>
      <c r="G124" s="216"/>
      <c r="H124" s="221"/>
      <c r="I124" s="221"/>
      <c r="J124" s="222"/>
      <c r="K124" s="211"/>
      <c r="L124" s="214"/>
      <c r="M124" s="188"/>
    </row>
    <row r="125" spans="1:13" ht="18" customHeight="1" x14ac:dyDescent="0.25">
      <c r="A125" s="188"/>
      <c r="B125" s="221"/>
      <c r="C125" s="221"/>
      <c r="D125" s="222"/>
      <c r="E125" s="211"/>
      <c r="F125" s="214"/>
      <c r="G125" s="216"/>
      <c r="H125" s="221"/>
      <c r="I125" s="221"/>
      <c r="J125" s="222"/>
      <c r="K125" s="211"/>
      <c r="L125" s="214"/>
      <c r="M125" s="188"/>
    </row>
    <row r="126" spans="1:13" ht="18" customHeight="1" x14ac:dyDescent="0.25">
      <c r="A126" s="188"/>
      <c r="B126" s="221"/>
      <c r="C126" s="221"/>
      <c r="D126" s="222"/>
      <c r="E126" s="211"/>
      <c r="F126" s="214"/>
      <c r="G126" s="216"/>
      <c r="H126" s="221"/>
      <c r="I126" s="221"/>
      <c r="J126" s="222"/>
      <c r="K126" s="211"/>
      <c r="L126" s="214"/>
      <c r="M126" s="188"/>
    </row>
    <row r="127" spans="1:13" ht="18" customHeight="1" x14ac:dyDescent="0.25">
      <c r="A127" s="188"/>
      <c r="B127" s="221"/>
      <c r="C127" s="221"/>
      <c r="D127" s="222"/>
      <c r="E127" s="211"/>
      <c r="F127" s="214"/>
      <c r="G127" s="216"/>
      <c r="H127" s="221"/>
      <c r="I127" s="221"/>
      <c r="J127" s="222"/>
      <c r="K127" s="211"/>
      <c r="L127" s="214"/>
      <c r="M127" s="188"/>
    </row>
    <row r="128" spans="1:13" ht="18" customHeight="1" x14ac:dyDescent="0.25">
      <c r="A128" s="188"/>
      <c r="B128" s="221"/>
      <c r="C128" s="221"/>
      <c r="D128" s="222"/>
      <c r="E128" s="211"/>
      <c r="F128" s="214"/>
      <c r="G128" s="216"/>
      <c r="H128" s="221"/>
      <c r="I128" s="221"/>
      <c r="J128" s="222"/>
      <c r="K128" s="211"/>
      <c r="L128" s="214"/>
      <c r="M128" s="188"/>
    </row>
    <row r="129" spans="1:13" ht="18" customHeight="1" x14ac:dyDescent="0.25">
      <c r="A129" s="188"/>
      <c r="B129" s="221"/>
      <c r="C129" s="221"/>
      <c r="D129" s="222"/>
      <c r="E129" s="211"/>
      <c r="F129" s="214"/>
      <c r="G129" s="216"/>
      <c r="H129" s="221"/>
      <c r="I129" s="221"/>
      <c r="J129" s="222"/>
      <c r="K129" s="211"/>
      <c r="L129" s="214"/>
      <c r="M129" s="188"/>
    </row>
    <row r="130" spans="1:13" ht="18" customHeight="1" x14ac:dyDescent="0.25">
      <c r="A130" s="188"/>
      <c r="B130" s="221"/>
      <c r="C130" s="221"/>
      <c r="D130" s="222"/>
      <c r="E130" s="211"/>
      <c r="F130" s="214"/>
      <c r="G130" s="216"/>
      <c r="H130" s="221"/>
      <c r="I130" s="221"/>
      <c r="J130" s="222"/>
      <c r="K130" s="211"/>
      <c r="L130" s="214"/>
      <c r="M130" s="188"/>
    </row>
    <row r="131" spans="1:13" ht="18" customHeight="1" x14ac:dyDescent="0.25">
      <c r="A131" s="188"/>
      <c r="B131" s="221"/>
      <c r="C131" s="221"/>
      <c r="D131" s="222"/>
      <c r="E131" s="211"/>
      <c r="F131" s="214"/>
      <c r="G131" s="216"/>
      <c r="H131" s="221"/>
      <c r="I131" s="221"/>
      <c r="J131" s="222"/>
      <c r="K131" s="211"/>
      <c r="L131" s="214"/>
      <c r="M131" s="188"/>
    </row>
    <row r="132" spans="1:13" ht="18" customHeight="1" x14ac:dyDescent="0.25">
      <c r="A132" s="188"/>
      <c r="B132" s="221"/>
      <c r="C132" s="221"/>
      <c r="D132" s="222"/>
      <c r="E132" s="211"/>
      <c r="F132" s="214"/>
      <c r="G132" s="216"/>
      <c r="H132" s="221"/>
      <c r="I132" s="221"/>
      <c r="J132" s="222"/>
      <c r="K132" s="211"/>
      <c r="L132" s="214"/>
      <c r="M132" s="188"/>
    </row>
    <row r="133" spans="1:13" ht="18" customHeight="1" x14ac:dyDescent="0.25">
      <c r="A133" s="188"/>
      <c r="B133" s="221"/>
      <c r="C133" s="221"/>
      <c r="D133" s="222"/>
      <c r="E133" s="211"/>
      <c r="F133" s="214"/>
      <c r="G133" s="216"/>
      <c r="H133" s="221"/>
      <c r="I133" s="221"/>
      <c r="J133" s="222"/>
      <c r="K133" s="211"/>
      <c r="L133" s="214"/>
      <c r="M133" s="188"/>
    </row>
    <row r="134" spans="1:13" ht="18" customHeight="1" x14ac:dyDescent="0.25">
      <c r="A134" s="188"/>
      <c r="B134" s="221"/>
      <c r="C134" s="221"/>
      <c r="D134" s="222"/>
      <c r="E134" s="211"/>
      <c r="F134" s="214"/>
      <c r="G134" s="216"/>
      <c r="H134" s="221"/>
      <c r="I134" s="221"/>
      <c r="J134" s="222"/>
      <c r="K134" s="211"/>
      <c r="L134" s="214"/>
      <c r="M134" s="188"/>
    </row>
    <row r="135" spans="1:13" ht="18" customHeight="1" x14ac:dyDescent="0.25">
      <c r="A135" s="188"/>
      <c r="B135" s="221"/>
      <c r="C135" s="221"/>
      <c r="D135" s="222"/>
      <c r="E135" s="211"/>
      <c r="F135" s="214"/>
      <c r="G135" s="216"/>
      <c r="H135" s="221"/>
      <c r="I135" s="221"/>
      <c r="J135" s="222"/>
      <c r="K135" s="211"/>
      <c r="L135" s="214"/>
      <c r="M135" s="188"/>
    </row>
    <row r="136" spans="1:13" ht="18" customHeight="1" x14ac:dyDescent="0.25">
      <c r="A136" s="188"/>
      <c r="B136" s="221"/>
      <c r="C136" s="221"/>
      <c r="D136" s="222"/>
      <c r="E136" s="211"/>
      <c r="F136" s="214"/>
      <c r="G136" s="216"/>
      <c r="H136" s="221"/>
      <c r="I136" s="221"/>
      <c r="J136" s="222"/>
      <c r="K136" s="211"/>
      <c r="L136" s="214"/>
      <c r="M136" s="188"/>
    </row>
    <row r="137" spans="1:13" ht="18" customHeight="1" x14ac:dyDescent="0.25">
      <c r="A137" s="188"/>
      <c r="B137" s="221"/>
      <c r="C137" s="221"/>
      <c r="D137" s="222"/>
      <c r="E137" s="211"/>
      <c r="F137" s="214"/>
      <c r="G137" s="216"/>
      <c r="H137" s="221"/>
      <c r="I137" s="221"/>
      <c r="J137" s="222"/>
      <c r="K137" s="211"/>
      <c r="L137" s="214"/>
      <c r="M137" s="188"/>
    </row>
    <row r="138" spans="1:13" ht="18" customHeight="1" x14ac:dyDescent="0.25">
      <c r="A138" s="188"/>
      <c r="B138" s="221"/>
      <c r="C138" s="221"/>
      <c r="D138" s="222"/>
      <c r="E138" s="211"/>
      <c r="F138" s="214"/>
      <c r="G138" s="216"/>
      <c r="H138" s="221"/>
      <c r="I138" s="221"/>
      <c r="J138" s="222"/>
      <c r="K138" s="211"/>
      <c r="L138" s="214"/>
      <c r="M138" s="188"/>
    </row>
    <row r="139" spans="1:13" ht="18" customHeight="1" x14ac:dyDescent="0.25">
      <c r="A139" s="188"/>
      <c r="B139" s="221"/>
      <c r="C139" s="221"/>
      <c r="D139" s="222"/>
      <c r="E139" s="211"/>
      <c r="F139" s="214"/>
      <c r="G139" s="216"/>
      <c r="H139" s="221"/>
      <c r="I139" s="221"/>
      <c r="J139" s="222"/>
      <c r="K139" s="211"/>
      <c r="L139" s="214"/>
      <c r="M139" s="188"/>
    </row>
    <row r="140" spans="1:13" ht="18" customHeight="1" x14ac:dyDescent="0.25">
      <c r="A140" s="188"/>
      <c r="B140" s="221"/>
      <c r="C140" s="221"/>
      <c r="D140" s="222"/>
      <c r="E140" s="211"/>
      <c r="F140" s="214"/>
      <c r="G140" s="216"/>
      <c r="H140" s="221"/>
      <c r="I140" s="221"/>
      <c r="J140" s="222"/>
      <c r="K140" s="211"/>
      <c r="L140" s="214"/>
      <c r="M140" s="188"/>
    </row>
    <row r="141" spans="1:13" ht="18" customHeight="1" x14ac:dyDescent="0.25">
      <c r="A141" s="188"/>
      <c r="B141" s="221"/>
      <c r="C141" s="221"/>
      <c r="D141" s="222"/>
      <c r="E141" s="211"/>
      <c r="F141" s="214"/>
      <c r="G141" s="216"/>
      <c r="H141" s="221"/>
      <c r="I141" s="221"/>
      <c r="J141" s="222"/>
      <c r="K141" s="211"/>
      <c r="L141" s="214"/>
      <c r="M141" s="188"/>
    </row>
    <row r="142" spans="1:13" ht="18" customHeight="1" x14ac:dyDescent="0.25">
      <c r="A142" s="188"/>
      <c r="B142" s="221"/>
      <c r="C142" s="221"/>
      <c r="D142" s="222"/>
      <c r="E142" s="211"/>
      <c r="F142" s="214"/>
      <c r="G142" s="216"/>
      <c r="H142" s="221"/>
      <c r="I142" s="221"/>
      <c r="J142" s="222"/>
      <c r="K142" s="211"/>
      <c r="L142" s="214"/>
      <c r="M142" s="188"/>
    </row>
    <row r="143" spans="1:13" ht="18" customHeight="1" x14ac:dyDescent="0.25">
      <c r="A143" s="188"/>
      <c r="B143" s="221"/>
      <c r="C143" s="221"/>
      <c r="D143" s="222"/>
      <c r="E143" s="211"/>
      <c r="F143" s="214"/>
      <c r="G143" s="216"/>
      <c r="H143" s="221"/>
      <c r="I143" s="221"/>
      <c r="J143" s="222"/>
      <c r="K143" s="211"/>
      <c r="L143" s="214"/>
      <c r="M143" s="188"/>
    </row>
    <row r="144" spans="1:13" ht="18" customHeight="1" x14ac:dyDescent="0.25">
      <c r="A144" s="188"/>
      <c r="B144" s="221"/>
      <c r="C144" s="221"/>
      <c r="D144" s="222"/>
      <c r="E144" s="211"/>
      <c r="F144" s="214"/>
      <c r="G144" s="216"/>
      <c r="H144" s="221"/>
      <c r="I144" s="221"/>
      <c r="J144" s="222"/>
      <c r="K144" s="211"/>
      <c r="L144" s="214"/>
      <c r="M144" s="188"/>
    </row>
    <row r="145" spans="1:13" ht="18" customHeight="1" x14ac:dyDescent="0.25">
      <c r="A145" s="188"/>
      <c r="B145" s="221"/>
      <c r="C145" s="221"/>
      <c r="D145" s="222"/>
      <c r="E145" s="211"/>
      <c r="F145" s="214"/>
      <c r="G145" s="216"/>
      <c r="H145" s="221"/>
      <c r="I145" s="221"/>
      <c r="J145" s="222"/>
      <c r="K145" s="211"/>
      <c r="L145" s="214"/>
      <c r="M145" s="188"/>
    </row>
    <row r="146" spans="1:13" ht="18" customHeight="1" x14ac:dyDescent="0.25">
      <c r="A146" s="188"/>
      <c r="B146" s="221"/>
      <c r="C146" s="221"/>
      <c r="D146" s="222"/>
      <c r="E146" s="211"/>
      <c r="F146" s="214"/>
      <c r="G146" s="216"/>
      <c r="H146" s="221"/>
      <c r="I146" s="221"/>
      <c r="J146" s="222"/>
      <c r="K146" s="211"/>
      <c r="L146" s="214"/>
      <c r="M146" s="188"/>
    </row>
    <row r="147" spans="1:13" ht="18" customHeight="1" x14ac:dyDescent="0.25">
      <c r="A147" s="188"/>
      <c r="B147" s="221"/>
      <c r="C147" s="221"/>
      <c r="D147" s="222"/>
      <c r="E147" s="211"/>
      <c r="F147" s="214"/>
      <c r="G147" s="216"/>
      <c r="H147" s="221"/>
      <c r="I147" s="221"/>
      <c r="J147" s="222"/>
      <c r="K147" s="211"/>
      <c r="L147" s="214"/>
      <c r="M147" s="188"/>
    </row>
    <row r="148" spans="1:13" ht="18" customHeight="1" x14ac:dyDescent="0.25">
      <c r="A148" s="188"/>
      <c r="B148" s="221"/>
      <c r="C148" s="221"/>
      <c r="D148" s="222"/>
      <c r="E148" s="211"/>
      <c r="F148" s="214"/>
      <c r="G148" s="216"/>
      <c r="H148" s="221"/>
      <c r="I148" s="221"/>
      <c r="J148" s="222"/>
      <c r="K148" s="211"/>
      <c r="L148" s="214"/>
      <c r="M148" s="188"/>
    </row>
    <row r="149" spans="1:13" ht="18" customHeight="1" x14ac:dyDescent="0.25">
      <c r="A149" s="188"/>
      <c r="B149" s="221"/>
      <c r="C149" s="221"/>
      <c r="D149" s="222"/>
      <c r="E149" s="211"/>
      <c r="F149" s="214"/>
      <c r="G149" s="216"/>
      <c r="H149" s="221"/>
      <c r="I149" s="221"/>
      <c r="J149" s="222"/>
      <c r="K149" s="211"/>
      <c r="L149" s="214"/>
      <c r="M149" s="188"/>
    </row>
    <row r="150" spans="1:13" ht="18" customHeight="1" x14ac:dyDescent="0.25">
      <c r="A150" s="188"/>
      <c r="B150" s="221"/>
      <c r="C150" s="221"/>
      <c r="D150" s="222"/>
      <c r="E150" s="211"/>
      <c r="F150" s="214"/>
      <c r="G150" s="216"/>
      <c r="H150" s="221"/>
      <c r="I150" s="221"/>
      <c r="J150" s="222"/>
      <c r="K150" s="211"/>
      <c r="L150" s="214"/>
      <c r="M150" s="188"/>
    </row>
    <row r="151" spans="1:13" ht="18" customHeight="1" x14ac:dyDescent="0.25">
      <c r="A151" s="188"/>
      <c r="B151" s="221"/>
      <c r="C151" s="221"/>
      <c r="D151" s="222"/>
      <c r="E151" s="211"/>
      <c r="F151" s="214"/>
      <c r="G151" s="216"/>
      <c r="H151" s="221"/>
      <c r="I151" s="221"/>
      <c r="J151" s="222"/>
      <c r="K151" s="211"/>
      <c r="L151" s="214"/>
      <c r="M151" s="188"/>
    </row>
    <row r="152" spans="1:13" ht="18" customHeight="1" x14ac:dyDescent="0.25">
      <c r="A152" s="188"/>
      <c r="B152" s="221"/>
      <c r="C152" s="221"/>
      <c r="D152" s="222"/>
      <c r="E152" s="211"/>
      <c r="F152" s="214"/>
      <c r="G152" s="216"/>
      <c r="H152" s="221"/>
      <c r="I152" s="221"/>
      <c r="J152" s="222"/>
      <c r="K152" s="211"/>
      <c r="L152" s="214"/>
      <c r="M152" s="188"/>
    </row>
    <row r="153" spans="1:13" ht="18" customHeight="1" x14ac:dyDescent="0.25">
      <c r="A153" s="188"/>
      <c r="B153" s="221"/>
      <c r="C153" s="221"/>
      <c r="D153" s="222"/>
      <c r="E153" s="211"/>
      <c r="F153" s="214"/>
      <c r="G153" s="216"/>
      <c r="H153" s="221"/>
      <c r="I153" s="221"/>
      <c r="J153" s="222"/>
      <c r="K153" s="211"/>
      <c r="L153" s="214"/>
      <c r="M153" s="188"/>
    </row>
    <row r="154" spans="1:13" ht="18" customHeight="1" x14ac:dyDescent="0.25">
      <c r="A154" s="188"/>
      <c r="B154" s="221"/>
      <c r="C154" s="221"/>
      <c r="D154" s="222"/>
      <c r="E154" s="211"/>
      <c r="F154" s="214"/>
      <c r="G154" s="216"/>
      <c r="H154" s="221"/>
      <c r="I154" s="221"/>
      <c r="J154" s="222"/>
      <c r="K154" s="211"/>
      <c r="L154" s="214"/>
      <c r="M154" s="188"/>
    </row>
    <row r="155" spans="1:13" ht="18" customHeight="1" x14ac:dyDescent="0.25">
      <c r="A155" s="188"/>
      <c r="B155" s="221"/>
      <c r="C155" s="221"/>
      <c r="D155" s="222"/>
      <c r="E155" s="211"/>
      <c r="F155" s="214"/>
      <c r="G155" s="216"/>
      <c r="H155" s="221"/>
      <c r="I155" s="221"/>
      <c r="J155" s="222"/>
      <c r="K155" s="211"/>
      <c r="L155" s="214"/>
      <c r="M155" s="188"/>
    </row>
    <row r="156" spans="1:13" ht="18" customHeight="1" x14ac:dyDescent="0.25">
      <c r="A156" s="188"/>
      <c r="B156" s="221"/>
      <c r="C156" s="221"/>
      <c r="D156" s="222"/>
      <c r="E156" s="211"/>
      <c r="F156" s="214"/>
      <c r="G156" s="216"/>
      <c r="H156" s="221"/>
      <c r="I156" s="221"/>
      <c r="J156" s="222"/>
      <c r="K156" s="211"/>
      <c r="L156" s="214"/>
      <c r="M156" s="188"/>
    </row>
    <row r="157" spans="1:13" ht="18" customHeight="1" x14ac:dyDescent="0.25">
      <c r="A157" s="188"/>
      <c r="B157" s="221"/>
      <c r="C157" s="221"/>
      <c r="D157" s="222"/>
      <c r="E157" s="211"/>
      <c r="F157" s="214"/>
      <c r="G157" s="216"/>
      <c r="H157" s="221"/>
      <c r="I157" s="221"/>
      <c r="J157" s="222"/>
      <c r="K157" s="211"/>
      <c r="L157" s="214"/>
      <c r="M157" s="188"/>
    </row>
    <row r="158" spans="1:13" ht="18" customHeight="1" x14ac:dyDescent="0.25">
      <c r="A158" s="188"/>
      <c r="B158" s="221"/>
      <c r="C158" s="221"/>
      <c r="D158" s="222"/>
      <c r="E158" s="211"/>
      <c r="F158" s="214"/>
      <c r="G158" s="216"/>
      <c r="H158" s="221"/>
      <c r="I158" s="221"/>
      <c r="J158" s="222"/>
      <c r="K158" s="211"/>
      <c r="L158" s="214"/>
      <c r="M158" s="188"/>
    </row>
    <row r="159" spans="1:13" ht="18" customHeight="1" x14ac:dyDescent="0.25">
      <c r="A159" s="188"/>
      <c r="B159" s="221"/>
      <c r="C159" s="221"/>
      <c r="D159" s="222"/>
      <c r="E159" s="211"/>
      <c r="F159" s="214"/>
      <c r="G159" s="216"/>
      <c r="H159" s="221"/>
      <c r="I159" s="221"/>
      <c r="J159" s="222"/>
      <c r="K159" s="211"/>
      <c r="L159" s="214"/>
      <c r="M159" s="188"/>
    </row>
    <row r="160" spans="1:13" ht="18" customHeight="1" x14ac:dyDescent="0.25">
      <c r="A160" s="188"/>
      <c r="B160" s="221"/>
      <c r="C160" s="221"/>
      <c r="D160" s="222"/>
      <c r="E160" s="211"/>
      <c r="F160" s="214"/>
      <c r="G160" s="216"/>
      <c r="H160" s="221"/>
      <c r="I160" s="221"/>
      <c r="J160" s="222"/>
      <c r="K160" s="211"/>
      <c r="L160" s="214"/>
      <c r="M160" s="188"/>
    </row>
    <row r="161" spans="1:13" ht="18" customHeight="1" x14ac:dyDescent="0.25">
      <c r="A161" s="188"/>
      <c r="B161" s="221"/>
      <c r="C161" s="221"/>
      <c r="D161" s="222"/>
      <c r="E161" s="211"/>
      <c r="F161" s="214"/>
      <c r="G161" s="216"/>
      <c r="H161" s="221"/>
      <c r="I161" s="221"/>
      <c r="J161" s="222"/>
      <c r="K161" s="211"/>
      <c r="L161" s="214"/>
      <c r="M161" s="188"/>
    </row>
    <row r="162" spans="1:13" ht="18" customHeight="1" x14ac:dyDescent="0.25">
      <c r="A162" s="188"/>
      <c r="B162" s="221"/>
      <c r="C162" s="221"/>
      <c r="D162" s="222"/>
      <c r="E162" s="211"/>
      <c r="F162" s="214"/>
      <c r="G162" s="216"/>
      <c r="H162" s="221"/>
      <c r="I162" s="221"/>
      <c r="J162" s="222"/>
      <c r="K162" s="211"/>
      <c r="L162" s="214"/>
      <c r="M162" s="188"/>
    </row>
    <row r="163" spans="1:13" ht="18" customHeight="1" x14ac:dyDescent="0.25">
      <c r="A163" s="188"/>
      <c r="B163" s="221"/>
      <c r="C163" s="221"/>
      <c r="D163" s="222"/>
      <c r="E163" s="211"/>
      <c r="F163" s="214"/>
      <c r="G163" s="216"/>
      <c r="H163" s="221"/>
      <c r="I163" s="221"/>
      <c r="J163" s="222"/>
      <c r="K163" s="211"/>
      <c r="L163" s="214"/>
      <c r="M163" s="188"/>
    </row>
    <row r="164" spans="1:13" ht="18" customHeight="1" x14ac:dyDescent="0.25">
      <c r="A164" s="188"/>
      <c r="B164" s="221"/>
      <c r="C164" s="221"/>
      <c r="D164" s="222"/>
      <c r="E164" s="211"/>
      <c r="F164" s="214"/>
      <c r="G164" s="216"/>
      <c r="H164" s="221"/>
      <c r="I164" s="221"/>
      <c r="J164" s="222"/>
      <c r="K164" s="211"/>
      <c r="L164" s="214"/>
      <c r="M164" s="188"/>
    </row>
    <row r="165" spans="1:13" ht="18" customHeight="1" x14ac:dyDescent="0.25">
      <c r="A165" s="188"/>
      <c r="B165" s="221"/>
      <c r="C165" s="221"/>
      <c r="D165" s="222"/>
      <c r="E165" s="211"/>
      <c r="F165" s="214"/>
      <c r="G165" s="216"/>
      <c r="H165" s="221"/>
      <c r="I165" s="221"/>
      <c r="J165" s="222"/>
      <c r="K165" s="211"/>
      <c r="L165" s="214"/>
      <c r="M165" s="188"/>
    </row>
    <row r="166" spans="1:13" ht="18" customHeight="1" x14ac:dyDescent="0.25">
      <c r="A166" s="188"/>
      <c r="B166" s="221"/>
      <c r="C166" s="221"/>
      <c r="D166" s="222"/>
      <c r="E166" s="211"/>
      <c r="F166" s="214"/>
      <c r="G166" s="216"/>
      <c r="H166" s="221"/>
      <c r="I166" s="221"/>
      <c r="J166" s="222"/>
      <c r="K166" s="211"/>
      <c r="L166" s="214"/>
      <c r="M166" s="188"/>
    </row>
    <row r="167" spans="1:13" ht="18" customHeight="1" x14ac:dyDescent="0.25">
      <c r="A167" s="188"/>
      <c r="B167" s="221"/>
      <c r="C167" s="221"/>
      <c r="D167" s="222"/>
      <c r="E167" s="211"/>
      <c r="F167" s="214"/>
      <c r="G167" s="216"/>
      <c r="H167" s="221"/>
      <c r="I167" s="221"/>
      <c r="J167" s="222"/>
      <c r="K167" s="211"/>
      <c r="L167" s="214"/>
      <c r="M167" s="188"/>
    </row>
    <row r="168" spans="1:13" ht="18" customHeight="1" x14ac:dyDescent="0.25">
      <c r="A168" s="188"/>
      <c r="B168" s="221"/>
      <c r="C168" s="221"/>
      <c r="D168" s="222"/>
      <c r="E168" s="211"/>
      <c r="F168" s="214"/>
      <c r="G168" s="216"/>
      <c r="H168" s="221"/>
      <c r="I168" s="221"/>
      <c r="J168" s="222"/>
      <c r="K168" s="211"/>
      <c r="L168" s="214"/>
      <c r="M168" s="188"/>
    </row>
    <row r="169" spans="1:13" ht="18" customHeight="1" x14ac:dyDescent="0.25">
      <c r="A169" s="188"/>
      <c r="B169" s="221"/>
      <c r="C169" s="221"/>
      <c r="D169" s="222"/>
      <c r="E169" s="211"/>
      <c r="F169" s="214"/>
      <c r="G169" s="216"/>
      <c r="H169" s="221"/>
      <c r="I169" s="221"/>
      <c r="J169" s="222"/>
      <c r="K169" s="211"/>
      <c r="L169" s="214"/>
      <c r="M169" s="188"/>
    </row>
    <row r="170" spans="1:13" ht="18" customHeight="1" x14ac:dyDescent="0.25">
      <c r="A170" s="188"/>
      <c r="B170" s="221"/>
      <c r="C170" s="221"/>
      <c r="D170" s="222"/>
      <c r="E170" s="211"/>
      <c r="F170" s="214"/>
      <c r="G170" s="216"/>
      <c r="H170" s="221"/>
      <c r="I170" s="221"/>
      <c r="J170" s="222"/>
      <c r="K170" s="211"/>
      <c r="L170" s="214"/>
      <c r="M170" s="188"/>
    </row>
    <row r="171" spans="1:13" ht="18" customHeight="1" x14ac:dyDescent="0.25">
      <c r="A171" s="188"/>
      <c r="B171" s="221"/>
      <c r="C171" s="221"/>
      <c r="D171" s="222"/>
      <c r="E171" s="211"/>
      <c r="F171" s="214"/>
      <c r="G171" s="216"/>
      <c r="H171" s="221"/>
      <c r="I171" s="221"/>
      <c r="J171" s="222"/>
      <c r="K171" s="211"/>
      <c r="L171" s="214"/>
      <c r="M171" s="188"/>
    </row>
    <row r="172" spans="1:13" ht="18" customHeight="1" x14ac:dyDescent="0.25">
      <c r="A172" s="188"/>
      <c r="B172" s="221"/>
      <c r="C172" s="221"/>
      <c r="D172" s="222"/>
      <c r="E172" s="211"/>
      <c r="F172" s="214"/>
      <c r="G172" s="216"/>
      <c r="H172" s="221"/>
      <c r="I172" s="221"/>
      <c r="J172" s="222"/>
      <c r="K172" s="211"/>
      <c r="L172" s="214"/>
      <c r="M172" s="188"/>
    </row>
    <row r="173" spans="1:13" ht="18" customHeight="1" x14ac:dyDescent="0.25">
      <c r="A173" s="188"/>
      <c r="B173" s="221"/>
      <c r="C173" s="221"/>
      <c r="D173" s="222"/>
      <c r="E173" s="211"/>
      <c r="F173" s="214"/>
      <c r="G173" s="216"/>
      <c r="H173" s="221"/>
      <c r="I173" s="221"/>
      <c r="J173" s="222"/>
      <c r="K173" s="211"/>
      <c r="L173" s="214"/>
      <c r="M173" s="188"/>
    </row>
    <row r="174" spans="1:13" ht="18" customHeight="1" x14ac:dyDescent="0.25">
      <c r="A174" s="188"/>
      <c r="B174" s="221"/>
      <c r="C174" s="221"/>
      <c r="D174" s="222"/>
      <c r="E174" s="211"/>
      <c r="F174" s="214"/>
      <c r="G174" s="216"/>
      <c r="H174" s="221"/>
      <c r="I174" s="221"/>
      <c r="J174" s="222"/>
      <c r="K174" s="211"/>
      <c r="L174" s="214"/>
      <c r="M174" s="188"/>
    </row>
    <row r="175" spans="1:13" ht="18" customHeight="1" x14ac:dyDescent="0.25">
      <c r="A175" s="188"/>
      <c r="B175" s="221"/>
      <c r="C175" s="221"/>
      <c r="D175" s="222"/>
      <c r="E175" s="211"/>
      <c r="F175" s="214"/>
      <c r="G175" s="216"/>
      <c r="H175" s="221"/>
      <c r="I175" s="221"/>
      <c r="J175" s="222"/>
      <c r="K175" s="211"/>
      <c r="L175" s="214"/>
      <c r="M175" s="188"/>
    </row>
    <row r="176" spans="1:13" ht="18" customHeight="1" x14ac:dyDescent="0.25">
      <c r="A176" s="188"/>
      <c r="B176" s="221"/>
      <c r="C176" s="221"/>
      <c r="D176" s="222"/>
      <c r="E176" s="211"/>
      <c r="F176" s="214"/>
      <c r="G176" s="216"/>
      <c r="H176" s="221"/>
      <c r="I176" s="221"/>
      <c r="J176" s="222"/>
      <c r="K176" s="211"/>
      <c r="L176" s="214"/>
      <c r="M176" s="188"/>
    </row>
    <row r="177" spans="1:13" ht="18" customHeight="1" x14ac:dyDescent="0.25">
      <c r="A177" s="188"/>
      <c r="B177" s="221"/>
      <c r="C177" s="221"/>
      <c r="D177" s="222"/>
      <c r="E177" s="211"/>
      <c r="F177" s="214"/>
      <c r="G177" s="216"/>
      <c r="H177" s="221"/>
      <c r="I177" s="221"/>
      <c r="J177" s="222"/>
      <c r="K177" s="211"/>
      <c r="L177" s="214"/>
      <c r="M177" s="188"/>
    </row>
    <row r="178" spans="1:13" ht="18" customHeight="1" x14ac:dyDescent="0.25">
      <c r="A178" s="188"/>
      <c r="B178" s="221"/>
      <c r="C178" s="221"/>
      <c r="D178" s="222"/>
      <c r="E178" s="211"/>
      <c r="F178" s="214"/>
      <c r="G178" s="216"/>
      <c r="H178" s="221"/>
      <c r="I178" s="221"/>
      <c r="J178" s="222"/>
      <c r="K178" s="211"/>
      <c r="L178" s="214"/>
      <c r="M178" s="188"/>
    </row>
    <row r="179" spans="1:13" ht="18" customHeight="1" x14ac:dyDescent="0.25">
      <c r="A179" s="188"/>
      <c r="B179" s="221"/>
      <c r="C179" s="221"/>
      <c r="D179" s="222"/>
      <c r="E179" s="211"/>
      <c r="F179" s="214"/>
      <c r="G179" s="216"/>
      <c r="H179" s="221"/>
      <c r="I179" s="221"/>
      <c r="J179" s="222"/>
      <c r="K179" s="211"/>
      <c r="L179" s="214"/>
      <c r="M179" s="188"/>
    </row>
    <row r="180" spans="1:13" ht="18" customHeight="1" x14ac:dyDescent="0.25">
      <c r="A180" s="188"/>
      <c r="B180" s="221"/>
      <c r="C180" s="221"/>
      <c r="D180" s="222"/>
      <c r="E180" s="211"/>
      <c r="F180" s="214"/>
      <c r="G180" s="216"/>
      <c r="H180" s="221"/>
      <c r="I180" s="221"/>
      <c r="J180" s="222"/>
      <c r="K180" s="211"/>
      <c r="L180" s="214"/>
      <c r="M180" s="188"/>
    </row>
    <row r="181" spans="1:13" ht="18" customHeight="1" x14ac:dyDescent="0.25">
      <c r="A181" s="188"/>
      <c r="B181" s="221"/>
      <c r="C181" s="221"/>
      <c r="D181" s="222"/>
      <c r="E181" s="211"/>
      <c r="F181" s="214"/>
      <c r="G181" s="216"/>
      <c r="H181" s="221"/>
      <c r="I181" s="221"/>
      <c r="J181" s="222"/>
      <c r="K181" s="211"/>
      <c r="L181" s="214"/>
      <c r="M181" s="188"/>
    </row>
    <row r="182" spans="1:13" ht="18" customHeight="1" x14ac:dyDescent="0.25">
      <c r="A182" s="188"/>
      <c r="B182" s="221"/>
      <c r="C182" s="221"/>
      <c r="D182" s="222"/>
      <c r="E182" s="211"/>
      <c r="F182" s="214"/>
      <c r="G182" s="216"/>
      <c r="H182" s="221"/>
      <c r="I182" s="221"/>
      <c r="J182" s="222"/>
      <c r="K182" s="211"/>
      <c r="L182" s="214"/>
      <c r="M182" s="188"/>
    </row>
    <row r="183" spans="1:13" ht="18" customHeight="1" x14ac:dyDescent="0.25">
      <c r="A183" s="188"/>
      <c r="B183" s="221"/>
      <c r="C183" s="221"/>
      <c r="D183" s="222"/>
      <c r="E183" s="211"/>
      <c r="F183" s="214"/>
      <c r="G183" s="216"/>
      <c r="H183" s="221"/>
      <c r="I183" s="221"/>
      <c r="J183" s="222"/>
      <c r="K183" s="211"/>
      <c r="L183" s="214"/>
      <c r="M183" s="188"/>
    </row>
    <row r="184" spans="1:13" ht="18" customHeight="1" x14ac:dyDescent="0.25">
      <c r="A184" s="188"/>
      <c r="B184" s="221"/>
      <c r="C184" s="221"/>
      <c r="D184" s="222"/>
      <c r="E184" s="211"/>
      <c r="F184" s="214"/>
      <c r="G184" s="216"/>
      <c r="H184" s="221"/>
      <c r="I184" s="221"/>
      <c r="J184" s="222"/>
      <c r="K184" s="211"/>
      <c r="L184" s="214"/>
      <c r="M184" s="188"/>
    </row>
    <row r="185" spans="1:13" ht="18" customHeight="1" x14ac:dyDescent="0.25">
      <c r="A185" s="188"/>
      <c r="B185" s="221"/>
      <c r="C185" s="221"/>
      <c r="D185" s="222"/>
      <c r="E185" s="211"/>
      <c r="F185" s="214"/>
      <c r="G185" s="216"/>
      <c r="H185" s="221"/>
      <c r="I185" s="221"/>
      <c r="J185" s="222"/>
      <c r="K185" s="211"/>
      <c r="L185" s="214"/>
      <c r="M185" s="188"/>
    </row>
    <row r="186" spans="1:13" ht="18" customHeight="1" x14ac:dyDescent="0.25">
      <c r="A186" s="188"/>
      <c r="B186" s="221"/>
      <c r="C186" s="221"/>
      <c r="D186" s="222"/>
      <c r="E186" s="211"/>
      <c r="F186" s="214"/>
      <c r="G186" s="216"/>
      <c r="H186" s="221"/>
      <c r="I186" s="221"/>
      <c r="J186" s="222"/>
      <c r="K186" s="211"/>
      <c r="L186" s="214"/>
      <c r="M186" s="188"/>
    </row>
    <row r="187" spans="1:13" ht="18" customHeight="1" x14ac:dyDescent="0.25">
      <c r="A187" s="188"/>
      <c r="B187" s="221"/>
      <c r="C187" s="221"/>
      <c r="D187" s="222"/>
      <c r="E187" s="211"/>
      <c r="F187" s="214"/>
      <c r="G187" s="216"/>
      <c r="H187" s="221"/>
      <c r="I187" s="221"/>
      <c r="J187" s="222"/>
      <c r="K187" s="211"/>
      <c r="L187" s="214"/>
      <c r="M187" s="188"/>
    </row>
    <row r="188" spans="1:13" ht="18" customHeight="1" x14ac:dyDescent="0.25">
      <c r="A188" s="188"/>
      <c r="B188" s="221"/>
      <c r="C188" s="221"/>
      <c r="D188" s="222"/>
      <c r="E188" s="211"/>
      <c r="F188" s="214"/>
      <c r="G188" s="216"/>
      <c r="H188" s="221"/>
      <c r="I188" s="221"/>
      <c r="J188" s="222"/>
      <c r="K188" s="211"/>
      <c r="L188" s="214"/>
      <c r="M188" s="188"/>
    </row>
    <row r="189" spans="1:13" ht="18" customHeight="1" x14ac:dyDescent="0.25">
      <c r="A189" s="188"/>
      <c r="B189" s="221"/>
      <c r="C189" s="221"/>
      <c r="D189" s="222"/>
      <c r="E189" s="211"/>
      <c r="F189" s="214"/>
      <c r="G189" s="216"/>
      <c r="H189" s="221"/>
      <c r="I189" s="221"/>
      <c r="J189" s="222"/>
      <c r="K189" s="211"/>
      <c r="L189" s="214"/>
      <c r="M189" s="188"/>
    </row>
    <row r="190" spans="1:13" ht="18" customHeight="1" x14ac:dyDescent="0.25">
      <c r="A190" s="188"/>
      <c r="B190" s="221"/>
      <c r="C190" s="221"/>
      <c r="D190" s="222"/>
      <c r="E190" s="211"/>
      <c r="F190" s="214"/>
      <c r="G190" s="216"/>
      <c r="H190" s="221"/>
      <c r="I190" s="221"/>
      <c r="J190" s="222"/>
      <c r="K190" s="211"/>
      <c r="L190" s="214"/>
      <c r="M190" s="188"/>
    </row>
    <row r="191" spans="1:13" ht="18" customHeight="1" x14ac:dyDescent="0.25">
      <c r="A191" s="188"/>
      <c r="B191" s="221"/>
      <c r="C191" s="221"/>
      <c r="D191" s="222"/>
      <c r="E191" s="211"/>
      <c r="F191" s="214"/>
      <c r="G191" s="216"/>
      <c r="H191" s="221"/>
      <c r="I191" s="221"/>
      <c r="J191" s="222"/>
      <c r="K191" s="211"/>
      <c r="L191" s="214"/>
      <c r="M191" s="188"/>
    </row>
    <row r="192" spans="1:13" ht="18" customHeight="1" x14ac:dyDescent="0.25">
      <c r="A192" s="188"/>
      <c r="B192" s="221"/>
      <c r="C192" s="221"/>
      <c r="D192" s="222"/>
      <c r="E192" s="211"/>
      <c r="F192" s="214"/>
      <c r="G192" s="216"/>
      <c r="H192" s="221"/>
      <c r="I192" s="221"/>
      <c r="J192" s="222"/>
      <c r="K192" s="211"/>
      <c r="L192" s="214"/>
      <c r="M192" s="188"/>
    </row>
    <row r="193" spans="1:13" ht="18" customHeight="1" x14ac:dyDescent="0.25">
      <c r="A193" s="188"/>
      <c r="B193" s="221"/>
      <c r="C193" s="221"/>
      <c r="D193" s="222"/>
      <c r="E193" s="211"/>
      <c r="F193" s="214"/>
      <c r="G193" s="216"/>
      <c r="H193" s="221"/>
      <c r="I193" s="221"/>
      <c r="J193" s="222"/>
      <c r="K193" s="211"/>
      <c r="L193" s="214"/>
      <c r="M193" s="188"/>
    </row>
    <row r="194" spans="1:13" ht="18" customHeight="1" x14ac:dyDescent="0.25">
      <c r="A194" s="188"/>
      <c r="B194" s="221"/>
      <c r="C194" s="221"/>
      <c r="D194" s="222"/>
      <c r="E194" s="211"/>
      <c r="F194" s="214"/>
      <c r="G194" s="216"/>
      <c r="H194" s="221"/>
      <c r="I194" s="221"/>
      <c r="J194" s="222"/>
      <c r="K194" s="211"/>
      <c r="L194" s="214"/>
      <c r="M194" s="188"/>
    </row>
    <row r="195" spans="1:13" ht="18" customHeight="1" x14ac:dyDescent="0.25">
      <c r="A195" s="188"/>
      <c r="B195" s="221"/>
      <c r="C195" s="221"/>
      <c r="D195" s="222"/>
      <c r="E195" s="211"/>
      <c r="F195" s="214"/>
      <c r="G195" s="216"/>
      <c r="H195" s="221"/>
      <c r="I195" s="221"/>
      <c r="J195" s="222"/>
      <c r="K195" s="211"/>
      <c r="L195" s="214"/>
      <c r="M195" s="188"/>
    </row>
    <row r="196" spans="1:13" ht="18" customHeight="1" x14ac:dyDescent="0.25">
      <c r="A196" s="188"/>
      <c r="B196" s="221"/>
      <c r="C196" s="221"/>
      <c r="D196" s="222"/>
      <c r="E196" s="211"/>
      <c r="F196" s="214"/>
      <c r="G196" s="216"/>
      <c r="H196" s="221"/>
      <c r="I196" s="221"/>
      <c r="J196" s="222"/>
      <c r="K196" s="211"/>
      <c r="L196" s="214"/>
      <c r="M196" s="188"/>
    </row>
    <row r="197" spans="1:13" ht="18" customHeight="1" x14ac:dyDescent="0.25">
      <c r="A197" s="188"/>
      <c r="B197" s="221"/>
      <c r="C197" s="221"/>
      <c r="D197" s="222"/>
      <c r="E197" s="211"/>
      <c r="F197" s="214"/>
      <c r="G197" s="216"/>
      <c r="H197" s="221"/>
      <c r="I197" s="221"/>
      <c r="J197" s="222"/>
      <c r="K197" s="211"/>
      <c r="L197" s="214"/>
      <c r="M197" s="188"/>
    </row>
    <row r="198" spans="1:13" ht="18" customHeight="1" x14ac:dyDescent="0.25">
      <c r="A198" s="188"/>
      <c r="B198" s="221"/>
      <c r="C198" s="221"/>
      <c r="D198" s="222"/>
      <c r="E198" s="211"/>
      <c r="F198" s="214"/>
      <c r="G198" s="216"/>
      <c r="H198" s="221"/>
      <c r="I198" s="221"/>
      <c r="J198" s="222"/>
      <c r="K198" s="211"/>
      <c r="L198" s="214"/>
      <c r="M198" s="188"/>
    </row>
    <row r="199" spans="1:13" ht="18" customHeight="1" x14ac:dyDescent="0.25">
      <c r="A199" s="188"/>
      <c r="B199" s="221"/>
      <c r="C199" s="221"/>
      <c r="D199" s="222"/>
      <c r="E199" s="211"/>
      <c r="F199" s="214"/>
      <c r="G199" s="216"/>
      <c r="H199" s="221"/>
      <c r="I199" s="221"/>
      <c r="J199" s="222"/>
      <c r="K199" s="211"/>
      <c r="L199" s="214"/>
      <c r="M199" s="188"/>
    </row>
    <row r="200" spans="1:13" ht="18" customHeight="1" x14ac:dyDescent="0.25">
      <c r="A200" s="188"/>
      <c r="B200" s="221"/>
      <c r="C200" s="221"/>
      <c r="D200" s="222"/>
      <c r="E200" s="211"/>
      <c r="F200" s="214"/>
      <c r="G200" s="216"/>
      <c r="H200" s="221"/>
      <c r="I200" s="221"/>
      <c r="J200" s="222"/>
      <c r="K200" s="211"/>
      <c r="L200" s="214"/>
      <c r="M200" s="188"/>
    </row>
    <row r="201" spans="1:13" ht="18" customHeight="1" x14ac:dyDescent="0.25">
      <c r="A201" s="188"/>
      <c r="B201" s="221"/>
      <c r="C201" s="221"/>
      <c r="D201" s="222"/>
      <c r="E201" s="211"/>
      <c r="F201" s="214"/>
      <c r="G201" s="216"/>
      <c r="H201" s="221"/>
      <c r="I201" s="221"/>
      <c r="J201" s="222"/>
      <c r="K201" s="211"/>
      <c r="L201" s="214"/>
      <c r="M201" s="188"/>
    </row>
    <row r="202" spans="1:13" ht="18" customHeight="1" x14ac:dyDescent="0.25">
      <c r="A202" s="188"/>
      <c r="B202" s="221"/>
      <c r="C202" s="221"/>
      <c r="D202" s="222"/>
      <c r="E202" s="211"/>
      <c r="F202" s="214"/>
      <c r="G202" s="216"/>
      <c r="H202" s="221"/>
      <c r="I202" s="221"/>
      <c r="J202" s="222"/>
      <c r="K202" s="211"/>
      <c r="L202" s="214"/>
      <c r="M202" s="188"/>
    </row>
    <row r="203" spans="1:13" ht="18" customHeight="1" x14ac:dyDescent="0.25">
      <c r="A203" s="188"/>
      <c r="B203" s="221"/>
      <c r="C203" s="221"/>
      <c r="D203" s="222"/>
      <c r="E203" s="211"/>
      <c r="F203" s="214"/>
      <c r="G203" s="216"/>
      <c r="H203" s="221"/>
      <c r="I203" s="221"/>
      <c r="J203" s="222"/>
      <c r="K203" s="211"/>
      <c r="L203" s="214"/>
      <c r="M203" s="188"/>
    </row>
    <row r="204" spans="1:13" ht="18" customHeight="1" x14ac:dyDescent="0.25">
      <c r="A204" s="188"/>
      <c r="B204" s="221"/>
      <c r="C204" s="221"/>
      <c r="D204" s="222"/>
      <c r="E204" s="211"/>
      <c r="F204" s="214"/>
      <c r="G204" s="216"/>
      <c r="H204" s="221"/>
      <c r="I204" s="221"/>
      <c r="J204" s="222"/>
      <c r="K204" s="211"/>
      <c r="L204" s="214"/>
      <c r="M204" s="188"/>
    </row>
    <row r="205" spans="1:13" ht="18" customHeight="1" x14ac:dyDescent="0.25">
      <c r="A205" s="188"/>
      <c r="B205" s="221"/>
      <c r="C205" s="221"/>
      <c r="D205" s="222"/>
      <c r="E205" s="211"/>
      <c r="F205" s="214"/>
      <c r="G205" s="216"/>
      <c r="H205" s="221"/>
      <c r="I205" s="221"/>
      <c r="J205" s="222"/>
      <c r="K205" s="211"/>
      <c r="L205" s="214"/>
      <c r="M205" s="188"/>
    </row>
    <row r="206" spans="1:13" ht="18" customHeight="1" x14ac:dyDescent="0.25">
      <c r="A206" s="188"/>
      <c r="B206" s="221"/>
      <c r="C206" s="221"/>
      <c r="D206" s="222"/>
      <c r="E206" s="211"/>
      <c r="F206" s="214"/>
      <c r="G206" s="216"/>
      <c r="H206" s="221"/>
      <c r="I206" s="221"/>
      <c r="J206" s="222"/>
      <c r="K206" s="211"/>
      <c r="L206" s="214"/>
      <c r="M206" s="188"/>
    </row>
    <row r="207" spans="1:13" ht="18" customHeight="1" x14ac:dyDescent="0.25">
      <c r="A207" s="188"/>
      <c r="B207" s="221"/>
      <c r="C207" s="221"/>
      <c r="D207" s="222"/>
      <c r="E207" s="211"/>
      <c r="F207" s="214"/>
      <c r="G207" s="216"/>
      <c r="H207" s="221"/>
      <c r="I207" s="221"/>
      <c r="J207" s="222"/>
      <c r="K207" s="211"/>
      <c r="L207" s="214"/>
      <c r="M207" s="188"/>
    </row>
    <row r="208" spans="1:13" ht="18" customHeight="1" x14ac:dyDescent="0.25">
      <c r="A208" s="188"/>
      <c r="B208" s="221"/>
      <c r="C208" s="221"/>
      <c r="D208" s="222"/>
      <c r="E208" s="211"/>
      <c r="F208" s="214"/>
      <c r="G208" s="216"/>
      <c r="H208" s="221"/>
      <c r="I208" s="221"/>
      <c r="J208" s="222"/>
      <c r="K208" s="211"/>
      <c r="L208" s="214"/>
      <c r="M208" s="188"/>
    </row>
    <row r="209" spans="1:13" ht="18" customHeight="1" x14ac:dyDescent="0.25">
      <c r="A209" s="188"/>
      <c r="B209" s="221"/>
      <c r="C209" s="221"/>
      <c r="D209" s="222"/>
      <c r="E209" s="211"/>
      <c r="F209" s="214"/>
      <c r="G209" s="216"/>
      <c r="H209" s="221"/>
      <c r="I209" s="221"/>
      <c r="J209" s="222"/>
      <c r="K209" s="211"/>
      <c r="L209" s="214"/>
      <c r="M209" s="188"/>
    </row>
    <row r="210" spans="1:13" ht="18" customHeight="1" x14ac:dyDescent="0.25">
      <c r="A210" s="188"/>
      <c r="B210" s="221"/>
      <c r="C210" s="221"/>
      <c r="D210" s="222"/>
      <c r="E210" s="211"/>
      <c r="F210" s="214"/>
      <c r="G210" s="216"/>
      <c r="H210" s="221"/>
      <c r="I210" s="221"/>
      <c r="J210" s="222"/>
      <c r="K210" s="211"/>
      <c r="L210" s="214"/>
      <c r="M210" s="188"/>
    </row>
    <row r="211" spans="1:13" ht="18" customHeight="1" x14ac:dyDescent="0.25">
      <c r="A211" s="188"/>
      <c r="B211" s="221"/>
      <c r="C211" s="221"/>
      <c r="D211" s="222"/>
      <c r="E211" s="211"/>
      <c r="F211" s="214"/>
      <c r="G211" s="216"/>
      <c r="H211" s="221"/>
      <c r="I211" s="221"/>
      <c r="J211" s="222"/>
      <c r="K211" s="211"/>
      <c r="L211" s="214"/>
      <c r="M211" s="188"/>
    </row>
    <row r="212" spans="1:13" ht="18" customHeight="1" x14ac:dyDescent="0.25">
      <c r="A212" s="188"/>
      <c r="B212" s="221"/>
      <c r="C212" s="221"/>
      <c r="D212" s="222"/>
      <c r="E212" s="211"/>
      <c r="F212" s="214"/>
      <c r="G212" s="216"/>
      <c r="H212" s="221"/>
      <c r="I212" s="221"/>
      <c r="J212" s="222"/>
      <c r="K212" s="211"/>
      <c r="L212" s="214"/>
      <c r="M212" s="188"/>
    </row>
    <row r="213" spans="1:13" ht="18" customHeight="1" x14ac:dyDescent="0.25">
      <c r="A213" s="188"/>
      <c r="B213" s="221"/>
      <c r="C213" s="221"/>
      <c r="D213" s="222"/>
      <c r="E213" s="211"/>
      <c r="F213" s="214"/>
      <c r="G213" s="216"/>
      <c r="H213" s="221"/>
      <c r="I213" s="221"/>
      <c r="J213" s="222"/>
      <c r="K213" s="211"/>
      <c r="L213" s="214"/>
      <c r="M213" s="188"/>
    </row>
    <row r="214" spans="1:13" ht="18" customHeight="1" x14ac:dyDescent="0.25">
      <c r="A214" s="188"/>
      <c r="B214" s="221"/>
      <c r="C214" s="221"/>
      <c r="D214" s="222"/>
      <c r="E214" s="211"/>
      <c r="F214" s="214"/>
      <c r="G214" s="216"/>
      <c r="H214" s="221"/>
      <c r="I214" s="221"/>
      <c r="J214" s="222"/>
      <c r="K214" s="211"/>
      <c r="L214" s="214"/>
      <c r="M214" s="188"/>
    </row>
    <row r="215" spans="1:13" ht="18" customHeight="1" x14ac:dyDescent="0.25">
      <c r="A215" s="188"/>
      <c r="B215" s="221"/>
      <c r="C215" s="221"/>
      <c r="D215" s="222"/>
      <c r="E215" s="211"/>
      <c r="F215" s="214"/>
      <c r="G215" s="216"/>
      <c r="H215" s="221"/>
      <c r="I215" s="221"/>
      <c r="J215" s="222"/>
      <c r="K215" s="211"/>
      <c r="L215" s="214"/>
      <c r="M215" s="188"/>
    </row>
    <row r="216" spans="1:13" ht="18" customHeight="1" x14ac:dyDescent="0.25">
      <c r="A216" s="188"/>
      <c r="B216" s="221"/>
      <c r="C216" s="221"/>
      <c r="D216" s="222"/>
      <c r="E216" s="211"/>
      <c r="F216" s="214"/>
      <c r="G216" s="216"/>
      <c r="H216" s="221"/>
      <c r="I216" s="221"/>
      <c r="J216" s="222"/>
      <c r="K216" s="211"/>
      <c r="L216" s="214"/>
      <c r="M216" s="188"/>
    </row>
    <row r="217" spans="1:13" ht="18" customHeight="1" x14ac:dyDescent="0.25">
      <c r="A217" s="188"/>
      <c r="B217" s="221"/>
      <c r="C217" s="221"/>
      <c r="D217" s="222"/>
      <c r="E217" s="211"/>
      <c r="F217" s="214"/>
      <c r="G217" s="216"/>
      <c r="H217" s="221"/>
      <c r="I217" s="221"/>
      <c r="J217" s="222"/>
      <c r="K217" s="211"/>
      <c r="L217" s="214"/>
      <c r="M217" s="188"/>
    </row>
    <row r="218" spans="1:13" ht="18" customHeight="1" x14ac:dyDescent="0.25">
      <c r="A218" s="188"/>
      <c r="B218" s="221"/>
      <c r="C218" s="221"/>
      <c r="D218" s="222"/>
      <c r="E218" s="211"/>
      <c r="F218" s="214"/>
      <c r="G218" s="216"/>
      <c r="H218" s="221"/>
      <c r="I218" s="221"/>
      <c r="J218" s="222"/>
      <c r="K218" s="211"/>
      <c r="L218" s="214"/>
      <c r="M218" s="188"/>
    </row>
    <row r="219" spans="1:13" ht="18" customHeight="1" x14ac:dyDescent="0.25">
      <c r="A219" s="188"/>
      <c r="B219" s="221"/>
      <c r="C219" s="221"/>
      <c r="D219" s="222"/>
      <c r="E219" s="211"/>
      <c r="F219" s="214"/>
      <c r="G219" s="216"/>
      <c r="H219" s="221"/>
      <c r="I219" s="221"/>
      <c r="J219" s="222"/>
      <c r="K219" s="211"/>
      <c r="L219" s="214"/>
      <c r="M219" s="188"/>
    </row>
    <row r="220" spans="1:13" ht="18" customHeight="1" x14ac:dyDescent="0.25">
      <c r="A220" s="188"/>
      <c r="B220" s="221"/>
      <c r="C220" s="221"/>
      <c r="D220" s="222"/>
      <c r="E220" s="211"/>
      <c r="F220" s="214"/>
      <c r="G220" s="216"/>
      <c r="H220" s="221"/>
      <c r="I220" s="221"/>
      <c r="J220" s="222"/>
      <c r="K220" s="211"/>
      <c r="L220" s="214"/>
      <c r="M220" s="188"/>
    </row>
    <row r="221" spans="1:13" ht="18" customHeight="1" x14ac:dyDescent="0.25">
      <c r="A221" s="188"/>
      <c r="B221" s="221"/>
      <c r="C221" s="221"/>
      <c r="D221" s="222"/>
      <c r="E221" s="211"/>
      <c r="F221" s="214"/>
      <c r="G221" s="216"/>
      <c r="H221" s="221"/>
      <c r="I221" s="221"/>
      <c r="J221" s="222"/>
      <c r="K221" s="211"/>
      <c r="L221" s="214"/>
      <c r="M221" s="188"/>
    </row>
    <row r="222" spans="1:13" ht="18" customHeight="1" x14ac:dyDescent="0.25">
      <c r="A222" s="188"/>
      <c r="B222" s="221"/>
      <c r="C222" s="221"/>
      <c r="D222" s="222"/>
      <c r="E222" s="211"/>
      <c r="F222" s="214"/>
      <c r="G222" s="216"/>
      <c r="H222" s="221"/>
      <c r="I222" s="221"/>
      <c r="J222" s="222"/>
      <c r="K222" s="211"/>
      <c r="L222" s="214"/>
      <c r="M222" s="188"/>
    </row>
    <row r="223" spans="1:13" ht="18" customHeight="1" x14ac:dyDescent="0.25">
      <c r="A223" s="188"/>
      <c r="B223" s="221"/>
      <c r="C223" s="221"/>
      <c r="D223" s="222"/>
      <c r="E223" s="211"/>
      <c r="F223" s="214"/>
      <c r="G223" s="216"/>
      <c r="H223" s="221"/>
      <c r="I223" s="221"/>
      <c r="J223" s="222"/>
      <c r="K223" s="211"/>
      <c r="L223" s="214"/>
      <c r="M223" s="188"/>
    </row>
    <row r="224" spans="1:13" ht="18" customHeight="1" x14ac:dyDescent="0.25">
      <c r="A224" s="188"/>
      <c r="B224" s="221"/>
      <c r="C224" s="221"/>
      <c r="D224" s="222"/>
      <c r="E224" s="211"/>
      <c r="F224" s="214"/>
      <c r="G224" s="216"/>
      <c r="H224" s="221"/>
      <c r="I224" s="221"/>
      <c r="J224" s="222"/>
      <c r="K224" s="211"/>
      <c r="L224" s="214"/>
      <c r="M224" s="188"/>
    </row>
    <row r="225" spans="1:13" ht="18" customHeight="1" x14ac:dyDescent="0.25">
      <c r="A225" s="188"/>
      <c r="B225" s="221"/>
      <c r="C225" s="221"/>
      <c r="D225" s="222"/>
      <c r="E225" s="211"/>
      <c r="F225" s="214"/>
      <c r="G225" s="216"/>
      <c r="H225" s="221"/>
      <c r="I225" s="221"/>
      <c r="J225" s="222"/>
      <c r="K225" s="211"/>
      <c r="L225" s="214"/>
      <c r="M225" s="188"/>
    </row>
    <row r="226" spans="1:13" ht="18" customHeight="1" x14ac:dyDescent="0.25">
      <c r="A226" s="188"/>
      <c r="B226" s="221"/>
      <c r="C226" s="221"/>
      <c r="D226" s="222"/>
      <c r="E226" s="211"/>
      <c r="F226" s="214"/>
      <c r="G226" s="216"/>
      <c r="H226" s="221"/>
      <c r="I226" s="221"/>
      <c r="J226" s="222"/>
      <c r="K226" s="211"/>
      <c r="L226" s="214"/>
      <c r="M226" s="188"/>
    </row>
    <row r="227" spans="1:13" ht="18" customHeight="1" x14ac:dyDescent="0.25">
      <c r="A227" s="188"/>
      <c r="B227" s="221"/>
      <c r="C227" s="221"/>
      <c r="D227" s="222"/>
      <c r="E227" s="211"/>
      <c r="F227" s="214"/>
      <c r="G227" s="216"/>
      <c r="H227" s="221"/>
      <c r="I227" s="221"/>
      <c r="J227" s="222"/>
      <c r="K227" s="211"/>
      <c r="L227" s="214"/>
      <c r="M227" s="188"/>
    </row>
    <row r="228" spans="1:13" ht="18" customHeight="1" x14ac:dyDescent="0.25">
      <c r="A228" s="188"/>
      <c r="B228" s="221"/>
      <c r="C228" s="221"/>
      <c r="D228" s="222"/>
      <c r="E228" s="211"/>
      <c r="F228" s="214"/>
      <c r="G228" s="216"/>
      <c r="H228" s="221"/>
      <c r="I228" s="221"/>
      <c r="J228" s="222"/>
      <c r="K228" s="211"/>
      <c r="L228" s="214"/>
      <c r="M228" s="188"/>
    </row>
    <row r="229" spans="1:13" ht="18" customHeight="1" x14ac:dyDescent="0.25">
      <c r="A229" s="188"/>
      <c r="B229" s="221"/>
      <c r="C229" s="221"/>
      <c r="D229" s="222"/>
      <c r="E229" s="211"/>
      <c r="F229" s="214"/>
      <c r="G229" s="216"/>
      <c r="H229" s="221"/>
      <c r="I229" s="221"/>
      <c r="J229" s="222"/>
      <c r="K229" s="211"/>
      <c r="L229" s="214"/>
      <c r="M229" s="188"/>
    </row>
    <row r="230" spans="1:13" ht="18" customHeight="1" x14ac:dyDescent="0.25">
      <c r="A230" s="188"/>
      <c r="B230" s="221"/>
      <c r="C230" s="221"/>
      <c r="D230" s="222"/>
      <c r="E230" s="211"/>
      <c r="F230" s="214"/>
      <c r="G230" s="216"/>
      <c r="H230" s="221"/>
      <c r="I230" s="221"/>
      <c r="J230" s="222"/>
      <c r="K230" s="211"/>
      <c r="L230" s="214"/>
      <c r="M230" s="188"/>
    </row>
    <row r="231" spans="1:13" ht="18" customHeight="1" x14ac:dyDescent="0.25">
      <c r="A231" s="188"/>
      <c r="B231" s="221"/>
      <c r="C231" s="221"/>
      <c r="D231" s="222"/>
      <c r="E231" s="211"/>
      <c r="F231" s="214"/>
      <c r="G231" s="216"/>
      <c r="H231" s="221"/>
      <c r="I231" s="221"/>
      <c r="J231" s="222"/>
      <c r="K231" s="211"/>
      <c r="L231" s="214"/>
      <c r="M231" s="188"/>
    </row>
    <row r="232" spans="1:13" ht="18" customHeight="1" x14ac:dyDescent="0.25">
      <c r="A232" s="188"/>
      <c r="B232" s="221"/>
      <c r="C232" s="221"/>
      <c r="D232" s="222"/>
      <c r="E232" s="211"/>
      <c r="F232" s="214"/>
      <c r="G232" s="216"/>
      <c r="H232" s="221"/>
      <c r="I232" s="221"/>
      <c r="J232" s="222"/>
      <c r="K232" s="211"/>
      <c r="L232" s="214"/>
      <c r="M232" s="188"/>
    </row>
    <row r="233" spans="1:13" ht="18" customHeight="1" x14ac:dyDescent="0.25">
      <c r="A233" s="188"/>
      <c r="B233" s="221"/>
      <c r="C233" s="221"/>
      <c r="D233" s="222"/>
      <c r="E233" s="211"/>
      <c r="F233" s="214"/>
      <c r="G233" s="216"/>
      <c r="H233" s="221"/>
      <c r="I233" s="221"/>
      <c r="J233" s="222"/>
      <c r="K233" s="211"/>
      <c r="L233" s="214"/>
      <c r="M233" s="188"/>
    </row>
    <row r="234" spans="1:13" ht="18" customHeight="1" x14ac:dyDescent="0.25">
      <c r="A234" s="188"/>
      <c r="B234" s="221"/>
      <c r="C234" s="221"/>
      <c r="D234" s="222"/>
      <c r="E234" s="211"/>
      <c r="F234" s="214"/>
      <c r="G234" s="216"/>
      <c r="H234" s="221"/>
      <c r="I234" s="221"/>
      <c r="J234" s="222"/>
      <c r="K234" s="211"/>
      <c r="L234" s="214"/>
      <c r="M234" s="188"/>
    </row>
    <row r="235" spans="1:13" ht="18" customHeight="1" x14ac:dyDescent="0.25">
      <c r="A235" s="188"/>
      <c r="B235" s="221"/>
      <c r="C235" s="221"/>
      <c r="D235" s="222"/>
      <c r="E235" s="211"/>
      <c r="F235" s="214"/>
      <c r="G235" s="216"/>
      <c r="H235" s="221"/>
      <c r="I235" s="221"/>
      <c r="J235" s="222"/>
      <c r="K235" s="211"/>
      <c r="L235" s="214"/>
      <c r="M235" s="188"/>
    </row>
    <row r="236" spans="1:13" ht="18" customHeight="1" x14ac:dyDescent="0.25">
      <c r="A236" s="188"/>
      <c r="B236" s="221"/>
      <c r="C236" s="221"/>
      <c r="D236" s="222"/>
      <c r="E236" s="211"/>
      <c r="F236" s="214"/>
      <c r="G236" s="216"/>
      <c r="H236" s="221"/>
      <c r="I236" s="221"/>
      <c r="J236" s="222"/>
      <c r="K236" s="211"/>
      <c r="L236" s="214"/>
      <c r="M236" s="188"/>
    </row>
    <row r="237" spans="1:13" ht="18" customHeight="1" x14ac:dyDescent="0.25">
      <c r="A237" s="188"/>
      <c r="B237" s="221"/>
      <c r="C237" s="221"/>
      <c r="D237" s="222"/>
      <c r="E237" s="211"/>
      <c r="F237" s="214"/>
      <c r="G237" s="216"/>
      <c r="H237" s="221"/>
      <c r="I237" s="221"/>
      <c r="J237" s="222"/>
      <c r="K237" s="211"/>
      <c r="L237" s="214"/>
      <c r="M237" s="188"/>
    </row>
    <row r="238" spans="1:13" ht="18" customHeight="1" x14ac:dyDescent="0.25">
      <c r="A238" s="188"/>
      <c r="B238" s="221"/>
      <c r="C238" s="221"/>
      <c r="D238" s="222"/>
      <c r="E238" s="211"/>
      <c r="F238" s="214"/>
      <c r="G238" s="216"/>
      <c r="H238" s="221"/>
      <c r="I238" s="221"/>
      <c r="J238" s="222"/>
      <c r="K238" s="211"/>
      <c r="L238" s="214"/>
      <c r="M238" s="188"/>
    </row>
    <row r="239" spans="1:13" ht="18" customHeight="1" x14ac:dyDescent="0.25">
      <c r="A239" s="188"/>
      <c r="B239" s="221"/>
      <c r="C239" s="221"/>
      <c r="D239" s="222"/>
      <c r="E239" s="211"/>
      <c r="F239" s="214"/>
      <c r="G239" s="216"/>
      <c r="H239" s="221"/>
      <c r="I239" s="221"/>
      <c r="J239" s="222"/>
      <c r="K239" s="211"/>
      <c r="L239" s="214"/>
      <c r="M239" s="188"/>
    </row>
    <row r="240" spans="1:13" ht="18" customHeight="1" x14ac:dyDescent="0.25">
      <c r="A240" s="188"/>
      <c r="B240" s="221"/>
      <c r="C240" s="221"/>
      <c r="D240" s="222"/>
      <c r="E240" s="211"/>
      <c r="F240" s="214"/>
      <c r="G240" s="216"/>
      <c r="H240" s="221"/>
      <c r="I240" s="221"/>
      <c r="J240" s="222"/>
      <c r="K240" s="211"/>
      <c r="L240" s="214"/>
      <c r="M240" s="188"/>
    </row>
    <row r="241" spans="1:13" ht="18" customHeight="1" x14ac:dyDescent="0.25">
      <c r="A241" s="188"/>
      <c r="B241" s="221"/>
      <c r="C241" s="221"/>
      <c r="D241" s="222"/>
      <c r="E241" s="211"/>
      <c r="F241" s="214"/>
      <c r="G241" s="216"/>
      <c r="H241" s="221"/>
      <c r="I241" s="221"/>
      <c r="J241" s="222"/>
      <c r="K241" s="211"/>
      <c r="L241" s="214"/>
      <c r="M241" s="188"/>
    </row>
    <row r="242" spans="1:13" ht="18" customHeight="1" x14ac:dyDescent="0.25">
      <c r="A242" s="188"/>
      <c r="B242" s="221"/>
      <c r="C242" s="221"/>
      <c r="D242" s="222"/>
      <c r="E242" s="211"/>
      <c r="F242" s="214"/>
      <c r="G242" s="216"/>
      <c r="H242" s="221"/>
      <c r="I242" s="221"/>
      <c r="J242" s="222"/>
      <c r="K242" s="211"/>
      <c r="L242" s="214"/>
      <c r="M242" s="188"/>
    </row>
    <row r="243" spans="1:13" ht="18" customHeight="1" x14ac:dyDescent="0.25">
      <c r="A243" s="188"/>
      <c r="B243" s="221"/>
      <c r="C243" s="221"/>
      <c r="D243" s="222"/>
      <c r="E243" s="211"/>
      <c r="F243" s="214"/>
      <c r="G243" s="216"/>
      <c r="H243" s="221"/>
      <c r="I243" s="221"/>
      <c r="J243" s="222"/>
      <c r="K243" s="211"/>
      <c r="L243" s="214"/>
      <c r="M243" s="188"/>
    </row>
    <row r="244" spans="1:13" ht="18" customHeight="1" x14ac:dyDescent="0.25">
      <c r="A244" s="188"/>
      <c r="B244" s="221"/>
      <c r="C244" s="221"/>
      <c r="D244" s="222"/>
      <c r="E244" s="211"/>
      <c r="F244" s="214"/>
      <c r="G244" s="216"/>
      <c r="H244" s="221"/>
      <c r="I244" s="221"/>
      <c r="J244" s="222"/>
      <c r="K244" s="211"/>
      <c r="L244" s="214"/>
      <c r="M244" s="188"/>
    </row>
    <row r="245" spans="1:13" ht="15.75" customHeight="1" x14ac:dyDescent="0.25"/>
    <row r="246" spans="1:13" ht="15.75" customHeight="1" x14ac:dyDescent="0.25"/>
    <row r="247" spans="1:13" ht="15.75" customHeight="1" x14ac:dyDescent="0.25"/>
    <row r="248" spans="1:13" ht="15.75" customHeight="1" x14ac:dyDescent="0.25"/>
    <row r="249" spans="1:13" ht="15.75" customHeight="1" x14ac:dyDescent="0.25"/>
    <row r="250" spans="1:13" ht="15.75" customHeight="1" x14ac:dyDescent="0.25"/>
    <row r="251" spans="1:13" ht="15.75" customHeight="1" x14ac:dyDescent="0.25"/>
    <row r="252" spans="1:13" ht="15.75" customHeight="1" x14ac:dyDescent="0.25"/>
    <row r="253" spans="1:13" ht="15.75" customHeight="1" x14ac:dyDescent="0.25"/>
    <row r="254" spans="1:13" ht="15.75" customHeight="1" x14ac:dyDescent="0.25"/>
    <row r="255" spans="1:13" ht="15.75" customHeight="1" x14ac:dyDescent="0.25"/>
    <row r="256" spans="1:1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9">
    <mergeCell ref="H41:I41"/>
    <mergeCell ref="H42:I42"/>
    <mergeCell ref="H43:I43"/>
    <mergeCell ref="H44:I44"/>
    <mergeCell ref="H30:I30"/>
    <mergeCell ref="H31:I31"/>
    <mergeCell ref="H32:I32"/>
    <mergeCell ref="H33:I33"/>
    <mergeCell ref="H34:I34"/>
    <mergeCell ref="H35:I35"/>
    <mergeCell ref="H36:I36"/>
    <mergeCell ref="B35:C35"/>
    <mergeCell ref="H37:I37"/>
    <mergeCell ref="H38:I38"/>
    <mergeCell ref="H39:I39"/>
    <mergeCell ref="H40:I40"/>
    <mergeCell ref="B30:C30"/>
    <mergeCell ref="B31:C31"/>
    <mergeCell ref="B32:C32"/>
    <mergeCell ref="B33:C33"/>
    <mergeCell ref="B34:C34"/>
    <mergeCell ref="B27:C27"/>
    <mergeCell ref="H27:I27"/>
    <mergeCell ref="B28:C28"/>
    <mergeCell ref="H28:I28"/>
    <mergeCell ref="H29:I29"/>
    <mergeCell ref="B29:C29"/>
    <mergeCell ref="D22:F22"/>
    <mergeCell ref="J22:L22"/>
    <mergeCell ref="J23:L23"/>
    <mergeCell ref="D23:F23"/>
    <mergeCell ref="B24:C24"/>
    <mergeCell ref="I16:K16"/>
    <mergeCell ref="I17:K17"/>
    <mergeCell ref="B20:F20"/>
    <mergeCell ref="D21:F21"/>
    <mergeCell ref="J21:L21"/>
    <mergeCell ref="J8:K8"/>
    <mergeCell ref="B8:E9"/>
    <mergeCell ref="D12:D15"/>
    <mergeCell ref="E12:E15"/>
    <mergeCell ref="I13:K13"/>
    <mergeCell ref="I14:K14"/>
    <mergeCell ref="I15:K15"/>
    <mergeCell ref="B2:H2"/>
    <mergeCell ref="I2:L2"/>
    <mergeCell ref="B3:G4"/>
    <mergeCell ref="I3:L3"/>
    <mergeCell ref="I4:M5"/>
    <mergeCell ref="B5:G6"/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</mergeCells>
  <conditionalFormatting sqref="B27:C1000 H27:H1000">
    <cfRule type="notContainsBlanks" dxfId="19" priority="1">
      <formula>LEN(TRIM(B27))&gt;0</formula>
    </cfRule>
  </conditionalFormatting>
  <conditionalFormatting sqref="D27:D1000">
    <cfRule type="expression" dxfId="18" priority="2">
      <formula>NOT(ISBLANK(B27))</formula>
    </cfRule>
  </conditionalFormatting>
  <conditionalFormatting sqref="F26:F1000 L26:L1000 E28:E42">
    <cfRule type="cellIs" dxfId="17" priority="4" operator="lessThan">
      <formula>0</formula>
    </cfRule>
  </conditionalFormatting>
  <conditionalFormatting sqref="F27:F1000 L27:L1000 E28:E42">
    <cfRule type="cellIs" dxfId="16" priority="5" operator="equal">
      <formula>0</formula>
    </cfRule>
  </conditionalFormatting>
  <conditionalFormatting sqref="J27:J1000">
    <cfRule type="expression" dxfId="15" priority="3">
      <formula>NOT(ISBLANK(H27))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FF"/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5.109375" customWidth="1"/>
    <col min="2" max="2" width="10.44140625" customWidth="1"/>
    <col min="3" max="3" width="14.77734375" customWidth="1"/>
    <col min="4" max="4" width="15.88671875" customWidth="1"/>
    <col min="5" max="5" width="19.44140625" customWidth="1"/>
    <col min="6" max="6" width="5.109375" customWidth="1"/>
    <col min="9" max="9" width="13.21875" customWidth="1"/>
    <col min="11" max="11" width="5.109375" customWidth="1"/>
  </cols>
  <sheetData>
    <row r="1" spans="1:11" ht="33" customHeight="1" x14ac:dyDescent="0.25">
      <c r="A1" s="223"/>
      <c r="B1" s="294" t="s">
        <v>60</v>
      </c>
      <c r="C1" s="266"/>
      <c r="D1" s="266"/>
      <c r="E1" s="266"/>
      <c r="F1" s="266"/>
      <c r="G1" s="266"/>
      <c r="H1" s="266"/>
      <c r="I1" s="266"/>
      <c r="J1" s="266"/>
      <c r="K1" s="223"/>
    </row>
    <row r="2" spans="1:11" ht="48" customHeight="1" x14ac:dyDescent="0.45">
      <c r="A2" s="224"/>
      <c r="B2" s="225" t="s">
        <v>10</v>
      </c>
      <c r="C2" s="226"/>
      <c r="D2" s="227"/>
      <c r="E2" s="227"/>
      <c r="F2" s="227"/>
      <c r="G2" s="225" t="s">
        <v>9</v>
      </c>
      <c r="H2" s="228"/>
      <c r="I2" s="224"/>
      <c r="J2" s="224"/>
      <c r="K2" s="224"/>
    </row>
    <row r="3" spans="1:11" ht="12" customHeight="1" x14ac:dyDescent="0.3">
      <c r="A3" s="13"/>
      <c r="B3" s="229"/>
      <c r="C3" s="230"/>
      <c r="D3" s="229"/>
      <c r="E3" s="229"/>
      <c r="F3" s="13"/>
      <c r="G3" s="229"/>
      <c r="H3" s="231"/>
      <c r="I3" s="229"/>
      <c r="J3" s="229"/>
      <c r="K3" s="13"/>
    </row>
    <row r="4" spans="1:11" ht="24" customHeight="1" x14ac:dyDescent="0.25">
      <c r="A4" s="19"/>
      <c r="B4" s="232" t="s">
        <v>61</v>
      </c>
      <c r="C4" s="232" t="s">
        <v>62</v>
      </c>
      <c r="D4" s="232" t="s">
        <v>63</v>
      </c>
      <c r="E4" s="232" t="s">
        <v>64</v>
      </c>
      <c r="F4" s="19"/>
      <c r="G4" s="232" t="s">
        <v>61</v>
      </c>
      <c r="H4" s="232" t="s">
        <v>62</v>
      </c>
      <c r="I4" s="232" t="s">
        <v>63</v>
      </c>
      <c r="J4" s="232" t="s">
        <v>64</v>
      </c>
      <c r="K4" s="19"/>
    </row>
    <row r="5" spans="1:11" ht="19.5" customHeight="1" x14ac:dyDescent="0.25">
      <c r="A5" s="19"/>
      <c r="B5" s="233"/>
      <c r="C5" s="238"/>
      <c r="D5" s="239"/>
      <c r="E5" s="240"/>
      <c r="F5" s="19"/>
      <c r="G5" s="233"/>
      <c r="H5" s="234"/>
      <c r="I5" s="237"/>
      <c r="J5" s="236"/>
      <c r="K5" s="19"/>
    </row>
    <row r="6" spans="1:11" ht="19.5" customHeight="1" x14ac:dyDescent="0.25">
      <c r="A6" s="19"/>
      <c r="B6" s="233"/>
      <c r="C6" s="238"/>
      <c r="D6" s="239"/>
      <c r="E6" s="240"/>
      <c r="F6" s="19"/>
      <c r="G6" s="233"/>
      <c r="H6" s="238"/>
      <c r="I6" s="237"/>
      <c r="J6" s="236"/>
      <c r="K6" s="19"/>
    </row>
    <row r="7" spans="1:11" ht="19.5" customHeight="1" x14ac:dyDescent="0.25">
      <c r="A7" s="19"/>
      <c r="B7" s="233"/>
      <c r="C7" s="238"/>
      <c r="D7" s="239"/>
      <c r="E7" s="240"/>
      <c r="F7" s="19"/>
      <c r="G7" s="233"/>
      <c r="H7" s="238"/>
      <c r="I7" s="237"/>
      <c r="J7" s="236"/>
      <c r="K7" s="19"/>
    </row>
    <row r="8" spans="1:11" ht="19.5" customHeight="1" x14ac:dyDescent="0.25">
      <c r="A8" s="19"/>
      <c r="B8" s="233"/>
      <c r="C8" s="238"/>
      <c r="D8" s="239"/>
      <c r="E8" s="240"/>
      <c r="F8" s="19"/>
      <c r="G8" s="233"/>
      <c r="H8" s="238"/>
      <c r="I8" s="237"/>
      <c r="J8" s="236"/>
      <c r="K8" s="19"/>
    </row>
    <row r="9" spans="1:11" ht="19.5" customHeight="1" x14ac:dyDescent="0.25">
      <c r="A9" s="19"/>
      <c r="B9" s="233"/>
      <c r="C9" s="238"/>
      <c r="D9" s="239"/>
      <c r="E9" s="240"/>
      <c r="F9" s="19"/>
      <c r="G9" s="233"/>
      <c r="H9" s="238"/>
      <c r="I9" s="237"/>
      <c r="J9" s="236"/>
      <c r="K9" s="19"/>
    </row>
    <row r="10" spans="1:11" ht="19.5" customHeight="1" x14ac:dyDescent="0.25">
      <c r="A10" s="19"/>
      <c r="B10" s="233"/>
      <c r="C10" s="238"/>
      <c r="D10" s="239"/>
      <c r="E10" s="240"/>
      <c r="F10" s="19"/>
      <c r="G10" s="233"/>
      <c r="H10" s="238"/>
      <c r="I10" s="237"/>
      <c r="J10" s="236"/>
      <c r="K10" s="19"/>
    </row>
    <row r="11" spans="1:11" ht="19.5" customHeight="1" x14ac:dyDescent="0.25">
      <c r="A11" s="19"/>
      <c r="B11" s="233"/>
      <c r="C11" s="238"/>
      <c r="D11" s="239"/>
      <c r="E11" s="240"/>
      <c r="F11" s="19"/>
      <c r="G11" s="233"/>
      <c r="H11" s="238"/>
      <c r="I11" s="237"/>
      <c r="J11" s="236"/>
      <c r="K11" s="19"/>
    </row>
    <row r="12" spans="1:11" ht="19.5" customHeight="1" x14ac:dyDescent="0.25">
      <c r="A12" s="19"/>
      <c r="B12" s="233"/>
      <c r="C12" s="238"/>
      <c r="D12" s="239"/>
      <c r="E12" s="240"/>
      <c r="F12" s="19"/>
      <c r="G12" s="233"/>
      <c r="H12" s="238"/>
      <c r="I12" s="237"/>
      <c r="J12" s="236"/>
      <c r="K12" s="19"/>
    </row>
    <row r="13" spans="1:11" ht="19.5" customHeight="1" x14ac:dyDescent="0.25">
      <c r="A13" s="19"/>
      <c r="B13" s="233"/>
      <c r="C13" s="238"/>
      <c r="D13" s="239"/>
      <c r="E13" s="240"/>
      <c r="F13" s="19"/>
      <c r="G13" s="233"/>
      <c r="H13" s="238"/>
      <c r="I13" s="237"/>
      <c r="J13" s="236"/>
      <c r="K13" s="19"/>
    </row>
    <row r="14" spans="1:11" ht="19.5" customHeight="1" x14ac:dyDescent="0.25">
      <c r="A14" s="19"/>
      <c r="B14" s="233"/>
      <c r="C14" s="238"/>
      <c r="D14" s="239"/>
      <c r="E14" s="240"/>
      <c r="F14" s="19"/>
      <c r="G14" s="233"/>
      <c r="H14" s="238"/>
      <c r="I14" s="237"/>
      <c r="J14" s="236"/>
      <c r="K14" s="19"/>
    </row>
    <row r="15" spans="1:11" ht="19.5" customHeight="1" x14ac:dyDescent="0.25">
      <c r="A15" s="19"/>
      <c r="B15" s="233"/>
      <c r="C15" s="238"/>
      <c r="D15" s="239"/>
      <c r="E15" s="240"/>
      <c r="F15" s="19"/>
      <c r="G15" s="242"/>
      <c r="H15" s="238"/>
      <c r="I15" s="237"/>
      <c r="J15" s="236"/>
      <c r="K15" s="19"/>
    </row>
    <row r="16" spans="1:11" ht="19.5" customHeight="1" x14ac:dyDescent="0.25">
      <c r="A16" s="19"/>
      <c r="B16" s="233"/>
      <c r="C16" s="238"/>
      <c r="D16" s="239"/>
      <c r="E16" s="240"/>
      <c r="F16" s="19"/>
      <c r="G16" s="242"/>
      <c r="H16" s="238"/>
      <c r="I16" s="237"/>
      <c r="J16" s="236"/>
      <c r="K16" s="19"/>
    </row>
    <row r="17" spans="1:11" ht="19.5" customHeight="1" x14ac:dyDescent="0.25">
      <c r="A17" s="19"/>
      <c r="B17" s="233"/>
      <c r="C17" s="238"/>
      <c r="D17" s="239"/>
      <c r="E17" s="240"/>
      <c r="F17" s="19"/>
      <c r="G17" s="242"/>
      <c r="H17" s="238"/>
      <c r="I17" s="237"/>
      <c r="J17" s="236"/>
      <c r="K17" s="19"/>
    </row>
    <row r="18" spans="1:11" ht="19.5" customHeight="1" x14ac:dyDescent="0.25">
      <c r="A18" s="19"/>
      <c r="B18" s="233"/>
      <c r="C18" s="238"/>
      <c r="D18" s="239"/>
      <c r="E18" s="240"/>
      <c r="F18" s="19"/>
      <c r="G18" s="242"/>
      <c r="H18" s="238"/>
      <c r="I18" s="237"/>
      <c r="J18" s="236"/>
      <c r="K18" s="19"/>
    </row>
    <row r="19" spans="1:11" ht="19.5" customHeight="1" x14ac:dyDescent="0.25">
      <c r="A19" s="19"/>
      <c r="B19" s="233"/>
      <c r="C19" s="238"/>
      <c r="D19" s="239"/>
      <c r="E19" s="240"/>
      <c r="F19" s="19"/>
      <c r="G19" s="242"/>
      <c r="H19" s="238"/>
      <c r="I19" s="237"/>
      <c r="J19" s="236"/>
      <c r="K19" s="19"/>
    </row>
    <row r="20" spans="1:11" ht="19.5" customHeight="1" x14ac:dyDescent="0.25">
      <c r="A20" s="19"/>
      <c r="B20" s="233"/>
      <c r="C20" s="238"/>
      <c r="D20" s="239"/>
      <c r="E20" s="240"/>
      <c r="F20" s="19"/>
      <c r="G20" s="242"/>
      <c r="H20" s="238"/>
      <c r="I20" s="237"/>
      <c r="J20" s="236"/>
      <c r="K20" s="19"/>
    </row>
    <row r="21" spans="1:11" ht="19.5" customHeight="1" x14ac:dyDescent="0.25">
      <c r="A21" s="19"/>
      <c r="B21" s="233"/>
      <c r="C21" s="238"/>
      <c r="D21" s="239"/>
      <c r="E21" s="240"/>
      <c r="F21" s="19"/>
      <c r="G21" s="242"/>
      <c r="H21" s="238"/>
      <c r="I21" s="237"/>
      <c r="J21" s="236"/>
      <c r="K21" s="19"/>
    </row>
    <row r="22" spans="1:11" ht="19.5" customHeight="1" x14ac:dyDescent="0.25">
      <c r="A22" s="19"/>
      <c r="B22" s="233"/>
      <c r="C22" s="238"/>
      <c r="D22" s="239"/>
      <c r="E22" s="240"/>
      <c r="F22" s="19"/>
      <c r="G22" s="242"/>
      <c r="H22" s="238"/>
      <c r="I22" s="237"/>
      <c r="J22" s="236"/>
      <c r="K22" s="19"/>
    </row>
    <row r="23" spans="1:11" ht="19.5" customHeight="1" x14ac:dyDescent="0.25">
      <c r="A23" s="19"/>
      <c r="B23" s="242"/>
      <c r="C23" s="238"/>
      <c r="D23" s="239"/>
      <c r="E23" s="240"/>
      <c r="F23" s="19"/>
      <c r="G23" s="242"/>
      <c r="H23" s="238"/>
      <c r="I23" s="237"/>
      <c r="J23" s="236"/>
      <c r="K23" s="19"/>
    </row>
    <row r="24" spans="1:11" ht="19.5" customHeight="1" x14ac:dyDescent="0.25">
      <c r="A24" s="19"/>
      <c r="B24" s="242"/>
      <c r="C24" s="238"/>
      <c r="D24" s="239"/>
      <c r="E24" s="240"/>
      <c r="F24" s="19"/>
      <c r="G24" s="242"/>
      <c r="H24" s="238"/>
      <c r="I24" s="237"/>
      <c r="J24" s="236"/>
      <c r="K24" s="19"/>
    </row>
    <row r="25" spans="1:11" ht="19.5" customHeight="1" x14ac:dyDescent="0.25">
      <c r="A25" s="19"/>
      <c r="B25" s="242"/>
      <c r="C25" s="238"/>
      <c r="D25" s="239"/>
      <c r="E25" s="240"/>
      <c r="F25" s="19"/>
      <c r="G25" s="242"/>
      <c r="H25" s="238"/>
      <c r="I25" s="237"/>
      <c r="J25" s="236"/>
      <c r="K25" s="19"/>
    </row>
    <row r="26" spans="1:11" ht="19.5" customHeight="1" x14ac:dyDescent="0.25">
      <c r="A26" s="19"/>
      <c r="B26" s="242"/>
      <c r="C26" s="238"/>
      <c r="D26" s="239"/>
      <c r="E26" s="240"/>
      <c r="F26" s="19"/>
      <c r="G26" s="242"/>
      <c r="H26" s="238"/>
      <c r="I26" s="237"/>
      <c r="J26" s="236"/>
      <c r="K26" s="19"/>
    </row>
    <row r="27" spans="1:11" ht="19.5" customHeight="1" x14ac:dyDescent="0.25">
      <c r="A27" s="19"/>
      <c r="B27" s="242"/>
      <c r="C27" s="238"/>
      <c r="D27" s="239"/>
      <c r="E27" s="240"/>
      <c r="F27" s="19"/>
      <c r="G27" s="242"/>
      <c r="H27" s="238"/>
      <c r="I27" s="237"/>
      <c r="J27" s="236"/>
      <c r="K27" s="19"/>
    </row>
    <row r="28" spans="1:11" ht="19.5" customHeight="1" x14ac:dyDescent="0.25">
      <c r="A28" s="19"/>
      <c r="B28" s="242"/>
      <c r="C28" s="238"/>
      <c r="D28" s="239"/>
      <c r="E28" s="240"/>
      <c r="F28" s="19"/>
      <c r="G28" s="242"/>
      <c r="H28" s="238"/>
      <c r="I28" s="237"/>
      <c r="J28" s="236"/>
      <c r="K28" s="19"/>
    </row>
    <row r="29" spans="1:11" ht="19.5" customHeight="1" x14ac:dyDescent="0.25">
      <c r="A29" s="19"/>
      <c r="B29" s="242"/>
      <c r="C29" s="238"/>
      <c r="D29" s="239"/>
      <c r="E29" s="240"/>
      <c r="F29" s="19"/>
      <c r="G29" s="242"/>
      <c r="H29" s="238"/>
      <c r="I29" s="237"/>
      <c r="J29" s="236"/>
      <c r="K29" s="19"/>
    </row>
    <row r="30" spans="1:11" ht="19.5" customHeight="1" x14ac:dyDescent="0.25">
      <c r="A30" s="19"/>
      <c r="B30" s="242"/>
      <c r="C30" s="238"/>
      <c r="D30" s="239"/>
      <c r="E30" s="240"/>
      <c r="F30" s="19"/>
      <c r="G30" s="242"/>
      <c r="H30" s="238"/>
      <c r="I30" s="237"/>
      <c r="J30" s="236"/>
      <c r="K30" s="19"/>
    </row>
    <row r="31" spans="1:11" ht="19.5" customHeight="1" x14ac:dyDescent="0.25">
      <c r="A31" s="19"/>
      <c r="B31" s="242"/>
      <c r="C31" s="238"/>
      <c r="D31" s="239"/>
      <c r="E31" s="240"/>
      <c r="F31" s="19"/>
      <c r="G31" s="242"/>
      <c r="H31" s="238"/>
      <c r="I31" s="237"/>
      <c r="J31" s="236"/>
      <c r="K31" s="19"/>
    </row>
    <row r="32" spans="1:11" ht="19.5" customHeight="1" x14ac:dyDescent="0.25">
      <c r="A32" s="19"/>
      <c r="B32" s="242"/>
      <c r="C32" s="238"/>
      <c r="D32" s="239"/>
      <c r="E32" s="240"/>
      <c r="F32" s="19"/>
      <c r="G32" s="242"/>
      <c r="H32" s="238"/>
      <c r="I32" s="237"/>
      <c r="J32" s="236"/>
      <c r="K32" s="19"/>
    </row>
    <row r="33" spans="1:11" ht="19.5" customHeight="1" x14ac:dyDescent="0.25">
      <c r="A33" s="19"/>
      <c r="B33" s="242"/>
      <c r="C33" s="238"/>
      <c r="D33" s="239"/>
      <c r="E33" s="240"/>
      <c r="F33" s="19"/>
      <c r="G33" s="242"/>
      <c r="H33" s="238"/>
      <c r="I33" s="237"/>
      <c r="J33" s="236"/>
      <c r="K33" s="19"/>
    </row>
    <row r="34" spans="1:11" ht="19.5" customHeight="1" x14ac:dyDescent="0.25">
      <c r="A34" s="19"/>
      <c r="B34" s="242"/>
      <c r="C34" s="238"/>
      <c r="D34" s="239"/>
      <c r="E34" s="240"/>
      <c r="F34" s="19"/>
      <c r="G34" s="242"/>
      <c r="H34" s="238"/>
      <c r="I34" s="237"/>
      <c r="J34" s="236"/>
      <c r="K34" s="19"/>
    </row>
    <row r="35" spans="1:11" ht="19.5" customHeight="1" x14ac:dyDescent="0.25">
      <c r="A35" s="19"/>
      <c r="B35" s="242"/>
      <c r="C35" s="238"/>
      <c r="D35" s="239"/>
      <c r="E35" s="240"/>
      <c r="F35" s="19"/>
      <c r="G35" s="242"/>
      <c r="H35" s="238"/>
      <c r="I35" s="237"/>
      <c r="J35" s="236"/>
      <c r="K35" s="19"/>
    </row>
    <row r="36" spans="1:11" ht="19.5" customHeight="1" x14ac:dyDescent="0.25">
      <c r="A36" s="19"/>
      <c r="B36" s="242"/>
      <c r="C36" s="238"/>
      <c r="D36" s="239"/>
      <c r="E36" s="240"/>
      <c r="F36" s="19"/>
      <c r="G36" s="242"/>
      <c r="H36" s="238"/>
      <c r="I36" s="237"/>
      <c r="J36" s="236"/>
      <c r="K36" s="19"/>
    </row>
    <row r="37" spans="1:11" ht="19.5" customHeight="1" x14ac:dyDescent="0.25">
      <c r="A37" s="19"/>
      <c r="B37" s="233"/>
      <c r="C37" s="238"/>
      <c r="D37" s="239"/>
      <c r="E37" s="240"/>
      <c r="F37" s="19"/>
      <c r="G37" s="242"/>
      <c r="H37" s="238"/>
      <c r="I37" s="237"/>
      <c r="J37" s="236"/>
      <c r="K37" s="19"/>
    </row>
    <row r="38" spans="1:11" ht="19.5" customHeight="1" x14ac:dyDescent="0.25">
      <c r="A38" s="19"/>
      <c r="B38" s="233"/>
      <c r="C38" s="238"/>
      <c r="D38" s="239"/>
      <c r="E38" s="240"/>
      <c r="F38" s="19"/>
      <c r="G38" s="242"/>
      <c r="H38" s="238"/>
      <c r="I38" s="237"/>
      <c r="J38" s="236"/>
      <c r="K38" s="19"/>
    </row>
    <row r="39" spans="1:11" ht="19.5" customHeight="1" x14ac:dyDescent="0.25">
      <c r="A39" s="19"/>
      <c r="B39" s="244"/>
      <c r="C39" s="238"/>
      <c r="D39" s="239"/>
      <c r="E39" s="240"/>
      <c r="F39" s="19"/>
      <c r="G39" s="242"/>
      <c r="H39" s="238"/>
      <c r="I39" s="237"/>
      <c r="J39" s="236"/>
      <c r="K39" s="19"/>
    </row>
    <row r="40" spans="1:11" ht="19.5" customHeight="1" x14ac:dyDescent="0.25">
      <c r="A40" s="19"/>
      <c r="B40" s="244"/>
      <c r="C40" s="238"/>
      <c r="D40" s="239"/>
      <c r="E40" s="240"/>
      <c r="F40" s="19"/>
      <c r="G40" s="242"/>
      <c r="H40" s="238"/>
      <c r="I40" s="237"/>
      <c r="J40" s="236"/>
      <c r="K40" s="19"/>
    </row>
    <row r="41" spans="1:11" ht="19.5" customHeight="1" x14ac:dyDescent="0.25">
      <c r="A41" s="19"/>
      <c r="B41" s="244"/>
      <c r="C41" s="238"/>
      <c r="D41" s="239"/>
      <c r="E41" s="240"/>
      <c r="F41" s="19"/>
      <c r="G41" s="242"/>
      <c r="H41" s="238"/>
      <c r="I41" s="241"/>
      <c r="J41" s="240"/>
      <c r="K41" s="19"/>
    </row>
    <row r="42" spans="1:11" ht="19.5" customHeight="1" x14ac:dyDescent="0.25">
      <c r="A42" s="19"/>
      <c r="B42" s="244"/>
      <c r="C42" s="238"/>
      <c r="D42" s="239"/>
      <c r="E42" s="240"/>
      <c r="F42" s="19"/>
      <c r="G42" s="242"/>
      <c r="H42" s="238"/>
      <c r="I42" s="241"/>
      <c r="J42" s="240"/>
      <c r="K42" s="19"/>
    </row>
    <row r="43" spans="1:11" ht="19.5" customHeight="1" x14ac:dyDescent="0.25">
      <c r="A43" s="19"/>
      <c r="B43" s="233"/>
      <c r="C43" s="238"/>
      <c r="D43" s="239"/>
      <c r="E43" s="240"/>
      <c r="F43" s="19"/>
      <c r="G43" s="242"/>
      <c r="H43" s="238"/>
      <c r="I43" s="241"/>
      <c r="J43" s="240"/>
      <c r="K43" s="19"/>
    </row>
    <row r="44" spans="1:11" ht="19.5" customHeight="1" x14ac:dyDescent="0.25">
      <c r="A44" s="19"/>
      <c r="B44" s="233"/>
      <c r="C44" s="238"/>
      <c r="D44" s="239"/>
      <c r="E44" s="240"/>
      <c r="F44" s="19"/>
      <c r="G44" s="242"/>
      <c r="H44" s="238"/>
      <c r="I44" s="241"/>
      <c r="J44" s="240"/>
      <c r="K44" s="19"/>
    </row>
    <row r="45" spans="1:11" ht="19.5" customHeight="1" x14ac:dyDescent="0.25">
      <c r="A45" s="19"/>
      <c r="B45" s="233"/>
      <c r="C45" s="238"/>
      <c r="D45" s="239"/>
      <c r="E45" s="240"/>
      <c r="F45" s="19"/>
      <c r="G45" s="242"/>
      <c r="H45" s="238"/>
      <c r="I45" s="241"/>
      <c r="J45" s="240"/>
      <c r="K45" s="19"/>
    </row>
    <row r="46" spans="1:11" ht="19.5" customHeight="1" x14ac:dyDescent="0.25">
      <c r="A46" s="19"/>
      <c r="B46" s="233"/>
      <c r="C46" s="238"/>
      <c r="D46" s="239"/>
      <c r="E46" s="240"/>
      <c r="F46" s="19"/>
      <c r="G46" s="242"/>
      <c r="H46" s="238"/>
      <c r="I46" s="241"/>
      <c r="J46" s="240"/>
      <c r="K46" s="19"/>
    </row>
    <row r="47" spans="1:11" ht="19.5" customHeight="1" x14ac:dyDescent="0.25">
      <c r="A47" s="19"/>
      <c r="B47" s="233"/>
      <c r="C47" s="238"/>
      <c r="D47" s="239"/>
      <c r="E47" s="240"/>
      <c r="F47" s="19"/>
      <c r="G47" s="242"/>
      <c r="H47" s="238"/>
      <c r="I47" s="241"/>
      <c r="J47" s="240"/>
      <c r="K47" s="19"/>
    </row>
    <row r="48" spans="1:11" ht="19.5" customHeight="1" x14ac:dyDescent="0.25">
      <c r="A48" s="19"/>
      <c r="B48" s="233"/>
      <c r="C48" s="238"/>
      <c r="D48" s="239"/>
      <c r="E48" s="240"/>
      <c r="F48" s="19"/>
      <c r="G48" s="242"/>
      <c r="H48" s="238"/>
      <c r="I48" s="241"/>
      <c r="J48" s="240"/>
      <c r="K48" s="19"/>
    </row>
    <row r="49" spans="1:11" ht="19.5" customHeight="1" x14ac:dyDescent="0.25">
      <c r="A49" s="19"/>
      <c r="B49" s="233"/>
      <c r="C49" s="238"/>
      <c r="D49" s="239"/>
      <c r="E49" s="240"/>
      <c r="F49" s="19"/>
      <c r="G49" s="242"/>
      <c r="H49" s="238"/>
      <c r="I49" s="241"/>
      <c r="J49" s="240"/>
      <c r="K49" s="19"/>
    </row>
    <row r="50" spans="1:11" ht="19.5" customHeight="1" x14ac:dyDescent="0.25">
      <c r="A50" s="19"/>
      <c r="B50" s="233"/>
      <c r="C50" s="238"/>
      <c r="D50" s="239"/>
      <c r="E50" s="240"/>
      <c r="F50" s="19"/>
      <c r="G50" s="242"/>
      <c r="H50" s="238"/>
      <c r="I50" s="241"/>
      <c r="J50" s="240"/>
      <c r="K50" s="19"/>
    </row>
    <row r="51" spans="1:11" ht="19.5" customHeight="1" x14ac:dyDescent="0.25">
      <c r="A51" s="19"/>
      <c r="B51" s="233"/>
      <c r="C51" s="238"/>
      <c r="D51" s="239"/>
      <c r="E51" s="240"/>
      <c r="F51" s="19"/>
      <c r="G51" s="242"/>
      <c r="H51" s="238"/>
      <c r="I51" s="241"/>
      <c r="J51" s="240"/>
      <c r="K51" s="19"/>
    </row>
    <row r="52" spans="1:11" ht="19.5" customHeight="1" x14ac:dyDescent="0.25">
      <c r="A52" s="19"/>
      <c r="B52" s="233"/>
      <c r="C52" s="238"/>
      <c r="D52" s="239"/>
      <c r="E52" s="240"/>
      <c r="F52" s="19"/>
      <c r="G52" s="242"/>
      <c r="H52" s="238"/>
      <c r="I52" s="241"/>
      <c r="J52" s="240"/>
      <c r="K52" s="19"/>
    </row>
    <row r="53" spans="1:11" ht="19.5" customHeight="1" x14ac:dyDescent="0.25">
      <c r="A53" s="19"/>
      <c r="B53" s="233"/>
      <c r="C53" s="238"/>
      <c r="D53" s="239"/>
      <c r="E53" s="240"/>
      <c r="F53" s="19"/>
      <c r="G53" s="242"/>
      <c r="H53" s="238"/>
      <c r="I53" s="241"/>
      <c r="J53" s="240"/>
      <c r="K53" s="19"/>
    </row>
    <row r="54" spans="1:11" ht="19.5" customHeight="1" x14ac:dyDescent="0.25">
      <c r="A54" s="19"/>
      <c r="B54" s="233"/>
      <c r="C54" s="238"/>
      <c r="D54" s="239"/>
      <c r="E54" s="240"/>
      <c r="F54" s="19"/>
      <c r="G54" s="242"/>
      <c r="H54" s="238"/>
      <c r="I54" s="241"/>
      <c r="J54" s="240"/>
      <c r="K54" s="19"/>
    </row>
    <row r="55" spans="1:11" ht="19.5" customHeight="1" x14ac:dyDescent="0.25">
      <c r="A55" s="19"/>
      <c r="B55" s="233"/>
      <c r="C55" s="238"/>
      <c r="D55" s="239"/>
      <c r="E55" s="240"/>
      <c r="F55" s="19"/>
      <c r="G55" s="242"/>
      <c r="H55" s="238"/>
      <c r="I55" s="241"/>
      <c r="J55" s="240"/>
      <c r="K55" s="19"/>
    </row>
    <row r="56" spans="1:11" ht="19.5" customHeight="1" x14ac:dyDescent="0.25">
      <c r="A56" s="19"/>
      <c r="B56" s="233"/>
      <c r="C56" s="238"/>
      <c r="D56" s="239"/>
      <c r="E56" s="240"/>
      <c r="F56" s="19"/>
      <c r="G56" s="242"/>
      <c r="H56" s="238"/>
      <c r="I56" s="241"/>
      <c r="J56" s="240"/>
      <c r="K56" s="19"/>
    </row>
    <row r="57" spans="1:11" ht="19.5" customHeight="1" x14ac:dyDescent="0.25">
      <c r="A57" s="19"/>
      <c r="B57" s="233"/>
      <c r="C57" s="238"/>
      <c r="D57" s="239"/>
      <c r="E57" s="240"/>
      <c r="F57" s="19"/>
      <c r="G57" s="242"/>
      <c r="H57" s="238"/>
      <c r="I57" s="241"/>
      <c r="J57" s="240"/>
      <c r="K57" s="19"/>
    </row>
    <row r="58" spans="1:11" ht="19.5" customHeight="1" x14ac:dyDescent="0.25">
      <c r="A58" s="19"/>
      <c r="B58" s="233"/>
      <c r="C58" s="238"/>
      <c r="D58" s="239"/>
      <c r="E58" s="240"/>
      <c r="F58" s="19"/>
      <c r="G58" s="242"/>
      <c r="H58" s="238"/>
      <c r="I58" s="241"/>
      <c r="J58" s="240"/>
      <c r="K58" s="19"/>
    </row>
    <row r="59" spans="1:11" ht="19.5" customHeight="1" x14ac:dyDescent="0.25">
      <c r="A59" s="19"/>
      <c r="B59" s="233"/>
      <c r="C59" s="238"/>
      <c r="D59" s="239"/>
      <c r="E59" s="240"/>
      <c r="F59" s="19"/>
      <c r="G59" s="242"/>
      <c r="H59" s="238"/>
      <c r="I59" s="241"/>
      <c r="J59" s="240"/>
      <c r="K59" s="19"/>
    </row>
    <row r="60" spans="1:11" ht="19.5" customHeight="1" x14ac:dyDescent="0.25">
      <c r="A60" s="19"/>
      <c r="B60" s="233"/>
      <c r="C60" s="238"/>
      <c r="D60" s="239"/>
      <c r="E60" s="240"/>
      <c r="F60" s="19"/>
      <c r="G60" s="242"/>
      <c r="H60" s="238"/>
      <c r="I60" s="241"/>
      <c r="J60" s="240"/>
      <c r="K60" s="19"/>
    </row>
    <row r="61" spans="1:11" ht="19.5" customHeight="1" x14ac:dyDescent="0.25">
      <c r="A61" s="19"/>
      <c r="B61" s="244"/>
      <c r="C61" s="238"/>
      <c r="D61" s="239"/>
      <c r="E61" s="240"/>
      <c r="F61" s="19"/>
      <c r="G61" s="242"/>
      <c r="H61" s="238"/>
      <c r="I61" s="241"/>
      <c r="J61" s="240"/>
      <c r="K61" s="19"/>
    </row>
    <row r="62" spans="1:11" ht="19.5" customHeight="1" x14ac:dyDescent="0.25">
      <c r="A62" s="19"/>
      <c r="B62" s="244"/>
      <c r="C62" s="238"/>
      <c r="D62" s="239"/>
      <c r="E62" s="240"/>
      <c r="F62" s="19"/>
      <c r="G62" s="242"/>
      <c r="H62" s="238"/>
      <c r="I62" s="241"/>
      <c r="J62" s="240"/>
      <c r="K62" s="19"/>
    </row>
    <row r="63" spans="1:11" ht="19.5" customHeight="1" x14ac:dyDescent="0.25">
      <c r="A63" s="19"/>
      <c r="B63" s="233"/>
      <c r="C63" s="238"/>
      <c r="D63" s="239"/>
      <c r="E63" s="240"/>
      <c r="F63" s="19"/>
      <c r="G63" s="242"/>
      <c r="H63" s="238"/>
      <c r="I63" s="241"/>
      <c r="J63" s="240"/>
      <c r="K63" s="19"/>
    </row>
    <row r="64" spans="1:11" ht="19.5" customHeight="1" x14ac:dyDescent="0.25">
      <c r="A64" s="19"/>
      <c r="B64" s="233"/>
      <c r="C64" s="238"/>
      <c r="D64" s="239"/>
      <c r="E64" s="240"/>
      <c r="F64" s="19"/>
      <c r="G64" s="242"/>
      <c r="H64" s="238"/>
      <c r="I64" s="241"/>
      <c r="J64" s="240"/>
      <c r="K64" s="19"/>
    </row>
    <row r="65" spans="1:11" ht="19.5" customHeight="1" x14ac:dyDescent="0.25">
      <c r="A65" s="19"/>
      <c r="B65" s="233"/>
      <c r="C65" s="238"/>
      <c r="D65" s="239"/>
      <c r="E65" s="240"/>
      <c r="F65" s="19"/>
      <c r="G65" s="242"/>
      <c r="H65" s="238"/>
      <c r="I65" s="241"/>
      <c r="J65" s="240"/>
      <c r="K65" s="19"/>
    </row>
    <row r="66" spans="1:11" ht="19.5" customHeight="1" x14ac:dyDescent="0.25">
      <c r="A66" s="19"/>
      <c r="B66" s="233"/>
      <c r="C66" s="238"/>
      <c r="D66" s="239"/>
      <c r="E66" s="240"/>
      <c r="F66" s="19"/>
      <c r="G66" s="242"/>
      <c r="H66" s="238"/>
      <c r="I66" s="241"/>
      <c r="J66" s="240"/>
      <c r="K66" s="19"/>
    </row>
    <row r="67" spans="1:11" ht="19.5" customHeight="1" x14ac:dyDescent="0.25">
      <c r="A67" s="19"/>
      <c r="B67" s="233"/>
      <c r="C67" s="238"/>
      <c r="D67" s="239"/>
      <c r="E67" s="240"/>
      <c r="F67" s="19"/>
      <c r="G67" s="242"/>
      <c r="H67" s="238"/>
      <c r="I67" s="241"/>
      <c r="J67" s="240"/>
      <c r="K67" s="19"/>
    </row>
    <row r="68" spans="1:11" ht="19.5" customHeight="1" x14ac:dyDescent="0.25">
      <c r="A68" s="19"/>
      <c r="B68" s="233"/>
      <c r="C68" s="238"/>
      <c r="D68" s="239"/>
      <c r="E68" s="240"/>
      <c r="F68" s="19"/>
      <c r="G68" s="242"/>
      <c r="H68" s="238"/>
      <c r="I68" s="241"/>
      <c r="J68" s="240"/>
      <c r="K68" s="19"/>
    </row>
    <row r="69" spans="1:11" ht="19.5" customHeight="1" x14ac:dyDescent="0.25">
      <c r="A69" s="19"/>
      <c r="B69" s="233"/>
      <c r="C69" s="238"/>
      <c r="D69" s="239"/>
      <c r="E69" s="240"/>
      <c r="F69" s="19"/>
      <c r="G69" s="242"/>
      <c r="H69" s="238"/>
      <c r="I69" s="241"/>
      <c r="J69" s="240"/>
      <c r="K69" s="19"/>
    </row>
    <row r="70" spans="1:11" ht="19.5" customHeight="1" x14ac:dyDescent="0.25">
      <c r="A70" s="19"/>
      <c r="B70" s="233"/>
      <c r="C70" s="238"/>
      <c r="D70" s="239"/>
      <c r="E70" s="240"/>
      <c r="F70" s="19"/>
      <c r="G70" s="242"/>
      <c r="H70" s="238"/>
      <c r="I70" s="241"/>
      <c r="J70" s="240"/>
      <c r="K70" s="19"/>
    </row>
    <row r="71" spans="1:11" ht="19.5" customHeight="1" x14ac:dyDescent="0.25">
      <c r="A71" s="19"/>
      <c r="B71" s="233"/>
      <c r="C71" s="238"/>
      <c r="D71" s="239"/>
      <c r="E71" s="240"/>
      <c r="F71" s="19"/>
      <c r="G71" s="242"/>
      <c r="H71" s="238"/>
      <c r="I71" s="241"/>
      <c r="J71" s="240"/>
      <c r="K71" s="19"/>
    </row>
    <row r="72" spans="1:11" ht="19.5" customHeight="1" x14ac:dyDescent="0.25">
      <c r="A72" s="19"/>
      <c r="B72" s="233"/>
      <c r="C72" s="238"/>
      <c r="D72" s="239"/>
      <c r="E72" s="240"/>
      <c r="F72" s="19"/>
      <c r="G72" s="242"/>
      <c r="H72" s="238"/>
      <c r="I72" s="241"/>
      <c r="J72" s="240"/>
      <c r="K72" s="19"/>
    </row>
    <row r="73" spans="1:11" ht="19.5" customHeight="1" x14ac:dyDescent="0.25">
      <c r="A73" s="19"/>
      <c r="B73" s="233"/>
      <c r="C73" s="238"/>
      <c r="D73" s="239"/>
      <c r="E73" s="240"/>
      <c r="F73" s="19"/>
      <c r="G73" s="242"/>
      <c r="H73" s="238"/>
      <c r="I73" s="241"/>
      <c r="J73" s="240"/>
      <c r="K73" s="19"/>
    </row>
    <row r="74" spans="1:11" ht="19.5" customHeight="1" x14ac:dyDescent="0.25">
      <c r="A74" s="19"/>
      <c r="B74" s="233"/>
      <c r="C74" s="238"/>
      <c r="D74" s="239"/>
      <c r="E74" s="240"/>
      <c r="F74" s="19"/>
      <c r="G74" s="242"/>
      <c r="H74" s="238"/>
      <c r="I74" s="241"/>
      <c r="J74" s="240"/>
      <c r="K74" s="19"/>
    </row>
    <row r="75" spans="1:11" ht="19.5" customHeight="1" x14ac:dyDescent="0.25">
      <c r="A75" s="19"/>
      <c r="B75" s="233"/>
      <c r="C75" s="238"/>
      <c r="D75" s="239"/>
      <c r="E75" s="240"/>
      <c r="F75" s="19"/>
      <c r="G75" s="242"/>
      <c r="H75" s="238"/>
      <c r="I75" s="241"/>
      <c r="J75" s="240"/>
      <c r="K75" s="19"/>
    </row>
    <row r="76" spans="1:11" ht="19.5" customHeight="1" x14ac:dyDescent="0.25">
      <c r="A76" s="19"/>
      <c r="B76" s="233"/>
      <c r="C76" s="238"/>
      <c r="D76" s="239"/>
      <c r="E76" s="240"/>
      <c r="F76" s="19"/>
      <c r="G76" s="242"/>
      <c r="H76" s="238"/>
      <c r="I76" s="241"/>
      <c r="J76" s="240"/>
      <c r="K76" s="19"/>
    </row>
    <row r="77" spans="1:11" ht="19.5" customHeight="1" x14ac:dyDescent="0.25">
      <c r="A77" s="19"/>
      <c r="B77" s="233"/>
      <c r="C77" s="238"/>
      <c r="D77" s="239"/>
      <c r="E77" s="240"/>
      <c r="F77" s="19"/>
      <c r="G77" s="242"/>
      <c r="H77" s="238"/>
      <c r="I77" s="241"/>
      <c r="J77" s="240"/>
      <c r="K77" s="19"/>
    </row>
    <row r="78" spans="1:11" ht="19.5" customHeight="1" x14ac:dyDescent="0.25">
      <c r="A78" s="19"/>
      <c r="B78" s="233"/>
      <c r="C78" s="238"/>
      <c r="D78" s="239"/>
      <c r="E78" s="240"/>
      <c r="F78" s="19"/>
      <c r="G78" s="242"/>
      <c r="H78" s="238"/>
      <c r="I78" s="241"/>
      <c r="J78" s="240"/>
      <c r="K78" s="19"/>
    </row>
    <row r="79" spans="1:11" ht="19.5" customHeight="1" x14ac:dyDescent="0.25">
      <c r="A79" s="19"/>
      <c r="B79" s="233"/>
      <c r="C79" s="238"/>
      <c r="D79" s="239"/>
      <c r="E79" s="240"/>
      <c r="F79" s="19"/>
      <c r="G79" s="242"/>
      <c r="H79" s="238"/>
      <c r="I79" s="241"/>
      <c r="J79" s="240"/>
      <c r="K79" s="19"/>
    </row>
    <row r="80" spans="1:11" ht="19.5" customHeight="1" x14ac:dyDescent="0.25">
      <c r="A80" s="19"/>
      <c r="B80" s="233"/>
      <c r="C80" s="238"/>
      <c r="D80" s="239"/>
      <c r="E80" s="240"/>
      <c r="F80" s="19"/>
      <c r="G80" s="242"/>
      <c r="H80" s="238"/>
      <c r="I80" s="241"/>
      <c r="J80" s="240"/>
      <c r="K80" s="19"/>
    </row>
    <row r="81" spans="1:11" ht="19.5" customHeight="1" x14ac:dyDescent="0.25">
      <c r="A81" s="19"/>
      <c r="B81" s="233"/>
      <c r="C81" s="238"/>
      <c r="D81" s="239"/>
      <c r="E81" s="240"/>
      <c r="F81" s="19"/>
      <c r="G81" s="242"/>
      <c r="H81" s="238"/>
      <c r="I81" s="241"/>
      <c r="J81" s="240"/>
      <c r="K81" s="19"/>
    </row>
    <row r="82" spans="1:11" ht="19.5" customHeight="1" x14ac:dyDescent="0.25">
      <c r="A82" s="19"/>
      <c r="B82" s="233"/>
      <c r="C82" s="238"/>
      <c r="D82" s="239"/>
      <c r="E82" s="240"/>
      <c r="F82" s="19"/>
      <c r="G82" s="242"/>
      <c r="H82" s="238"/>
      <c r="I82" s="241"/>
      <c r="J82" s="240"/>
      <c r="K82" s="19"/>
    </row>
    <row r="83" spans="1:11" ht="19.5" customHeight="1" x14ac:dyDescent="0.25">
      <c r="A83" s="19"/>
      <c r="B83" s="233"/>
      <c r="C83" s="238"/>
      <c r="D83" s="239"/>
      <c r="E83" s="240"/>
      <c r="F83" s="19"/>
      <c r="G83" s="242"/>
      <c r="H83" s="238"/>
      <c r="I83" s="241"/>
      <c r="J83" s="240"/>
      <c r="K83" s="19"/>
    </row>
    <row r="84" spans="1:11" ht="19.5" customHeight="1" x14ac:dyDescent="0.25">
      <c r="A84" s="19"/>
      <c r="B84" s="233"/>
      <c r="C84" s="238"/>
      <c r="D84" s="239"/>
      <c r="E84" s="240"/>
      <c r="F84" s="19"/>
      <c r="G84" s="242"/>
      <c r="H84" s="238"/>
      <c r="I84" s="241"/>
      <c r="J84" s="240"/>
      <c r="K84" s="19"/>
    </row>
    <row r="85" spans="1:11" ht="19.5" customHeight="1" x14ac:dyDescent="0.25">
      <c r="A85" s="19"/>
      <c r="B85" s="233"/>
      <c r="C85" s="238"/>
      <c r="D85" s="239"/>
      <c r="E85" s="240"/>
      <c r="F85" s="19"/>
      <c r="G85" s="242"/>
      <c r="H85" s="238"/>
      <c r="I85" s="241"/>
      <c r="J85" s="240"/>
      <c r="K85" s="19"/>
    </row>
    <row r="86" spans="1:11" ht="19.5" customHeight="1" x14ac:dyDescent="0.25">
      <c r="A86" s="19"/>
      <c r="B86" s="233"/>
      <c r="C86" s="238"/>
      <c r="D86" s="239"/>
      <c r="E86" s="240"/>
      <c r="F86" s="19"/>
      <c r="G86" s="242"/>
      <c r="H86" s="238"/>
      <c r="I86" s="241"/>
      <c r="J86" s="240"/>
      <c r="K86" s="19"/>
    </row>
    <row r="87" spans="1:11" ht="19.5" customHeight="1" x14ac:dyDescent="0.25">
      <c r="A87" s="19"/>
      <c r="B87" s="233"/>
      <c r="C87" s="238"/>
      <c r="D87" s="239"/>
      <c r="E87" s="240"/>
      <c r="F87" s="19"/>
      <c r="G87" s="242"/>
      <c r="H87" s="238"/>
      <c r="I87" s="241"/>
      <c r="J87" s="240"/>
      <c r="K87" s="19"/>
    </row>
    <row r="88" spans="1:11" ht="19.5" customHeight="1" x14ac:dyDescent="0.25">
      <c r="A88" s="19"/>
      <c r="B88" s="233"/>
      <c r="C88" s="238"/>
      <c r="D88" s="239"/>
      <c r="E88" s="240"/>
      <c r="F88" s="19"/>
      <c r="G88" s="242"/>
      <c r="H88" s="238"/>
      <c r="I88" s="241"/>
      <c r="J88" s="240"/>
      <c r="K88" s="19"/>
    </row>
    <row r="89" spans="1:11" ht="19.5" customHeight="1" x14ac:dyDescent="0.25">
      <c r="A89" s="19"/>
      <c r="B89" s="233"/>
      <c r="C89" s="238"/>
      <c r="D89" s="239"/>
      <c r="E89" s="240"/>
      <c r="F89" s="19"/>
      <c r="G89" s="242"/>
      <c r="H89" s="238"/>
      <c r="I89" s="241"/>
      <c r="J89" s="240"/>
      <c r="K89" s="19"/>
    </row>
    <row r="90" spans="1:11" ht="19.5" customHeight="1" x14ac:dyDescent="0.25">
      <c r="A90" s="19"/>
      <c r="B90" s="233"/>
      <c r="C90" s="238"/>
      <c r="D90" s="239"/>
      <c r="E90" s="240"/>
      <c r="F90" s="19"/>
      <c r="G90" s="242"/>
      <c r="H90" s="238"/>
      <c r="I90" s="241"/>
      <c r="J90" s="240"/>
      <c r="K90" s="19"/>
    </row>
    <row r="91" spans="1:11" ht="19.5" customHeight="1" x14ac:dyDescent="0.25">
      <c r="A91" s="19"/>
      <c r="B91" s="233"/>
      <c r="C91" s="238"/>
      <c r="D91" s="239"/>
      <c r="E91" s="240"/>
      <c r="F91" s="19"/>
      <c r="G91" s="242"/>
      <c r="H91" s="238"/>
      <c r="I91" s="241"/>
      <c r="J91" s="240"/>
      <c r="K91" s="19"/>
    </row>
    <row r="92" spans="1:11" ht="19.5" customHeight="1" x14ac:dyDescent="0.25">
      <c r="A92" s="19"/>
      <c r="B92" s="233"/>
      <c r="C92" s="238"/>
      <c r="D92" s="239"/>
      <c r="E92" s="240"/>
      <c r="F92" s="19"/>
      <c r="G92" s="242"/>
      <c r="H92" s="238"/>
      <c r="I92" s="241"/>
      <c r="J92" s="240"/>
      <c r="K92" s="19"/>
    </row>
    <row r="93" spans="1:11" ht="19.5" customHeight="1" x14ac:dyDescent="0.25">
      <c r="A93" s="19"/>
      <c r="B93" s="233"/>
      <c r="C93" s="238"/>
      <c r="D93" s="239"/>
      <c r="E93" s="240"/>
      <c r="F93" s="19"/>
      <c r="G93" s="242"/>
      <c r="H93" s="238"/>
      <c r="I93" s="241"/>
      <c r="J93" s="240"/>
      <c r="K93" s="19"/>
    </row>
    <row r="94" spans="1:11" ht="19.5" customHeight="1" x14ac:dyDescent="0.25">
      <c r="A94" s="19"/>
      <c r="B94" s="233"/>
      <c r="C94" s="238"/>
      <c r="D94" s="239"/>
      <c r="E94" s="240"/>
      <c r="F94" s="19"/>
      <c r="G94" s="242"/>
      <c r="H94" s="238"/>
      <c r="I94" s="241"/>
      <c r="J94" s="240"/>
      <c r="K94" s="19"/>
    </row>
    <row r="95" spans="1:11" ht="19.5" customHeight="1" x14ac:dyDescent="0.25">
      <c r="A95" s="19"/>
      <c r="B95" s="233"/>
      <c r="C95" s="238"/>
      <c r="D95" s="239"/>
      <c r="E95" s="240"/>
      <c r="F95" s="19"/>
      <c r="G95" s="242"/>
      <c r="H95" s="238"/>
      <c r="I95" s="241"/>
      <c r="J95" s="240"/>
      <c r="K95" s="19"/>
    </row>
    <row r="96" spans="1:11" ht="19.5" customHeight="1" x14ac:dyDescent="0.25">
      <c r="A96" s="19"/>
      <c r="B96" s="233"/>
      <c r="C96" s="238"/>
      <c r="D96" s="239"/>
      <c r="E96" s="240"/>
      <c r="F96" s="19"/>
      <c r="G96" s="242"/>
      <c r="H96" s="238"/>
      <c r="I96" s="241"/>
      <c r="J96" s="240"/>
      <c r="K96" s="19"/>
    </row>
    <row r="97" spans="1:11" ht="19.5" customHeight="1" x14ac:dyDescent="0.25">
      <c r="A97" s="19"/>
      <c r="B97" s="233"/>
      <c r="C97" s="238"/>
      <c r="D97" s="239"/>
      <c r="E97" s="240"/>
      <c r="F97" s="19"/>
      <c r="G97" s="242"/>
      <c r="H97" s="238"/>
      <c r="I97" s="241"/>
      <c r="J97" s="240"/>
      <c r="K97" s="19"/>
    </row>
    <row r="98" spans="1:11" ht="19.5" customHeight="1" x14ac:dyDescent="0.25">
      <c r="A98" s="19"/>
      <c r="B98" s="233"/>
      <c r="C98" s="238"/>
      <c r="D98" s="239"/>
      <c r="E98" s="240"/>
      <c r="F98" s="19"/>
      <c r="G98" s="242"/>
      <c r="H98" s="238"/>
      <c r="I98" s="241"/>
      <c r="J98" s="240"/>
      <c r="K98" s="19"/>
    </row>
    <row r="99" spans="1:11" ht="19.5" customHeight="1" x14ac:dyDescent="0.25">
      <c r="A99" s="19"/>
      <c r="B99" s="233"/>
      <c r="C99" s="238"/>
      <c r="D99" s="239"/>
      <c r="E99" s="240"/>
      <c r="F99" s="19"/>
      <c r="G99" s="242"/>
      <c r="H99" s="238"/>
      <c r="I99" s="241"/>
      <c r="J99" s="240"/>
      <c r="K99" s="19"/>
    </row>
    <row r="100" spans="1:11" ht="19.5" customHeight="1" x14ac:dyDescent="0.25">
      <c r="A100" s="19"/>
      <c r="B100" s="233"/>
      <c r="C100" s="238"/>
      <c r="D100" s="239"/>
      <c r="E100" s="240"/>
      <c r="F100" s="19"/>
      <c r="G100" s="242"/>
      <c r="H100" s="238"/>
      <c r="I100" s="241"/>
      <c r="J100" s="240"/>
      <c r="K100" s="19"/>
    </row>
    <row r="101" spans="1:11" ht="19.5" customHeight="1" x14ac:dyDescent="0.25">
      <c r="A101" s="19"/>
      <c r="B101" s="233"/>
      <c r="C101" s="238"/>
      <c r="D101" s="239"/>
      <c r="E101" s="240"/>
      <c r="F101" s="19"/>
      <c r="G101" s="242"/>
      <c r="H101" s="238"/>
      <c r="I101" s="241"/>
      <c r="J101" s="240"/>
      <c r="K101" s="19"/>
    </row>
    <row r="102" spans="1:11" ht="19.5" customHeight="1" x14ac:dyDescent="0.25">
      <c r="A102" s="19"/>
      <c r="B102" s="233"/>
      <c r="C102" s="238"/>
      <c r="D102" s="239"/>
      <c r="E102" s="240"/>
      <c r="F102" s="19"/>
      <c r="G102" s="242"/>
      <c r="H102" s="238"/>
      <c r="I102" s="241"/>
      <c r="J102" s="240"/>
      <c r="K102" s="19"/>
    </row>
    <row r="103" spans="1:11" ht="19.5" customHeight="1" x14ac:dyDescent="0.25">
      <c r="A103" s="19"/>
      <c r="B103" s="233"/>
      <c r="C103" s="238"/>
      <c r="D103" s="239"/>
      <c r="E103" s="240"/>
      <c r="F103" s="19"/>
      <c r="G103" s="242"/>
      <c r="H103" s="238"/>
      <c r="I103" s="241"/>
      <c r="J103" s="240"/>
      <c r="K103" s="19"/>
    </row>
    <row r="104" spans="1:11" ht="19.5" customHeight="1" x14ac:dyDescent="0.25">
      <c r="A104" s="19"/>
      <c r="B104" s="233"/>
      <c r="C104" s="238"/>
      <c r="D104" s="239"/>
      <c r="E104" s="240"/>
      <c r="F104" s="19"/>
      <c r="G104" s="242"/>
      <c r="H104" s="238"/>
      <c r="I104" s="241"/>
      <c r="J104" s="240"/>
      <c r="K104" s="19"/>
    </row>
    <row r="105" spans="1:11" ht="19.5" customHeight="1" x14ac:dyDescent="0.25">
      <c r="A105" s="19"/>
      <c r="B105" s="233"/>
      <c r="C105" s="238"/>
      <c r="D105" s="239"/>
      <c r="E105" s="240"/>
      <c r="F105" s="19"/>
      <c r="G105" s="242"/>
      <c r="H105" s="238"/>
      <c r="I105" s="241"/>
      <c r="J105" s="240"/>
      <c r="K105" s="19"/>
    </row>
    <row r="106" spans="1:11" ht="19.5" customHeight="1" x14ac:dyDescent="0.25">
      <c r="A106" s="19"/>
      <c r="B106" s="233"/>
      <c r="C106" s="238"/>
      <c r="D106" s="239"/>
      <c r="E106" s="240"/>
      <c r="F106" s="19"/>
      <c r="G106" s="242"/>
      <c r="H106" s="238"/>
      <c r="I106" s="241"/>
      <c r="J106" s="240"/>
      <c r="K106" s="19"/>
    </row>
    <row r="107" spans="1:11" ht="19.5" customHeight="1" x14ac:dyDescent="0.25">
      <c r="A107" s="19"/>
      <c r="B107" s="233"/>
      <c r="C107" s="238"/>
      <c r="D107" s="239"/>
      <c r="E107" s="240"/>
      <c r="F107" s="19"/>
      <c r="G107" s="242"/>
      <c r="H107" s="238"/>
      <c r="I107" s="241"/>
      <c r="J107" s="240"/>
      <c r="K107" s="19"/>
    </row>
    <row r="108" spans="1:11" ht="19.5" customHeight="1" x14ac:dyDescent="0.25">
      <c r="A108" s="19"/>
      <c r="B108" s="233"/>
      <c r="C108" s="238"/>
      <c r="D108" s="239"/>
      <c r="E108" s="240"/>
      <c r="F108" s="19"/>
      <c r="G108" s="242"/>
      <c r="H108" s="238"/>
      <c r="I108" s="241"/>
      <c r="J108" s="240"/>
      <c r="K108" s="19"/>
    </row>
    <row r="109" spans="1:11" ht="19.5" customHeight="1" x14ac:dyDescent="0.25">
      <c r="A109" s="19"/>
      <c r="B109" s="233"/>
      <c r="C109" s="238"/>
      <c r="D109" s="239"/>
      <c r="E109" s="240"/>
      <c r="F109" s="19"/>
      <c r="G109" s="242"/>
      <c r="H109" s="238"/>
      <c r="I109" s="241"/>
      <c r="J109" s="240"/>
      <c r="K109" s="19"/>
    </row>
    <row r="110" spans="1:11" ht="19.5" customHeight="1" x14ac:dyDescent="0.25">
      <c r="A110" s="19"/>
      <c r="B110" s="233"/>
      <c r="C110" s="238"/>
      <c r="D110" s="239"/>
      <c r="E110" s="240"/>
      <c r="F110" s="19"/>
      <c r="G110" s="242"/>
      <c r="H110" s="238"/>
      <c r="I110" s="241"/>
      <c r="J110" s="240"/>
      <c r="K110" s="19"/>
    </row>
    <row r="111" spans="1:11" ht="19.5" customHeight="1" x14ac:dyDescent="0.25">
      <c r="A111" s="19"/>
      <c r="B111" s="233"/>
      <c r="C111" s="238"/>
      <c r="D111" s="239"/>
      <c r="E111" s="240"/>
      <c r="F111" s="19"/>
      <c r="G111" s="242"/>
      <c r="H111" s="238"/>
      <c r="I111" s="241"/>
      <c r="J111" s="240"/>
      <c r="K111" s="19"/>
    </row>
    <row r="112" spans="1:11" ht="19.5" customHeight="1" x14ac:dyDescent="0.25">
      <c r="A112" s="19"/>
      <c r="B112" s="233"/>
      <c r="C112" s="238"/>
      <c r="D112" s="239"/>
      <c r="E112" s="240"/>
      <c r="F112" s="19"/>
      <c r="G112" s="242"/>
      <c r="H112" s="238"/>
      <c r="I112" s="241"/>
      <c r="J112" s="240"/>
      <c r="K112" s="19"/>
    </row>
    <row r="113" spans="1:11" ht="19.5" customHeight="1" x14ac:dyDescent="0.25">
      <c r="A113" s="19"/>
      <c r="B113" s="233"/>
      <c r="C113" s="238"/>
      <c r="D113" s="239"/>
      <c r="E113" s="240"/>
      <c r="F113" s="19"/>
      <c r="G113" s="242"/>
      <c r="H113" s="238"/>
      <c r="I113" s="241"/>
      <c r="J113" s="240"/>
      <c r="K113" s="19"/>
    </row>
    <row r="114" spans="1:11" ht="19.5" customHeight="1" x14ac:dyDescent="0.25">
      <c r="A114" s="19"/>
      <c r="B114" s="233"/>
      <c r="C114" s="238"/>
      <c r="D114" s="239"/>
      <c r="E114" s="240"/>
      <c r="F114" s="19"/>
      <c r="G114" s="242"/>
      <c r="H114" s="238"/>
      <c r="I114" s="241"/>
      <c r="J114" s="240"/>
      <c r="K114" s="19"/>
    </row>
    <row r="115" spans="1:11" ht="19.5" customHeight="1" x14ac:dyDescent="0.25">
      <c r="A115" s="19"/>
      <c r="B115" s="233"/>
      <c r="C115" s="238"/>
      <c r="D115" s="239"/>
      <c r="E115" s="240"/>
      <c r="F115" s="19"/>
      <c r="G115" s="242"/>
      <c r="H115" s="238"/>
      <c r="I115" s="241"/>
      <c r="J115" s="240"/>
      <c r="K115" s="19"/>
    </row>
    <row r="116" spans="1:11" ht="19.5" customHeight="1" x14ac:dyDescent="0.25">
      <c r="A116" s="19"/>
      <c r="B116" s="233"/>
      <c r="C116" s="238"/>
      <c r="D116" s="239"/>
      <c r="E116" s="240"/>
      <c r="F116" s="19"/>
      <c r="G116" s="242"/>
      <c r="H116" s="238"/>
      <c r="I116" s="241"/>
      <c r="J116" s="240"/>
      <c r="K116" s="19"/>
    </row>
    <row r="117" spans="1:11" ht="19.5" customHeight="1" x14ac:dyDescent="0.25">
      <c r="A117" s="19"/>
      <c r="B117" s="233"/>
      <c r="C117" s="238"/>
      <c r="D117" s="239"/>
      <c r="E117" s="240"/>
      <c r="F117" s="19"/>
      <c r="G117" s="242"/>
      <c r="H117" s="238"/>
      <c r="I117" s="241"/>
      <c r="J117" s="240"/>
      <c r="K117" s="19"/>
    </row>
    <row r="118" spans="1:11" ht="19.5" customHeight="1" x14ac:dyDescent="0.25">
      <c r="A118" s="19"/>
      <c r="B118" s="233"/>
      <c r="C118" s="238"/>
      <c r="D118" s="239"/>
      <c r="E118" s="240"/>
      <c r="F118" s="19"/>
      <c r="G118" s="242"/>
      <c r="H118" s="238"/>
      <c r="I118" s="241"/>
      <c r="J118" s="240"/>
      <c r="K118" s="19"/>
    </row>
    <row r="119" spans="1:11" ht="19.5" customHeight="1" x14ac:dyDescent="0.25">
      <c r="A119" s="19"/>
      <c r="B119" s="233"/>
      <c r="C119" s="238"/>
      <c r="D119" s="239"/>
      <c r="E119" s="240"/>
      <c r="F119" s="19"/>
      <c r="G119" s="242"/>
      <c r="H119" s="238"/>
      <c r="I119" s="241"/>
      <c r="J119" s="240"/>
      <c r="K119" s="19"/>
    </row>
    <row r="120" spans="1:11" ht="19.5" customHeight="1" x14ac:dyDescent="0.25">
      <c r="A120" s="19"/>
      <c r="B120" s="233"/>
      <c r="C120" s="238"/>
      <c r="D120" s="239"/>
      <c r="E120" s="240"/>
      <c r="F120" s="19"/>
      <c r="G120" s="242"/>
      <c r="H120" s="238"/>
      <c r="I120" s="241"/>
      <c r="J120" s="240"/>
      <c r="K120" s="19"/>
    </row>
    <row r="121" spans="1:11" ht="19.5" customHeight="1" x14ac:dyDescent="0.25">
      <c r="A121" s="19"/>
      <c r="B121" s="233"/>
      <c r="C121" s="238"/>
      <c r="D121" s="239"/>
      <c r="E121" s="240"/>
      <c r="F121" s="19"/>
      <c r="G121" s="242"/>
      <c r="H121" s="238"/>
      <c r="I121" s="241"/>
      <c r="J121" s="240"/>
      <c r="K121" s="19"/>
    </row>
    <row r="122" spans="1:11" ht="19.5" customHeight="1" x14ac:dyDescent="0.25">
      <c r="A122" s="19"/>
      <c r="B122" s="233"/>
      <c r="C122" s="238"/>
      <c r="D122" s="239"/>
      <c r="E122" s="240"/>
      <c r="F122" s="19"/>
      <c r="G122" s="242"/>
      <c r="H122" s="238"/>
      <c r="I122" s="241"/>
      <c r="J122" s="240"/>
      <c r="K122" s="19"/>
    </row>
    <row r="123" spans="1:11" ht="19.5" customHeight="1" x14ac:dyDescent="0.25">
      <c r="A123" s="19"/>
      <c r="B123" s="233"/>
      <c r="C123" s="238"/>
      <c r="D123" s="239"/>
      <c r="E123" s="240"/>
      <c r="F123" s="19"/>
      <c r="G123" s="242"/>
      <c r="H123" s="238"/>
      <c r="I123" s="241"/>
      <c r="J123" s="240"/>
      <c r="K123" s="19"/>
    </row>
    <row r="124" spans="1:11" ht="19.5" customHeight="1" x14ac:dyDescent="0.25">
      <c r="A124" s="19"/>
      <c r="B124" s="233"/>
      <c r="C124" s="238"/>
      <c r="D124" s="239"/>
      <c r="E124" s="240"/>
      <c r="F124" s="19"/>
      <c r="G124" s="242"/>
      <c r="H124" s="238"/>
      <c r="I124" s="241"/>
      <c r="J124" s="240"/>
      <c r="K124" s="19"/>
    </row>
    <row r="125" spans="1:11" ht="19.5" customHeight="1" x14ac:dyDescent="0.25">
      <c r="A125" s="19"/>
      <c r="B125" s="233"/>
      <c r="C125" s="238"/>
      <c r="D125" s="239"/>
      <c r="E125" s="240"/>
      <c r="F125" s="19"/>
      <c r="G125" s="242"/>
      <c r="H125" s="238"/>
      <c r="I125" s="241"/>
      <c r="J125" s="240"/>
      <c r="K125" s="19"/>
    </row>
    <row r="126" spans="1:11" ht="19.5" customHeight="1" x14ac:dyDescent="0.25">
      <c r="A126" s="19"/>
      <c r="B126" s="233"/>
      <c r="C126" s="238"/>
      <c r="D126" s="239"/>
      <c r="E126" s="240"/>
      <c r="F126" s="19"/>
      <c r="G126" s="242"/>
      <c r="H126" s="238"/>
      <c r="I126" s="241"/>
      <c r="J126" s="240"/>
      <c r="K126" s="19"/>
    </row>
    <row r="127" spans="1:11" ht="19.5" customHeight="1" x14ac:dyDescent="0.25">
      <c r="A127" s="19"/>
      <c r="B127" s="233"/>
      <c r="C127" s="238"/>
      <c r="D127" s="239"/>
      <c r="E127" s="240"/>
      <c r="F127" s="19"/>
      <c r="G127" s="242"/>
      <c r="H127" s="238"/>
      <c r="I127" s="241"/>
      <c r="J127" s="240"/>
      <c r="K127" s="19"/>
    </row>
    <row r="128" spans="1:11" ht="19.5" customHeight="1" x14ac:dyDescent="0.25">
      <c r="A128" s="19"/>
      <c r="B128" s="233"/>
      <c r="C128" s="238"/>
      <c r="D128" s="239"/>
      <c r="E128" s="240"/>
      <c r="F128" s="19"/>
      <c r="G128" s="242"/>
      <c r="H128" s="238"/>
      <c r="I128" s="241"/>
      <c r="J128" s="240"/>
      <c r="K128" s="19"/>
    </row>
    <row r="129" spans="1:11" ht="19.5" customHeight="1" x14ac:dyDescent="0.25">
      <c r="A129" s="19"/>
      <c r="B129" s="233"/>
      <c r="C129" s="238"/>
      <c r="D129" s="239"/>
      <c r="E129" s="240"/>
      <c r="F129" s="19"/>
      <c r="G129" s="242"/>
      <c r="H129" s="238"/>
      <c r="I129" s="241"/>
      <c r="J129" s="240"/>
      <c r="K129" s="19"/>
    </row>
    <row r="130" spans="1:11" ht="19.5" customHeight="1" x14ac:dyDescent="0.25">
      <c r="A130" s="19"/>
      <c r="B130" s="233"/>
      <c r="C130" s="238"/>
      <c r="D130" s="239"/>
      <c r="E130" s="240"/>
      <c r="F130" s="19"/>
      <c r="G130" s="242"/>
      <c r="H130" s="238"/>
      <c r="I130" s="241"/>
      <c r="J130" s="240"/>
      <c r="K130" s="19"/>
    </row>
    <row r="131" spans="1:11" ht="19.5" customHeight="1" x14ac:dyDescent="0.25">
      <c r="A131" s="19"/>
      <c r="B131" s="233"/>
      <c r="C131" s="238"/>
      <c r="D131" s="239"/>
      <c r="E131" s="240"/>
      <c r="F131" s="19"/>
      <c r="G131" s="242"/>
      <c r="H131" s="238"/>
      <c r="I131" s="241"/>
      <c r="J131" s="240"/>
      <c r="K131" s="19"/>
    </row>
    <row r="132" spans="1:11" ht="19.5" customHeight="1" x14ac:dyDescent="0.25">
      <c r="A132" s="19"/>
      <c r="B132" s="233"/>
      <c r="C132" s="238"/>
      <c r="D132" s="239"/>
      <c r="E132" s="240"/>
      <c r="F132" s="19"/>
      <c r="G132" s="242"/>
      <c r="H132" s="238"/>
      <c r="I132" s="241"/>
      <c r="J132" s="240"/>
      <c r="K132" s="19"/>
    </row>
    <row r="133" spans="1:11" ht="19.5" customHeight="1" x14ac:dyDescent="0.25">
      <c r="A133" s="19"/>
      <c r="B133" s="233"/>
      <c r="C133" s="238"/>
      <c r="D133" s="239"/>
      <c r="E133" s="240"/>
      <c r="F133" s="19"/>
      <c r="G133" s="242"/>
      <c r="H133" s="238"/>
      <c r="I133" s="241"/>
      <c r="J133" s="240"/>
      <c r="K133" s="19"/>
    </row>
    <row r="134" spans="1:11" ht="19.5" customHeight="1" x14ac:dyDescent="0.25">
      <c r="A134" s="19"/>
      <c r="B134" s="233"/>
      <c r="E134" s="240"/>
      <c r="F134" s="19"/>
      <c r="G134" s="242"/>
      <c r="H134" s="238"/>
      <c r="I134" s="241"/>
      <c r="J134" s="240"/>
      <c r="K134" s="19"/>
    </row>
    <row r="135" spans="1:11" ht="19.5" customHeight="1" x14ac:dyDescent="0.25">
      <c r="A135" s="19"/>
      <c r="B135" s="233"/>
      <c r="C135" s="238"/>
      <c r="D135" s="239"/>
      <c r="E135" s="240"/>
      <c r="F135" s="19"/>
      <c r="G135" s="242"/>
      <c r="H135" s="238"/>
      <c r="I135" s="241"/>
      <c r="J135" s="240"/>
      <c r="K135" s="19"/>
    </row>
    <row r="136" spans="1:11" ht="19.5" customHeight="1" x14ac:dyDescent="0.25">
      <c r="A136" s="19"/>
      <c r="B136" s="233"/>
      <c r="C136" s="238"/>
      <c r="D136" s="239"/>
      <c r="E136" s="240"/>
      <c r="F136" s="19"/>
      <c r="G136" s="242"/>
      <c r="H136" s="238"/>
      <c r="I136" s="241"/>
      <c r="J136" s="240"/>
      <c r="K136" s="19"/>
    </row>
    <row r="137" spans="1:11" ht="19.5" customHeight="1" x14ac:dyDescent="0.25">
      <c r="A137" s="19"/>
      <c r="B137" s="233"/>
      <c r="C137" s="238"/>
      <c r="D137" s="239"/>
      <c r="E137" s="240"/>
      <c r="F137" s="19"/>
      <c r="G137" s="242"/>
      <c r="H137" s="238"/>
      <c r="I137" s="241"/>
      <c r="J137" s="240"/>
      <c r="K137" s="19"/>
    </row>
    <row r="138" spans="1:11" ht="19.5" customHeight="1" x14ac:dyDescent="0.25">
      <c r="A138" s="19"/>
      <c r="B138" s="233"/>
      <c r="C138" s="238"/>
      <c r="D138" s="239"/>
      <c r="E138" s="240"/>
      <c r="F138" s="19"/>
      <c r="G138" s="242"/>
      <c r="H138" s="238"/>
      <c r="I138" s="241"/>
      <c r="J138" s="240"/>
      <c r="K138" s="19"/>
    </row>
    <row r="139" spans="1:11" ht="19.5" customHeight="1" x14ac:dyDescent="0.25">
      <c r="A139" s="19"/>
      <c r="B139" s="233"/>
      <c r="C139" s="238"/>
      <c r="D139" s="239"/>
      <c r="E139" s="240"/>
      <c r="F139" s="19"/>
      <c r="G139" s="242"/>
      <c r="H139" s="238"/>
      <c r="I139" s="241"/>
      <c r="J139" s="240"/>
      <c r="K139" s="19"/>
    </row>
    <row r="140" spans="1:11" ht="19.5" customHeight="1" x14ac:dyDescent="0.25">
      <c r="A140" s="19"/>
      <c r="B140" s="233"/>
      <c r="C140" s="238"/>
      <c r="D140" s="239"/>
      <c r="E140" s="240"/>
      <c r="F140" s="19"/>
      <c r="G140" s="242"/>
      <c r="H140" s="238"/>
      <c r="I140" s="241"/>
      <c r="J140" s="240"/>
      <c r="K140" s="19"/>
    </row>
    <row r="141" spans="1:11" ht="19.5" customHeight="1" x14ac:dyDescent="0.25">
      <c r="A141" s="19"/>
      <c r="B141" s="233"/>
      <c r="C141" s="238"/>
      <c r="D141" s="239"/>
      <c r="E141" s="240"/>
      <c r="F141" s="19"/>
      <c r="G141" s="242"/>
      <c r="H141" s="238"/>
      <c r="I141" s="241"/>
      <c r="J141" s="240"/>
      <c r="K141" s="19"/>
    </row>
    <row r="142" spans="1:11" ht="19.5" customHeight="1" x14ac:dyDescent="0.25">
      <c r="A142" s="19"/>
      <c r="B142" s="233"/>
      <c r="C142" s="238"/>
      <c r="D142" s="239"/>
      <c r="E142" s="240"/>
      <c r="F142" s="19"/>
      <c r="G142" s="242"/>
      <c r="H142" s="238"/>
      <c r="I142" s="241"/>
      <c r="J142" s="240"/>
      <c r="K142" s="19"/>
    </row>
    <row r="143" spans="1:11" ht="19.5" customHeight="1" x14ac:dyDescent="0.25">
      <c r="A143" s="19"/>
      <c r="B143" s="233"/>
      <c r="C143" s="238"/>
      <c r="D143" s="239"/>
      <c r="E143" s="240"/>
      <c r="F143" s="19"/>
      <c r="G143" s="242"/>
      <c r="H143" s="238"/>
      <c r="I143" s="241"/>
      <c r="J143" s="240"/>
      <c r="K143" s="19"/>
    </row>
    <row r="144" spans="1:11" ht="19.5" customHeight="1" x14ac:dyDescent="0.25">
      <c r="A144" s="19"/>
      <c r="B144" s="233"/>
      <c r="C144" s="238"/>
      <c r="D144" s="239"/>
      <c r="E144" s="240"/>
      <c r="F144" s="19"/>
      <c r="G144" s="242"/>
      <c r="H144" s="238"/>
      <c r="I144" s="241"/>
      <c r="J144" s="240"/>
      <c r="K144" s="19"/>
    </row>
    <row r="145" spans="1:11" ht="19.5" customHeight="1" x14ac:dyDescent="0.25">
      <c r="A145" s="19"/>
      <c r="B145" s="233"/>
      <c r="C145" s="238"/>
      <c r="D145" s="239"/>
      <c r="E145" s="240"/>
      <c r="F145" s="19"/>
      <c r="G145" s="242"/>
      <c r="H145" s="238"/>
      <c r="I145" s="241"/>
      <c r="J145" s="240"/>
      <c r="K145" s="19"/>
    </row>
    <row r="146" spans="1:11" ht="19.5" customHeight="1" x14ac:dyDescent="0.25">
      <c r="A146" s="19"/>
      <c r="B146" s="233"/>
      <c r="C146" s="238"/>
      <c r="D146" s="239"/>
      <c r="E146" s="240"/>
      <c r="F146" s="19"/>
      <c r="G146" s="242"/>
      <c r="H146" s="238"/>
      <c r="I146" s="241"/>
      <c r="J146" s="240"/>
      <c r="K146" s="19"/>
    </row>
    <row r="147" spans="1:11" ht="19.5" customHeight="1" x14ac:dyDescent="0.25">
      <c r="A147" s="19"/>
      <c r="B147" s="233"/>
      <c r="C147" s="238"/>
      <c r="D147" s="239"/>
      <c r="E147" s="240"/>
      <c r="F147" s="19"/>
      <c r="G147" s="242"/>
      <c r="H147" s="238"/>
      <c r="I147" s="241"/>
      <c r="J147" s="240"/>
      <c r="K147" s="19"/>
    </row>
    <row r="148" spans="1:11" ht="19.5" customHeight="1" x14ac:dyDescent="0.25">
      <c r="A148" s="19"/>
      <c r="B148" s="233"/>
      <c r="C148" s="238"/>
      <c r="D148" s="239"/>
      <c r="E148" s="240"/>
      <c r="F148" s="19"/>
      <c r="G148" s="242"/>
      <c r="H148" s="238"/>
      <c r="I148" s="241"/>
      <c r="J148" s="240"/>
      <c r="K148" s="19"/>
    </row>
    <row r="149" spans="1:11" ht="19.5" customHeight="1" x14ac:dyDescent="0.25">
      <c r="A149" s="19"/>
      <c r="B149" s="233"/>
      <c r="C149" s="238"/>
      <c r="D149" s="239"/>
      <c r="E149" s="240"/>
      <c r="F149" s="19"/>
      <c r="G149" s="242"/>
      <c r="H149" s="238"/>
      <c r="I149" s="241"/>
      <c r="J149" s="240"/>
      <c r="K149" s="19"/>
    </row>
    <row r="150" spans="1:11" ht="19.5" customHeight="1" x14ac:dyDescent="0.25">
      <c r="A150" s="19"/>
      <c r="B150" s="233"/>
      <c r="C150" s="238"/>
      <c r="D150" s="239"/>
      <c r="E150" s="240"/>
      <c r="F150" s="19"/>
      <c r="G150" s="242"/>
      <c r="H150" s="238"/>
      <c r="I150" s="241"/>
      <c r="J150" s="240"/>
      <c r="K150" s="19"/>
    </row>
    <row r="151" spans="1:11" ht="19.5" customHeight="1" x14ac:dyDescent="0.25">
      <c r="A151" s="19"/>
      <c r="B151" s="233"/>
      <c r="C151" s="238"/>
      <c r="D151" s="239"/>
      <c r="E151" s="240"/>
      <c r="F151" s="19"/>
      <c r="G151" s="242"/>
      <c r="H151" s="238"/>
      <c r="I151" s="241"/>
      <c r="J151" s="240"/>
      <c r="K151" s="19"/>
    </row>
    <row r="152" spans="1:11" ht="19.5" customHeight="1" x14ac:dyDescent="0.25">
      <c r="A152" s="19"/>
      <c r="B152" s="233"/>
      <c r="C152" s="238"/>
      <c r="D152" s="239"/>
      <c r="E152" s="240"/>
      <c r="F152" s="19"/>
      <c r="G152" s="242"/>
      <c r="H152" s="238"/>
      <c r="I152" s="241"/>
      <c r="J152" s="240"/>
      <c r="K152" s="19"/>
    </row>
    <row r="153" spans="1:11" ht="19.5" customHeight="1" x14ac:dyDescent="0.25">
      <c r="A153" s="19"/>
      <c r="B153" s="233"/>
      <c r="C153" s="238"/>
      <c r="D153" s="239"/>
      <c r="E153" s="240"/>
      <c r="F153" s="19"/>
      <c r="G153" s="242"/>
      <c r="H153" s="238"/>
      <c r="I153" s="241"/>
      <c r="J153" s="240"/>
      <c r="K153" s="19"/>
    </row>
    <row r="154" spans="1:11" ht="19.5" customHeight="1" x14ac:dyDescent="0.25">
      <c r="A154" s="19"/>
      <c r="B154" s="233"/>
      <c r="C154" s="238"/>
      <c r="D154" s="239"/>
      <c r="E154" s="240"/>
      <c r="F154" s="19"/>
      <c r="G154" s="242"/>
      <c r="H154" s="238"/>
      <c r="I154" s="241"/>
      <c r="J154" s="240"/>
      <c r="K154" s="19"/>
    </row>
    <row r="155" spans="1:11" ht="19.5" customHeight="1" x14ac:dyDescent="0.25">
      <c r="A155" s="19"/>
      <c r="B155" s="233"/>
      <c r="C155" s="238"/>
      <c r="D155" s="239"/>
      <c r="E155" s="240"/>
      <c r="F155" s="19"/>
      <c r="G155" s="242"/>
      <c r="H155" s="238"/>
      <c r="I155" s="241"/>
      <c r="J155" s="240"/>
      <c r="K155" s="19"/>
    </row>
    <row r="156" spans="1:11" ht="19.5" customHeight="1" x14ac:dyDescent="0.25">
      <c r="A156" s="19"/>
      <c r="B156" s="233"/>
      <c r="C156" s="238"/>
      <c r="D156" s="239"/>
      <c r="E156" s="240"/>
      <c r="F156" s="19"/>
      <c r="G156" s="242"/>
      <c r="H156" s="238"/>
      <c r="I156" s="241"/>
      <c r="J156" s="240"/>
      <c r="K156" s="19"/>
    </row>
    <row r="157" spans="1:11" ht="19.5" customHeight="1" x14ac:dyDescent="0.25">
      <c r="A157" s="19"/>
      <c r="B157" s="233"/>
      <c r="C157" s="238"/>
      <c r="D157" s="239"/>
      <c r="E157" s="240"/>
      <c r="F157" s="19"/>
      <c r="G157" s="242"/>
      <c r="H157" s="238"/>
      <c r="I157" s="241"/>
      <c r="J157" s="240"/>
      <c r="K157" s="19"/>
    </row>
    <row r="158" spans="1:11" ht="19.5" customHeight="1" x14ac:dyDescent="0.25">
      <c r="A158" s="19"/>
      <c r="B158" s="233"/>
      <c r="C158" s="238"/>
      <c r="D158" s="239"/>
      <c r="E158" s="240"/>
      <c r="F158" s="19"/>
      <c r="G158" s="242"/>
      <c r="H158" s="238"/>
      <c r="I158" s="241"/>
      <c r="J158" s="240"/>
      <c r="K158" s="19"/>
    </row>
    <row r="159" spans="1:11" ht="19.5" customHeight="1" x14ac:dyDescent="0.25">
      <c r="A159" s="19"/>
      <c r="B159" s="245"/>
      <c r="C159" s="246"/>
      <c r="D159" s="248"/>
      <c r="E159" s="247"/>
      <c r="F159" s="19"/>
      <c r="G159" s="242"/>
      <c r="H159" s="238"/>
      <c r="I159" s="241"/>
      <c r="J159" s="240"/>
      <c r="K159" s="19"/>
    </row>
    <row r="160" spans="1:11" ht="19.5" customHeight="1" x14ac:dyDescent="0.25">
      <c r="A160" s="19"/>
      <c r="B160" s="245"/>
      <c r="C160" s="246"/>
      <c r="D160" s="248"/>
      <c r="E160" s="247"/>
      <c r="F160" s="19"/>
      <c r="G160" s="242"/>
      <c r="H160" s="238"/>
      <c r="I160" s="241"/>
      <c r="J160" s="240"/>
      <c r="K160" s="19"/>
    </row>
    <row r="161" spans="1:11" ht="19.5" customHeight="1" x14ac:dyDescent="0.25">
      <c r="A161" s="19"/>
      <c r="B161" s="245"/>
      <c r="C161" s="246"/>
      <c r="D161" s="248"/>
      <c r="E161" s="247"/>
      <c r="F161" s="19"/>
      <c r="G161" s="242"/>
      <c r="H161" s="238"/>
      <c r="I161" s="241"/>
      <c r="J161" s="240"/>
      <c r="K161" s="19"/>
    </row>
    <row r="162" spans="1:11" ht="19.5" customHeight="1" x14ac:dyDescent="0.25">
      <c r="A162" s="19"/>
      <c r="B162" s="245"/>
      <c r="C162" s="246"/>
      <c r="D162" s="248"/>
      <c r="E162" s="247"/>
      <c r="F162" s="19"/>
      <c r="G162" s="242"/>
      <c r="H162" s="238"/>
      <c r="I162" s="241"/>
      <c r="J162" s="240"/>
      <c r="K162" s="19"/>
    </row>
    <row r="163" spans="1:11" ht="19.5" customHeight="1" x14ac:dyDescent="0.25">
      <c r="A163" s="19"/>
      <c r="B163" s="245"/>
      <c r="C163" s="246"/>
      <c r="D163" s="248"/>
      <c r="E163" s="247"/>
      <c r="F163" s="19"/>
      <c r="G163" s="242"/>
      <c r="H163" s="238"/>
      <c r="I163" s="241"/>
      <c r="J163" s="240"/>
      <c r="K163" s="19"/>
    </row>
    <row r="164" spans="1:11" ht="19.5" customHeight="1" x14ac:dyDescent="0.25">
      <c r="A164" s="19"/>
      <c r="B164" s="245"/>
      <c r="C164" s="246"/>
      <c r="D164" s="248"/>
      <c r="E164" s="247"/>
      <c r="F164" s="19"/>
      <c r="G164" s="242"/>
      <c r="H164" s="238"/>
      <c r="I164" s="241"/>
      <c r="J164" s="240"/>
      <c r="K164" s="19"/>
    </row>
    <row r="165" spans="1:11" ht="19.5" customHeight="1" x14ac:dyDescent="0.25">
      <c r="A165" s="19"/>
      <c r="B165" s="245"/>
      <c r="C165" s="246"/>
      <c r="D165" s="248"/>
      <c r="E165" s="247"/>
      <c r="F165" s="19"/>
      <c r="G165" s="242"/>
      <c r="H165" s="238"/>
      <c r="I165" s="241"/>
      <c r="J165" s="240"/>
      <c r="K165" s="19"/>
    </row>
    <row r="166" spans="1:11" ht="19.5" customHeight="1" x14ac:dyDescent="0.25">
      <c r="A166" s="19"/>
      <c r="B166" s="245"/>
      <c r="C166" s="246"/>
      <c r="D166" s="248"/>
      <c r="E166" s="247"/>
      <c r="F166" s="19"/>
      <c r="G166" s="242"/>
      <c r="H166" s="238"/>
      <c r="I166" s="241"/>
      <c r="J166" s="240"/>
      <c r="K166" s="19"/>
    </row>
    <row r="167" spans="1:11" ht="19.5" customHeight="1" x14ac:dyDescent="0.25">
      <c r="A167" s="19"/>
      <c r="B167" s="245"/>
      <c r="C167" s="246"/>
      <c r="D167" s="248"/>
      <c r="E167" s="247"/>
      <c r="F167" s="19"/>
      <c r="G167" s="242"/>
      <c r="H167" s="238"/>
      <c r="I167" s="241"/>
      <c r="J167" s="240"/>
      <c r="K167" s="19"/>
    </row>
    <row r="168" spans="1:11" ht="19.5" customHeight="1" x14ac:dyDescent="0.25">
      <c r="A168" s="19"/>
      <c r="B168" s="245"/>
      <c r="C168" s="246"/>
      <c r="D168" s="248"/>
      <c r="E168" s="247"/>
      <c r="F168" s="19"/>
      <c r="G168" s="242"/>
      <c r="H168" s="238"/>
      <c r="I168" s="241"/>
      <c r="J168" s="240"/>
      <c r="K168" s="19"/>
    </row>
    <row r="169" spans="1:11" ht="19.5" customHeight="1" x14ac:dyDescent="0.25">
      <c r="A169" s="19"/>
      <c r="B169" s="245"/>
      <c r="C169" s="246"/>
      <c r="D169" s="248"/>
      <c r="E169" s="247"/>
      <c r="F169" s="19"/>
      <c r="G169" s="242"/>
      <c r="H169" s="238"/>
      <c r="I169" s="241"/>
      <c r="J169" s="240"/>
      <c r="K169" s="19"/>
    </row>
    <row r="170" spans="1:11" ht="19.5" customHeight="1" x14ac:dyDescent="0.25">
      <c r="A170" s="19"/>
      <c r="B170" s="245"/>
      <c r="C170" s="246"/>
      <c r="D170" s="248"/>
      <c r="E170" s="247"/>
      <c r="F170" s="19"/>
      <c r="G170" s="242"/>
      <c r="H170" s="238"/>
      <c r="I170" s="241"/>
      <c r="J170" s="240"/>
      <c r="K170" s="19"/>
    </row>
    <row r="171" spans="1:11" ht="19.5" customHeight="1" x14ac:dyDescent="0.25">
      <c r="A171" s="19"/>
      <c r="B171" s="245"/>
      <c r="C171" s="246"/>
      <c r="D171" s="248"/>
      <c r="E171" s="247"/>
      <c r="F171" s="19"/>
      <c r="G171" s="242"/>
      <c r="H171" s="238"/>
      <c r="I171" s="241"/>
      <c r="J171" s="240"/>
      <c r="K171" s="19"/>
    </row>
    <row r="172" spans="1:11" ht="19.5" customHeight="1" x14ac:dyDescent="0.25">
      <c r="A172" s="19"/>
      <c r="B172" s="245"/>
      <c r="C172" s="246"/>
      <c r="D172" s="248"/>
      <c r="E172" s="247"/>
      <c r="F172" s="19"/>
      <c r="G172" s="242"/>
      <c r="H172" s="238"/>
      <c r="I172" s="241"/>
      <c r="J172" s="240"/>
      <c r="K172" s="19"/>
    </row>
    <row r="173" spans="1:11" ht="19.5" customHeight="1" x14ac:dyDescent="0.25">
      <c r="A173" s="19"/>
      <c r="B173" s="245"/>
      <c r="C173" s="246"/>
      <c r="D173" s="248"/>
      <c r="E173" s="247"/>
      <c r="F173" s="19"/>
      <c r="G173" s="242"/>
      <c r="H173" s="238"/>
      <c r="I173" s="241"/>
      <c r="J173" s="240"/>
      <c r="K173" s="19"/>
    </row>
    <row r="174" spans="1:11" ht="19.5" customHeight="1" x14ac:dyDescent="0.25">
      <c r="A174" s="19"/>
      <c r="B174" s="245"/>
      <c r="C174" s="246"/>
      <c r="D174" s="248"/>
      <c r="E174" s="247"/>
      <c r="F174" s="19"/>
      <c r="G174" s="242"/>
      <c r="H174" s="238"/>
      <c r="I174" s="241"/>
      <c r="J174" s="240"/>
      <c r="K174" s="19"/>
    </row>
    <row r="175" spans="1:11" ht="19.5" customHeight="1" x14ac:dyDescent="0.25">
      <c r="A175" s="19"/>
      <c r="B175" s="245"/>
      <c r="C175" s="246"/>
      <c r="D175" s="248"/>
      <c r="E175" s="247"/>
      <c r="F175" s="19"/>
      <c r="G175" s="245"/>
      <c r="H175" s="246"/>
      <c r="I175" s="126"/>
      <c r="J175" s="247"/>
      <c r="K175" s="19"/>
    </row>
    <row r="176" spans="1:11" ht="19.5" customHeight="1" x14ac:dyDescent="0.25">
      <c r="A176" s="19"/>
      <c r="B176" s="245"/>
      <c r="C176" s="246"/>
      <c r="D176" s="248"/>
      <c r="E176" s="247"/>
      <c r="F176" s="19"/>
      <c r="G176" s="245"/>
      <c r="H176" s="246"/>
      <c r="I176" s="126"/>
      <c r="J176" s="247"/>
      <c r="K176" s="19"/>
    </row>
    <row r="177" spans="1:11" ht="19.5" customHeight="1" x14ac:dyDescent="0.25">
      <c r="A177" s="19"/>
      <c r="B177" s="245"/>
      <c r="C177" s="246"/>
      <c r="D177" s="248"/>
      <c r="E177" s="247"/>
      <c r="F177" s="19"/>
      <c r="G177" s="245"/>
      <c r="H177" s="246"/>
      <c r="I177" s="126"/>
      <c r="J177" s="247"/>
      <c r="K177" s="19"/>
    </row>
    <row r="178" spans="1:11" ht="19.5" customHeight="1" x14ac:dyDescent="0.25">
      <c r="A178" s="19"/>
      <c r="B178" s="245"/>
      <c r="C178" s="246"/>
      <c r="D178" s="248"/>
      <c r="E178" s="247"/>
      <c r="F178" s="19"/>
      <c r="G178" s="245"/>
      <c r="H178" s="246"/>
      <c r="I178" s="126"/>
      <c r="J178" s="247"/>
      <c r="K178" s="19"/>
    </row>
    <row r="179" spans="1:11" ht="19.5" customHeight="1" x14ac:dyDescent="0.25">
      <c r="A179" s="19"/>
      <c r="B179" s="245"/>
      <c r="C179" s="246"/>
      <c r="D179" s="248"/>
      <c r="E179" s="247"/>
      <c r="F179" s="19"/>
      <c r="G179" s="245"/>
      <c r="H179" s="246"/>
      <c r="I179" s="126"/>
      <c r="J179" s="247"/>
      <c r="K179" s="19"/>
    </row>
    <row r="180" spans="1:11" ht="19.5" customHeight="1" x14ac:dyDescent="0.25">
      <c r="A180" s="19"/>
      <c r="B180" s="245"/>
      <c r="C180" s="246"/>
      <c r="D180" s="248"/>
      <c r="E180" s="247"/>
      <c r="F180" s="19"/>
      <c r="G180" s="245"/>
      <c r="H180" s="246"/>
      <c r="I180" s="126"/>
      <c r="J180" s="247"/>
      <c r="K180" s="19"/>
    </row>
    <row r="181" spans="1:11" ht="19.5" customHeight="1" x14ac:dyDescent="0.25">
      <c r="A181" s="19"/>
      <c r="B181" s="245"/>
      <c r="C181" s="246"/>
      <c r="D181" s="248"/>
      <c r="E181" s="247"/>
      <c r="F181" s="19"/>
      <c r="G181" s="245"/>
      <c r="H181" s="246"/>
      <c r="I181" s="126"/>
      <c r="J181" s="247"/>
      <c r="K181" s="19"/>
    </row>
    <row r="182" spans="1:11" ht="19.5" customHeight="1" x14ac:dyDescent="0.25">
      <c r="A182" s="19"/>
      <c r="B182" s="245"/>
      <c r="C182" s="246"/>
      <c r="D182" s="248"/>
      <c r="E182" s="247"/>
      <c r="F182" s="19"/>
      <c r="G182" s="245"/>
      <c r="H182" s="246"/>
      <c r="I182" s="126"/>
      <c r="J182" s="247"/>
      <c r="K182" s="19"/>
    </row>
    <row r="183" spans="1:11" ht="19.5" customHeight="1" x14ac:dyDescent="0.25">
      <c r="A183" s="19"/>
      <c r="B183" s="245"/>
      <c r="C183" s="246"/>
      <c r="D183" s="248"/>
      <c r="E183" s="247"/>
      <c r="F183" s="19"/>
      <c r="G183" s="245"/>
      <c r="H183" s="246"/>
      <c r="I183" s="126"/>
      <c r="J183" s="247"/>
      <c r="K183" s="19"/>
    </row>
    <row r="184" spans="1:11" ht="19.5" customHeight="1" x14ac:dyDescent="0.25">
      <c r="A184" s="19"/>
      <c r="B184" s="245"/>
      <c r="C184" s="246"/>
      <c r="D184" s="248"/>
      <c r="E184" s="247"/>
      <c r="F184" s="19"/>
      <c r="G184" s="245"/>
      <c r="H184" s="246"/>
      <c r="I184" s="126"/>
      <c r="J184" s="247"/>
      <c r="K184" s="19"/>
    </row>
    <row r="185" spans="1:11" ht="19.5" customHeight="1" x14ac:dyDescent="0.25">
      <c r="A185" s="19"/>
      <c r="B185" s="245"/>
      <c r="C185" s="246"/>
      <c r="D185" s="248"/>
      <c r="E185" s="247"/>
      <c r="F185" s="19"/>
      <c r="G185" s="245"/>
      <c r="H185" s="246"/>
      <c r="I185" s="126"/>
      <c r="J185" s="247"/>
      <c r="K185" s="19"/>
    </row>
    <row r="186" spans="1:11" ht="19.5" customHeight="1" x14ac:dyDescent="0.25">
      <c r="A186" s="19"/>
      <c r="B186" s="245"/>
      <c r="C186" s="246"/>
      <c r="D186" s="248"/>
      <c r="E186" s="247"/>
      <c r="F186" s="19"/>
      <c r="G186" s="245"/>
      <c r="H186" s="246"/>
      <c r="I186" s="126"/>
      <c r="J186" s="247"/>
      <c r="K186" s="19"/>
    </row>
    <row r="187" spans="1:11" ht="19.5" customHeight="1" x14ac:dyDescent="0.25">
      <c r="A187" s="19"/>
      <c r="B187" s="245"/>
      <c r="C187" s="246"/>
      <c r="D187" s="248"/>
      <c r="E187" s="247"/>
      <c r="F187" s="19"/>
      <c r="G187" s="245"/>
      <c r="H187" s="246"/>
      <c r="I187" s="126"/>
      <c r="J187" s="247"/>
      <c r="K187" s="19"/>
    </row>
    <row r="188" spans="1:11" ht="19.5" customHeight="1" x14ac:dyDescent="0.25">
      <c r="A188" s="19"/>
      <c r="B188" s="245"/>
      <c r="C188" s="246"/>
      <c r="D188" s="248"/>
      <c r="E188" s="247"/>
      <c r="F188" s="19"/>
      <c r="G188" s="245"/>
      <c r="H188" s="246"/>
      <c r="I188" s="126"/>
      <c r="J188" s="247"/>
      <c r="K188" s="19"/>
    </row>
    <row r="189" spans="1:11" ht="19.5" customHeight="1" x14ac:dyDescent="0.25">
      <c r="A189" s="19"/>
      <c r="B189" s="245"/>
      <c r="C189" s="246"/>
      <c r="D189" s="248"/>
      <c r="E189" s="247"/>
      <c r="F189" s="19"/>
      <c r="G189" s="245"/>
      <c r="H189" s="246"/>
      <c r="I189" s="126"/>
      <c r="J189" s="247"/>
      <c r="K189" s="19"/>
    </row>
    <row r="190" spans="1:11" ht="19.5" customHeight="1" x14ac:dyDescent="0.25">
      <c r="A190" s="19"/>
      <c r="B190" s="245"/>
      <c r="C190" s="246"/>
      <c r="D190" s="248"/>
      <c r="E190" s="247"/>
      <c r="F190" s="19"/>
      <c r="G190" s="245"/>
      <c r="H190" s="246"/>
      <c r="I190" s="126"/>
      <c r="J190" s="247"/>
      <c r="K190" s="19"/>
    </row>
    <row r="191" spans="1:11" ht="19.5" customHeight="1" x14ac:dyDescent="0.25">
      <c r="A191" s="19"/>
      <c r="B191" s="245"/>
      <c r="C191" s="246"/>
      <c r="D191" s="248"/>
      <c r="E191" s="247"/>
      <c r="F191" s="19"/>
      <c r="G191" s="245"/>
      <c r="H191" s="246"/>
      <c r="I191" s="126"/>
      <c r="J191" s="247"/>
      <c r="K191" s="19"/>
    </row>
    <row r="192" spans="1:11" ht="19.5" customHeight="1" x14ac:dyDescent="0.25">
      <c r="A192" s="19"/>
      <c r="B192" s="245"/>
      <c r="C192" s="246"/>
      <c r="D192" s="248"/>
      <c r="E192" s="247"/>
      <c r="F192" s="19"/>
      <c r="G192" s="245"/>
      <c r="H192" s="246"/>
      <c r="I192" s="126"/>
      <c r="J192" s="247"/>
      <c r="K192" s="19"/>
    </row>
    <row r="193" spans="1:11" ht="19.5" customHeight="1" x14ac:dyDescent="0.25">
      <c r="A193" s="19"/>
      <c r="B193" s="245"/>
      <c r="C193" s="246"/>
      <c r="D193" s="248"/>
      <c r="E193" s="247"/>
      <c r="F193" s="19"/>
      <c r="G193" s="245"/>
      <c r="H193" s="246"/>
      <c r="I193" s="126"/>
      <c r="J193" s="247"/>
      <c r="K193" s="19"/>
    </row>
    <row r="194" spans="1:11" ht="19.5" customHeight="1" x14ac:dyDescent="0.25">
      <c r="A194" s="19"/>
      <c r="B194" s="245"/>
      <c r="C194" s="246"/>
      <c r="D194" s="248"/>
      <c r="E194" s="247"/>
      <c r="F194" s="19"/>
      <c r="G194" s="245"/>
      <c r="H194" s="246"/>
      <c r="I194" s="126"/>
      <c r="J194" s="247"/>
      <c r="K194" s="19"/>
    </row>
    <row r="195" spans="1:11" ht="19.5" customHeight="1" x14ac:dyDescent="0.25">
      <c r="A195" s="19"/>
      <c r="B195" s="245"/>
      <c r="C195" s="246"/>
      <c r="D195" s="248"/>
      <c r="E195" s="247"/>
      <c r="F195" s="19"/>
      <c r="G195" s="245"/>
      <c r="H195" s="246"/>
      <c r="I195" s="126"/>
      <c r="J195" s="247"/>
      <c r="K195" s="19"/>
    </row>
    <row r="196" spans="1:11" ht="19.5" customHeight="1" x14ac:dyDescent="0.25">
      <c r="A196" s="19"/>
      <c r="B196" s="245"/>
      <c r="C196" s="246"/>
      <c r="D196" s="248"/>
      <c r="E196" s="247"/>
      <c r="F196" s="19"/>
      <c r="G196" s="245"/>
      <c r="H196" s="246"/>
      <c r="I196" s="126"/>
      <c r="J196" s="247"/>
      <c r="K196" s="19"/>
    </row>
    <row r="197" spans="1:11" ht="19.5" customHeight="1" x14ac:dyDescent="0.25">
      <c r="A197" s="19"/>
      <c r="B197" s="245"/>
      <c r="C197" s="246"/>
      <c r="D197" s="248"/>
      <c r="E197" s="247"/>
      <c r="F197" s="19"/>
      <c r="G197" s="245"/>
      <c r="H197" s="246"/>
      <c r="I197" s="126"/>
      <c r="J197" s="247"/>
      <c r="K197" s="19"/>
    </row>
    <row r="198" spans="1:11" ht="19.5" customHeight="1" x14ac:dyDescent="0.25">
      <c r="A198" s="19"/>
      <c r="B198" s="245"/>
      <c r="C198" s="246"/>
      <c r="D198" s="248"/>
      <c r="E198" s="247"/>
      <c r="F198" s="19"/>
      <c r="G198" s="245"/>
      <c r="H198" s="246"/>
      <c r="I198" s="126"/>
      <c r="J198" s="247"/>
      <c r="K198" s="19"/>
    </row>
    <row r="199" spans="1:11" ht="19.5" customHeight="1" x14ac:dyDescent="0.25">
      <c r="A199" s="19"/>
      <c r="B199" s="245"/>
      <c r="C199" s="246"/>
      <c r="D199" s="248"/>
      <c r="E199" s="247"/>
      <c r="F199" s="19"/>
      <c r="G199" s="245"/>
      <c r="H199" s="246"/>
      <c r="I199" s="126"/>
      <c r="J199" s="247"/>
      <c r="K199" s="19"/>
    </row>
    <row r="200" spans="1:11" ht="19.5" customHeight="1" x14ac:dyDescent="0.25">
      <c r="A200" s="19"/>
      <c r="B200" s="245"/>
      <c r="C200" s="246"/>
      <c r="D200" s="248"/>
      <c r="E200" s="247"/>
      <c r="F200" s="19"/>
      <c r="G200" s="245"/>
      <c r="H200" s="246"/>
      <c r="I200" s="126"/>
      <c r="J200" s="247"/>
      <c r="K200" s="19"/>
    </row>
    <row r="201" spans="1:11" ht="19.5" customHeight="1" x14ac:dyDescent="0.25">
      <c r="A201" s="19"/>
      <c r="B201" s="245"/>
      <c r="C201" s="246"/>
      <c r="D201" s="248"/>
      <c r="E201" s="247"/>
      <c r="F201" s="19"/>
      <c r="G201" s="245"/>
      <c r="H201" s="246"/>
      <c r="I201" s="126"/>
      <c r="J201" s="247"/>
      <c r="K201" s="19"/>
    </row>
    <row r="202" spans="1:11" ht="19.5" customHeight="1" x14ac:dyDescent="0.25">
      <c r="A202" s="19"/>
      <c r="B202" s="245"/>
      <c r="C202" s="246"/>
      <c r="D202" s="248"/>
      <c r="E202" s="247"/>
      <c r="F202" s="19"/>
      <c r="G202" s="245"/>
      <c r="H202" s="246"/>
      <c r="I202" s="126"/>
      <c r="J202" s="247"/>
      <c r="K202" s="19"/>
    </row>
    <row r="203" spans="1:11" ht="19.5" customHeight="1" x14ac:dyDescent="0.25">
      <c r="A203" s="19"/>
      <c r="B203" s="245"/>
      <c r="C203" s="246"/>
      <c r="D203" s="248"/>
      <c r="E203" s="247"/>
      <c r="F203" s="19"/>
      <c r="G203" s="245"/>
      <c r="H203" s="246"/>
      <c r="I203" s="126"/>
      <c r="J203" s="247"/>
      <c r="K203" s="19"/>
    </row>
    <row r="204" spans="1:11" ht="19.5" customHeight="1" x14ac:dyDescent="0.25">
      <c r="A204" s="19"/>
      <c r="B204" s="245"/>
      <c r="C204" s="246"/>
      <c r="D204" s="248"/>
      <c r="E204" s="247"/>
      <c r="F204" s="19"/>
      <c r="G204" s="245"/>
      <c r="H204" s="246"/>
      <c r="I204" s="126"/>
      <c r="J204" s="247"/>
      <c r="K204" s="19"/>
    </row>
    <row r="205" spans="1:11" ht="19.5" customHeight="1" x14ac:dyDescent="0.25">
      <c r="A205" s="19"/>
      <c r="B205" s="245"/>
      <c r="C205" s="246"/>
      <c r="D205" s="248"/>
      <c r="E205" s="247"/>
      <c r="F205" s="19"/>
      <c r="G205" s="245"/>
      <c r="H205" s="246"/>
      <c r="I205" s="126"/>
      <c r="J205" s="247"/>
      <c r="K205" s="19"/>
    </row>
    <row r="206" spans="1:11" ht="19.5" customHeight="1" x14ac:dyDescent="0.25">
      <c r="A206" s="19"/>
      <c r="B206" s="245"/>
      <c r="C206" s="246"/>
      <c r="D206" s="248"/>
      <c r="E206" s="247"/>
      <c r="F206" s="19"/>
      <c r="G206" s="245"/>
      <c r="H206" s="246"/>
      <c r="I206" s="126"/>
      <c r="J206" s="247"/>
      <c r="K206" s="19"/>
    </row>
    <row r="207" spans="1:11" ht="19.5" customHeight="1" x14ac:dyDescent="0.25">
      <c r="A207" s="19"/>
      <c r="B207" s="245"/>
      <c r="C207" s="246"/>
      <c r="D207" s="248"/>
      <c r="E207" s="247"/>
      <c r="F207" s="19"/>
      <c r="G207" s="245"/>
      <c r="H207" s="246"/>
      <c r="I207" s="126"/>
      <c r="J207" s="247"/>
      <c r="K207" s="19"/>
    </row>
    <row r="208" spans="1:11" ht="19.5" customHeight="1" x14ac:dyDescent="0.25">
      <c r="A208" s="19"/>
      <c r="B208" s="245"/>
      <c r="C208" s="246"/>
      <c r="D208" s="248"/>
      <c r="E208" s="247"/>
      <c r="F208" s="19"/>
      <c r="G208" s="245"/>
      <c r="H208" s="246"/>
      <c r="I208" s="126"/>
      <c r="J208" s="247"/>
      <c r="K208" s="19"/>
    </row>
    <row r="209" spans="1:11" ht="19.5" customHeight="1" x14ac:dyDescent="0.25">
      <c r="A209" s="19"/>
      <c r="B209" s="245"/>
      <c r="C209" s="246"/>
      <c r="D209" s="248"/>
      <c r="E209" s="247"/>
      <c r="F209" s="19"/>
      <c r="G209" s="245"/>
      <c r="H209" s="246"/>
      <c r="I209" s="126"/>
      <c r="J209" s="247"/>
      <c r="K209" s="19"/>
    </row>
    <row r="210" spans="1:11" ht="19.5" customHeight="1" x14ac:dyDescent="0.25">
      <c r="A210" s="19"/>
      <c r="B210" s="245"/>
      <c r="C210" s="246"/>
      <c r="D210" s="248"/>
      <c r="E210" s="247"/>
      <c r="F210" s="19"/>
      <c r="G210" s="245"/>
      <c r="H210" s="246"/>
      <c r="I210" s="126"/>
      <c r="J210" s="247"/>
      <c r="K210" s="19"/>
    </row>
    <row r="211" spans="1:11" ht="19.5" customHeight="1" x14ac:dyDescent="0.25">
      <c r="A211" s="19"/>
      <c r="B211" s="245"/>
      <c r="C211" s="246"/>
      <c r="D211" s="248"/>
      <c r="E211" s="247"/>
      <c r="F211" s="19"/>
      <c r="G211" s="245"/>
      <c r="H211" s="246"/>
      <c r="I211" s="126"/>
      <c r="J211" s="247"/>
      <c r="K211" s="19"/>
    </row>
    <row r="212" spans="1:11" ht="19.5" customHeight="1" x14ac:dyDescent="0.25">
      <c r="A212" s="19"/>
      <c r="B212" s="245"/>
      <c r="C212" s="246"/>
      <c r="D212" s="248"/>
      <c r="E212" s="247"/>
      <c r="F212" s="19"/>
      <c r="G212" s="245"/>
      <c r="H212" s="246"/>
      <c r="I212" s="126"/>
      <c r="J212" s="247"/>
      <c r="K212" s="19"/>
    </row>
    <row r="213" spans="1:11" ht="19.5" customHeight="1" x14ac:dyDescent="0.25">
      <c r="A213" s="19"/>
      <c r="B213" s="245"/>
      <c r="C213" s="246"/>
      <c r="D213" s="248"/>
      <c r="E213" s="247"/>
      <c r="F213" s="19"/>
      <c r="G213" s="245"/>
      <c r="H213" s="246"/>
      <c r="I213" s="126"/>
      <c r="J213" s="247"/>
      <c r="K213" s="19"/>
    </row>
    <row r="214" spans="1:11" ht="19.5" customHeight="1" x14ac:dyDescent="0.25">
      <c r="A214" s="19"/>
      <c r="B214" s="245"/>
      <c r="C214" s="246"/>
      <c r="D214" s="248"/>
      <c r="E214" s="247"/>
      <c r="F214" s="19"/>
      <c r="G214" s="245"/>
      <c r="H214" s="246"/>
      <c r="I214" s="126"/>
      <c r="J214" s="247"/>
      <c r="K214" s="19"/>
    </row>
    <row r="215" spans="1:11" ht="19.5" customHeight="1" x14ac:dyDescent="0.25">
      <c r="A215" s="19"/>
      <c r="B215" s="245"/>
      <c r="C215" s="246"/>
      <c r="D215" s="248"/>
      <c r="E215" s="247"/>
      <c r="F215" s="19"/>
      <c r="G215" s="245"/>
      <c r="H215" s="246"/>
      <c r="I215" s="126"/>
      <c r="J215" s="247"/>
      <c r="K215" s="19"/>
    </row>
    <row r="216" spans="1:11" ht="19.5" customHeight="1" x14ac:dyDescent="0.25">
      <c r="A216" s="19"/>
      <c r="B216" s="245"/>
      <c r="C216" s="246"/>
      <c r="D216" s="248"/>
      <c r="E216" s="247"/>
      <c r="F216" s="19"/>
      <c r="G216" s="245"/>
      <c r="H216" s="246"/>
      <c r="I216" s="126"/>
      <c r="J216" s="247"/>
      <c r="K216" s="19"/>
    </row>
    <row r="217" spans="1:11" ht="19.5" customHeight="1" x14ac:dyDescent="0.25">
      <c r="A217" s="19"/>
      <c r="B217" s="245"/>
      <c r="C217" s="246"/>
      <c r="D217" s="248"/>
      <c r="E217" s="247"/>
      <c r="F217" s="19"/>
      <c r="G217" s="245"/>
      <c r="H217" s="246"/>
      <c r="I217" s="126"/>
      <c r="J217" s="247"/>
      <c r="K217" s="19"/>
    </row>
    <row r="218" spans="1:11" ht="19.5" customHeight="1" x14ac:dyDescent="0.25">
      <c r="A218" s="19"/>
      <c r="B218" s="245"/>
      <c r="C218" s="246"/>
      <c r="D218" s="248"/>
      <c r="E218" s="247"/>
      <c r="F218" s="19"/>
      <c r="G218" s="245"/>
      <c r="H218" s="246"/>
      <c r="I218" s="126"/>
      <c r="J218" s="247"/>
      <c r="K218" s="19"/>
    </row>
    <row r="219" spans="1:11" ht="19.5" customHeight="1" x14ac:dyDescent="0.25">
      <c r="A219" s="19"/>
      <c r="B219" s="245"/>
      <c r="C219" s="246"/>
      <c r="D219" s="248"/>
      <c r="E219" s="247"/>
      <c r="F219" s="19"/>
      <c r="G219" s="245"/>
      <c r="H219" s="246"/>
      <c r="I219" s="126"/>
      <c r="J219" s="247"/>
      <c r="K219" s="19"/>
    </row>
    <row r="220" spans="1:11" ht="19.5" customHeight="1" x14ac:dyDescent="0.25">
      <c r="A220" s="19"/>
      <c r="B220" s="245"/>
      <c r="C220" s="246"/>
      <c r="D220" s="248"/>
      <c r="E220" s="247"/>
      <c r="F220" s="19"/>
      <c r="G220" s="245"/>
      <c r="H220" s="246"/>
      <c r="I220" s="126"/>
      <c r="J220" s="247"/>
      <c r="K220" s="19"/>
    </row>
    <row r="221" spans="1:11" ht="15.75" customHeight="1" x14ac:dyDescent="0.25">
      <c r="E221" s="139"/>
      <c r="J221" s="139"/>
    </row>
    <row r="222" spans="1:11" ht="15.75" customHeight="1" x14ac:dyDescent="0.25">
      <c r="E222" s="139"/>
      <c r="J222" s="139"/>
    </row>
    <row r="223" spans="1:11" ht="15.75" customHeight="1" x14ac:dyDescent="0.25">
      <c r="E223" s="139"/>
      <c r="J223" s="139"/>
    </row>
    <row r="224" spans="1:11" ht="15.75" customHeight="1" x14ac:dyDescent="0.25">
      <c r="E224" s="139"/>
      <c r="J224" s="139"/>
    </row>
    <row r="225" spans="5:10" ht="15.75" customHeight="1" x14ac:dyDescent="0.25">
      <c r="E225" s="139"/>
      <c r="J225" s="139"/>
    </row>
    <row r="226" spans="5:10" ht="15.75" customHeight="1" x14ac:dyDescent="0.25">
      <c r="E226" s="139"/>
      <c r="J226" s="139"/>
    </row>
    <row r="227" spans="5:10" ht="15.75" customHeight="1" x14ac:dyDescent="0.25">
      <c r="E227" s="139"/>
      <c r="J227" s="139"/>
    </row>
    <row r="228" spans="5:10" ht="15.75" customHeight="1" x14ac:dyDescent="0.25">
      <c r="E228" s="139"/>
      <c r="J228" s="139"/>
    </row>
    <row r="229" spans="5:10" ht="15.75" customHeight="1" x14ac:dyDescent="0.25">
      <c r="E229" s="139"/>
      <c r="J229" s="139"/>
    </row>
    <row r="230" spans="5:10" ht="15.75" customHeight="1" x14ac:dyDescent="0.25">
      <c r="E230" s="139"/>
      <c r="J230" s="139"/>
    </row>
    <row r="231" spans="5:10" ht="15.75" customHeight="1" x14ac:dyDescent="0.25">
      <c r="E231" s="139"/>
      <c r="J231" s="139"/>
    </row>
    <row r="232" spans="5:10" ht="15.75" customHeight="1" x14ac:dyDescent="0.25">
      <c r="E232" s="139"/>
      <c r="J232" s="139"/>
    </row>
    <row r="233" spans="5:10" ht="15.75" customHeight="1" x14ac:dyDescent="0.25">
      <c r="E233" s="139"/>
      <c r="J233" s="139"/>
    </row>
    <row r="234" spans="5:10" ht="15.75" customHeight="1" x14ac:dyDescent="0.25">
      <c r="E234" s="139"/>
      <c r="J234" s="139"/>
    </row>
    <row r="235" spans="5:10" ht="15.75" customHeight="1" x14ac:dyDescent="0.25">
      <c r="E235" s="139"/>
      <c r="J235" s="139"/>
    </row>
    <row r="236" spans="5:10" ht="15.75" customHeight="1" x14ac:dyDescent="0.25">
      <c r="E236" s="139"/>
      <c r="J236" s="139"/>
    </row>
    <row r="237" spans="5:10" ht="15.75" customHeight="1" x14ac:dyDescent="0.25">
      <c r="E237" s="139"/>
      <c r="J237" s="139"/>
    </row>
    <row r="238" spans="5:10" ht="15.75" customHeight="1" x14ac:dyDescent="0.25">
      <c r="E238" s="139"/>
      <c r="J238" s="139"/>
    </row>
    <row r="239" spans="5:10" ht="15.75" customHeight="1" x14ac:dyDescent="0.25">
      <c r="E239" s="139"/>
      <c r="J239" s="139"/>
    </row>
    <row r="240" spans="5:10" ht="15.75" customHeight="1" x14ac:dyDescent="0.25">
      <c r="E240" s="139"/>
      <c r="J240" s="139"/>
    </row>
    <row r="241" spans="5:10" ht="15.75" customHeight="1" x14ac:dyDescent="0.25">
      <c r="E241" s="139"/>
      <c r="J241" s="139"/>
    </row>
    <row r="242" spans="5:10" ht="15.75" customHeight="1" x14ac:dyDescent="0.25">
      <c r="E242" s="139"/>
      <c r="J242" s="139"/>
    </row>
    <row r="243" spans="5:10" ht="15.75" customHeight="1" x14ac:dyDescent="0.25">
      <c r="E243" s="139"/>
      <c r="J243" s="139"/>
    </row>
    <row r="244" spans="5:10" ht="15.75" customHeight="1" x14ac:dyDescent="0.25">
      <c r="E244" s="139"/>
      <c r="J244" s="139"/>
    </row>
    <row r="245" spans="5:10" ht="15.75" customHeight="1" x14ac:dyDescent="0.25">
      <c r="E245" s="139"/>
      <c r="J245" s="139"/>
    </row>
    <row r="246" spans="5:10" ht="15.75" customHeight="1" x14ac:dyDescent="0.25">
      <c r="E246" s="139"/>
      <c r="J246" s="139"/>
    </row>
    <row r="247" spans="5:10" ht="15.75" customHeight="1" x14ac:dyDescent="0.25">
      <c r="E247" s="139"/>
      <c r="J247" s="139"/>
    </row>
    <row r="248" spans="5:10" ht="15.75" customHeight="1" x14ac:dyDescent="0.25">
      <c r="E248" s="139"/>
      <c r="J248" s="139"/>
    </row>
    <row r="249" spans="5:10" ht="15.75" customHeight="1" x14ac:dyDescent="0.25">
      <c r="E249" s="139"/>
      <c r="J249" s="139"/>
    </row>
    <row r="250" spans="5:10" ht="15.75" customHeight="1" x14ac:dyDescent="0.25">
      <c r="E250" s="139"/>
      <c r="J250" s="139"/>
    </row>
    <row r="251" spans="5:10" ht="15.75" customHeight="1" x14ac:dyDescent="0.25">
      <c r="E251" s="139"/>
      <c r="J251" s="139"/>
    </row>
    <row r="252" spans="5:10" ht="15.75" customHeight="1" x14ac:dyDescent="0.25">
      <c r="E252" s="139"/>
      <c r="J252" s="139"/>
    </row>
    <row r="253" spans="5:10" ht="15.75" customHeight="1" x14ac:dyDescent="0.25">
      <c r="E253" s="139"/>
      <c r="J253" s="139"/>
    </row>
    <row r="254" spans="5:10" ht="15.75" customHeight="1" x14ac:dyDescent="0.25">
      <c r="E254" s="139"/>
      <c r="J254" s="139"/>
    </row>
    <row r="255" spans="5:10" ht="15.75" customHeight="1" x14ac:dyDescent="0.25">
      <c r="E255" s="139"/>
      <c r="J255" s="139"/>
    </row>
    <row r="256" spans="5:10" ht="15.75" customHeight="1" x14ac:dyDescent="0.25">
      <c r="E256" s="139"/>
      <c r="J256" s="139"/>
    </row>
    <row r="257" spans="5:10" ht="15.75" customHeight="1" x14ac:dyDescent="0.25">
      <c r="E257" s="139"/>
      <c r="J257" s="139"/>
    </row>
    <row r="258" spans="5:10" ht="15.75" customHeight="1" x14ac:dyDescent="0.25">
      <c r="E258" s="139"/>
      <c r="J258" s="139"/>
    </row>
    <row r="259" spans="5:10" ht="15.75" customHeight="1" x14ac:dyDescent="0.25">
      <c r="E259" s="139"/>
      <c r="J259" s="139"/>
    </row>
    <row r="260" spans="5:10" ht="15.75" customHeight="1" x14ac:dyDescent="0.25">
      <c r="E260" s="139"/>
      <c r="J260" s="139"/>
    </row>
    <row r="261" spans="5:10" ht="15.75" customHeight="1" x14ac:dyDescent="0.25">
      <c r="E261" s="139"/>
      <c r="J261" s="139"/>
    </row>
    <row r="262" spans="5:10" ht="15.75" customHeight="1" x14ac:dyDescent="0.25">
      <c r="E262" s="139"/>
      <c r="J262" s="139"/>
    </row>
    <row r="263" spans="5:10" ht="15.75" customHeight="1" x14ac:dyDescent="0.25">
      <c r="E263" s="139"/>
      <c r="J263" s="139"/>
    </row>
    <row r="264" spans="5:10" ht="15.75" customHeight="1" x14ac:dyDescent="0.25">
      <c r="E264" s="139"/>
      <c r="J264" s="139"/>
    </row>
    <row r="265" spans="5:10" ht="15.75" customHeight="1" x14ac:dyDescent="0.25">
      <c r="E265" s="139"/>
      <c r="J265" s="139"/>
    </row>
    <row r="266" spans="5:10" ht="15.75" customHeight="1" x14ac:dyDescent="0.25">
      <c r="E266" s="139"/>
      <c r="J266" s="139"/>
    </row>
    <row r="267" spans="5:10" ht="15.75" customHeight="1" x14ac:dyDescent="0.25">
      <c r="E267" s="139"/>
      <c r="J267" s="139"/>
    </row>
    <row r="268" spans="5:10" ht="15.75" customHeight="1" x14ac:dyDescent="0.25">
      <c r="E268" s="139"/>
      <c r="J268" s="139"/>
    </row>
    <row r="269" spans="5:10" ht="15.75" customHeight="1" x14ac:dyDescent="0.25">
      <c r="E269" s="139"/>
      <c r="J269" s="139"/>
    </row>
    <row r="270" spans="5:10" ht="15.75" customHeight="1" x14ac:dyDescent="0.25">
      <c r="E270" s="139"/>
      <c r="J270" s="139"/>
    </row>
    <row r="271" spans="5:10" ht="15.75" customHeight="1" x14ac:dyDescent="0.25">
      <c r="E271" s="139"/>
      <c r="J271" s="139"/>
    </row>
    <row r="272" spans="5:10" ht="15.75" customHeight="1" x14ac:dyDescent="0.25">
      <c r="E272" s="139"/>
      <c r="J272" s="139"/>
    </row>
    <row r="273" spans="5:10" ht="15.75" customHeight="1" x14ac:dyDescent="0.25">
      <c r="E273" s="139"/>
      <c r="J273" s="139"/>
    </row>
    <row r="274" spans="5:10" ht="15.75" customHeight="1" x14ac:dyDescent="0.25">
      <c r="E274" s="139"/>
      <c r="J274" s="139"/>
    </row>
    <row r="275" spans="5:10" ht="15.75" customHeight="1" x14ac:dyDescent="0.25">
      <c r="E275" s="139"/>
      <c r="J275" s="139"/>
    </row>
    <row r="276" spans="5:10" ht="15.75" customHeight="1" x14ac:dyDescent="0.25">
      <c r="E276" s="139"/>
      <c r="J276" s="139"/>
    </row>
    <row r="277" spans="5:10" ht="15.75" customHeight="1" x14ac:dyDescent="0.25">
      <c r="E277" s="139"/>
      <c r="J277" s="139"/>
    </row>
    <row r="278" spans="5:10" ht="15.75" customHeight="1" x14ac:dyDescent="0.25">
      <c r="E278" s="139"/>
      <c r="J278" s="139"/>
    </row>
    <row r="279" spans="5:10" ht="15.75" customHeight="1" x14ac:dyDescent="0.25">
      <c r="E279" s="139"/>
      <c r="J279" s="139"/>
    </row>
    <row r="280" spans="5:10" ht="15.75" customHeight="1" x14ac:dyDescent="0.25">
      <c r="E280" s="139"/>
      <c r="J280" s="139"/>
    </row>
    <row r="281" spans="5:10" ht="15.75" customHeight="1" x14ac:dyDescent="0.25">
      <c r="E281" s="139"/>
      <c r="J281" s="139"/>
    </row>
    <row r="282" spans="5:10" ht="15.75" customHeight="1" x14ac:dyDescent="0.25">
      <c r="E282" s="139"/>
      <c r="J282" s="139"/>
    </row>
    <row r="283" spans="5:10" ht="15.75" customHeight="1" x14ac:dyDescent="0.25">
      <c r="E283" s="139"/>
      <c r="J283" s="139"/>
    </row>
    <row r="284" spans="5:10" ht="15.75" customHeight="1" x14ac:dyDescent="0.25">
      <c r="E284" s="139"/>
      <c r="J284" s="139"/>
    </row>
    <row r="285" spans="5:10" ht="15.75" customHeight="1" x14ac:dyDescent="0.25">
      <c r="E285" s="139"/>
      <c r="J285" s="139"/>
    </row>
    <row r="286" spans="5:10" ht="15.75" customHeight="1" x14ac:dyDescent="0.25">
      <c r="E286" s="139"/>
      <c r="J286" s="139"/>
    </row>
    <row r="287" spans="5:10" ht="15.75" customHeight="1" x14ac:dyDescent="0.25">
      <c r="E287" s="139"/>
      <c r="J287" s="139"/>
    </row>
    <row r="288" spans="5:10" ht="15.75" customHeight="1" x14ac:dyDescent="0.25">
      <c r="E288" s="139"/>
      <c r="J288" s="139"/>
    </row>
    <row r="289" spans="5:10" ht="15.75" customHeight="1" x14ac:dyDescent="0.25">
      <c r="E289" s="139"/>
      <c r="J289" s="139"/>
    </row>
    <row r="290" spans="5:10" ht="15.75" customHeight="1" x14ac:dyDescent="0.25">
      <c r="E290" s="139"/>
      <c r="J290" s="139"/>
    </row>
    <row r="291" spans="5:10" ht="15.75" customHeight="1" x14ac:dyDescent="0.25">
      <c r="E291" s="139"/>
      <c r="J291" s="139"/>
    </row>
    <row r="292" spans="5:10" ht="15.75" customHeight="1" x14ac:dyDescent="0.25">
      <c r="E292" s="139"/>
      <c r="J292" s="139"/>
    </row>
    <row r="293" spans="5:10" ht="15.75" customHeight="1" x14ac:dyDescent="0.25">
      <c r="E293" s="139"/>
      <c r="J293" s="139"/>
    </row>
    <row r="294" spans="5:10" ht="15.75" customHeight="1" x14ac:dyDescent="0.25">
      <c r="E294" s="139"/>
      <c r="J294" s="139"/>
    </row>
    <row r="295" spans="5:10" ht="15.75" customHeight="1" x14ac:dyDescent="0.25">
      <c r="E295" s="139"/>
      <c r="J295" s="139"/>
    </row>
    <row r="296" spans="5:10" ht="15.75" customHeight="1" x14ac:dyDescent="0.25">
      <c r="E296" s="139"/>
      <c r="J296" s="139"/>
    </row>
    <row r="297" spans="5:10" ht="15.75" customHeight="1" x14ac:dyDescent="0.25">
      <c r="E297" s="139"/>
      <c r="J297" s="139"/>
    </row>
    <row r="298" spans="5:10" ht="15.75" customHeight="1" x14ac:dyDescent="0.25">
      <c r="E298" s="139"/>
      <c r="J298" s="139"/>
    </row>
    <row r="299" spans="5:10" ht="15.75" customHeight="1" x14ac:dyDescent="0.25">
      <c r="E299" s="139"/>
      <c r="J299" s="139"/>
    </row>
    <row r="300" spans="5:10" ht="15.75" customHeight="1" x14ac:dyDescent="0.25">
      <c r="E300" s="139"/>
      <c r="J300" s="139"/>
    </row>
    <row r="301" spans="5:10" ht="15.75" customHeight="1" x14ac:dyDescent="0.25">
      <c r="E301" s="139"/>
      <c r="J301" s="139"/>
    </row>
    <row r="302" spans="5:10" ht="15.75" customHeight="1" x14ac:dyDescent="0.25">
      <c r="E302" s="139"/>
      <c r="J302" s="139"/>
    </row>
    <row r="303" spans="5:10" ht="15.75" customHeight="1" x14ac:dyDescent="0.25">
      <c r="E303" s="139"/>
      <c r="J303" s="139"/>
    </row>
    <row r="304" spans="5:10" ht="15.75" customHeight="1" x14ac:dyDescent="0.25">
      <c r="E304" s="139"/>
      <c r="J304" s="139"/>
    </row>
    <row r="305" spans="5:10" ht="15.75" customHeight="1" x14ac:dyDescent="0.25">
      <c r="E305" s="139"/>
      <c r="J305" s="139"/>
    </row>
    <row r="306" spans="5:10" ht="15.75" customHeight="1" x14ac:dyDescent="0.25">
      <c r="E306" s="139"/>
      <c r="J306" s="139"/>
    </row>
    <row r="307" spans="5:10" ht="15.75" customHeight="1" x14ac:dyDescent="0.25">
      <c r="E307" s="139"/>
      <c r="J307" s="139"/>
    </row>
    <row r="308" spans="5:10" ht="15.75" customHeight="1" x14ac:dyDescent="0.25">
      <c r="E308" s="139"/>
      <c r="J308" s="139"/>
    </row>
    <row r="309" spans="5:10" ht="15.75" customHeight="1" x14ac:dyDescent="0.25">
      <c r="E309" s="139"/>
      <c r="J309" s="139"/>
    </row>
    <row r="310" spans="5:10" ht="15.75" customHeight="1" x14ac:dyDescent="0.25">
      <c r="E310" s="139"/>
      <c r="J310" s="139"/>
    </row>
    <row r="311" spans="5:10" ht="15.75" customHeight="1" x14ac:dyDescent="0.25">
      <c r="E311" s="139"/>
      <c r="J311" s="139"/>
    </row>
    <row r="312" spans="5:10" ht="15.75" customHeight="1" x14ac:dyDescent="0.25">
      <c r="E312" s="139"/>
      <c r="J312" s="139"/>
    </row>
    <row r="313" spans="5:10" ht="15.75" customHeight="1" x14ac:dyDescent="0.25">
      <c r="E313" s="139"/>
      <c r="J313" s="139"/>
    </row>
    <row r="314" spans="5:10" ht="15.75" customHeight="1" x14ac:dyDescent="0.25">
      <c r="E314" s="139"/>
      <c r="J314" s="139"/>
    </row>
    <row r="315" spans="5:10" ht="15.75" customHeight="1" x14ac:dyDescent="0.25">
      <c r="E315" s="139"/>
      <c r="J315" s="139"/>
    </row>
    <row r="316" spans="5:10" ht="15.75" customHeight="1" x14ac:dyDescent="0.25">
      <c r="E316" s="139"/>
      <c r="J316" s="139"/>
    </row>
    <row r="317" spans="5:10" ht="15.75" customHeight="1" x14ac:dyDescent="0.25">
      <c r="E317" s="139"/>
      <c r="J317" s="139"/>
    </row>
    <row r="318" spans="5:10" ht="15.75" customHeight="1" x14ac:dyDescent="0.25">
      <c r="E318" s="139"/>
      <c r="J318" s="139"/>
    </row>
    <row r="319" spans="5:10" ht="15.75" customHeight="1" x14ac:dyDescent="0.25">
      <c r="E319" s="139"/>
      <c r="J319" s="139"/>
    </row>
    <row r="320" spans="5:10" ht="15.75" customHeight="1" x14ac:dyDescent="0.25">
      <c r="E320" s="139"/>
      <c r="J320" s="139"/>
    </row>
    <row r="321" spans="5:10" ht="15.75" customHeight="1" x14ac:dyDescent="0.25">
      <c r="E321" s="139"/>
      <c r="J321" s="139"/>
    </row>
    <row r="322" spans="5:10" ht="15.75" customHeight="1" x14ac:dyDescent="0.25">
      <c r="E322" s="139"/>
      <c r="J322" s="139"/>
    </row>
    <row r="323" spans="5:10" ht="15.75" customHeight="1" x14ac:dyDescent="0.25">
      <c r="E323" s="139"/>
      <c r="J323" s="139"/>
    </row>
    <row r="324" spans="5:10" ht="15.75" customHeight="1" x14ac:dyDescent="0.25">
      <c r="E324" s="139"/>
      <c r="J324" s="139"/>
    </row>
    <row r="325" spans="5:10" ht="15.75" customHeight="1" x14ac:dyDescent="0.25">
      <c r="E325" s="139"/>
      <c r="J325" s="139"/>
    </row>
    <row r="326" spans="5:10" ht="15.75" customHeight="1" x14ac:dyDescent="0.25">
      <c r="E326" s="139"/>
      <c r="J326" s="139"/>
    </row>
    <row r="327" spans="5:10" ht="15.75" customHeight="1" x14ac:dyDescent="0.25">
      <c r="E327" s="139"/>
      <c r="J327" s="139"/>
    </row>
    <row r="328" spans="5:10" ht="15.75" customHeight="1" x14ac:dyDescent="0.25">
      <c r="E328" s="139"/>
      <c r="J328" s="139"/>
    </row>
    <row r="329" spans="5:10" ht="15.75" customHeight="1" x14ac:dyDescent="0.25">
      <c r="E329" s="139"/>
      <c r="J329" s="139"/>
    </row>
    <row r="330" spans="5:10" ht="15.75" customHeight="1" x14ac:dyDescent="0.25">
      <c r="E330" s="139"/>
      <c r="J330" s="139"/>
    </row>
    <row r="331" spans="5:10" ht="15.75" customHeight="1" x14ac:dyDescent="0.25">
      <c r="E331" s="139"/>
      <c r="J331" s="139"/>
    </row>
    <row r="332" spans="5:10" ht="15.75" customHeight="1" x14ac:dyDescent="0.25">
      <c r="E332" s="139"/>
      <c r="J332" s="139"/>
    </row>
    <row r="333" spans="5:10" ht="15.75" customHeight="1" x14ac:dyDescent="0.25">
      <c r="E333" s="139"/>
      <c r="J333" s="139"/>
    </row>
    <row r="334" spans="5:10" ht="15.75" customHeight="1" x14ac:dyDescent="0.25">
      <c r="E334" s="139"/>
      <c r="J334" s="139"/>
    </row>
    <row r="335" spans="5:10" ht="15.75" customHeight="1" x14ac:dyDescent="0.25">
      <c r="E335" s="139"/>
      <c r="J335" s="139"/>
    </row>
    <row r="336" spans="5:10" ht="15.75" customHeight="1" x14ac:dyDescent="0.25">
      <c r="E336" s="139"/>
      <c r="J336" s="139"/>
    </row>
    <row r="337" spans="5:10" ht="15.75" customHeight="1" x14ac:dyDescent="0.25">
      <c r="E337" s="139"/>
      <c r="J337" s="139"/>
    </row>
    <row r="338" spans="5:10" ht="15.75" customHeight="1" x14ac:dyDescent="0.25">
      <c r="E338" s="139"/>
      <c r="J338" s="139"/>
    </row>
    <row r="339" spans="5:10" ht="15.75" customHeight="1" x14ac:dyDescent="0.25">
      <c r="E339" s="139"/>
      <c r="J339" s="139"/>
    </row>
    <row r="340" spans="5:10" ht="15.75" customHeight="1" x14ac:dyDescent="0.25">
      <c r="E340" s="139"/>
      <c r="J340" s="139"/>
    </row>
    <row r="341" spans="5:10" ht="15.75" customHeight="1" x14ac:dyDescent="0.25">
      <c r="E341" s="139"/>
      <c r="J341" s="139"/>
    </row>
    <row r="342" spans="5:10" ht="15.75" customHeight="1" x14ac:dyDescent="0.25">
      <c r="E342" s="139"/>
      <c r="J342" s="139"/>
    </row>
    <row r="343" spans="5:10" ht="15.75" customHeight="1" x14ac:dyDescent="0.25">
      <c r="E343" s="139"/>
      <c r="J343" s="139"/>
    </row>
    <row r="344" spans="5:10" ht="15.75" customHeight="1" x14ac:dyDescent="0.25">
      <c r="E344" s="139"/>
      <c r="J344" s="139"/>
    </row>
    <row r="345" spans="5:10" ht="15.75" customHeight="1" x14ac:dyDescent="0.25">
      <c r="E345" s="139"/>
      <c r="J345" s="139"/>
    </row>
    <row r="346" spans="5:10" ht="15.75" customHeight="1" x14ac:dyDescent="0.25">
      <c r="E346" s="139"/>
      <c r="J346" s="139"/>
    </row>
    <row r="347" spans="5:10" ht="15.75" customHeight="1" x14ac:dyDescent="0.25">
      <c r="E347" s="139"/>
      <c r="J347" s="139"/>
    </row>
    <row r="348" spans="5:10" ht="15.75" customHeight="1" x14ac:dyDescent="0.25">
      <c r="E348" s="139"/>
      <c r="J348" s="139"/>
    </row>
    <row r="349" spans="5:10" ht="15.75" customHeight="1" x14ac:dyDescent="0.25">
      <c r="E349" s="139"/>
      <c r="J349" s="139"/>
    </row>
    <row r="350" spans="5:10" ht="15.75" customHeight="1" x14ac:dyDescent="0.25">
      <c r="E350" s="139"/>
      <c r="J350" s="139"/>
    </row>
    <row r="351" spans="5:10" ht="15.75" customHeight="1" x14ac:dyDescent="0.25">
      <c r="E351" s="139"/>
      <c r="J351" s="139"/>
    </row>
    <row r="352" spans="5:10" ht="15.75" customHeight="1" x14ac:dyDescent="0.25">
      <c r="E352" s="139"/>
      <c r="J352" s="139"/>
    </row>
    <row r="353" spans="5:10" ht="15.75" customHeight="1" x14ac:dyDescent="0.25">
      <c r="E353" s="139"/>
      <c r="J353" s="139"/>
    </row>
    <row r="354" spans="5:10" ht="15.75" customHeight="1" x14ac:dyDescent="0.25">
      <c r="E354" s="139"/>
      <c r="J354" s="139"/>
    </row>
    <row r="355" spans="5:10" ht="15.75" customHeight="1" x14ac:dyDescent="0.25">
      <c r="E355" s="139"/>
      <c r="J355" s="139"/>
    </row>
    <row r="356" spans="5:10" ht="15.75" customHeight="1" x14ac:dyDescent="0.25">
      <c r="E356" s="139"/>
      <c r="J356" s="139"/>
    </row>
    <row r="357" spans="5:10" ht="15.75" customHeight="1" x14ac:dyDescent="0.25">
      <c r="E357" s="139"/>
      <c r="J357" s="139"/>
    </row>
    <row r="358" spans="5:10" ht="15.75" customHeight="1" x14ac:dyDescent="0.25">
      <c r="E358" s="139"/>
      <c r="J358" s="139"/>
    </row>
    <row r="359" spans="5:10" ht="15.75" customHeight="1" x14ac:dyDescent="0.25">
      <c r="E359" s="139"/>
      <c r="J359" s="139"/>
    </row>
    <row r="360" spans="5:10" ht="15.75" customHeight="1" x14ac:dyDescent="0.25">
      <c r="E360" s="139"/>
      <c r="J360" s="139"/>
    </row>
    <row r="361" spans="5:10" ht="15.75" customHeight="1" x14ac:dyDescent="0.25">
      <c r="E361" s="139"/>
      <c r="J361" s="139"/>
    </row>
    <row r="362" spans="5:10" ht="15.75" customHeight="1" x14ac:dyDescent="0.25">
      <c r="E362" s="139"/>
      <c r="J362" s="139"/>
    </row>
    <row r="363" spans="5:10" ht="15.75" customHeight="1" x14ac:dyDescent="0.25">
      <c r="E363" s="139"/>
      <c r="J363" s="139"/>
    </row>
    <row r="364" spans="5:10" ht="15.75" customHeight="1" x14ac:dyDescent="0.25">
      <c r="E364" s="139"/>
      <c r="J364" s="139"/>
    </row>
    <row r="365" spans="5:10" ht="15.75" customHeight="1" x14ac:dyDescent="0.25">
      <c r="E365" s="139"/>
      <c r="J365" s="139"/>
    </row>
    <row r="366" spans="5:10" ht="15.75" customHeight="1" x14ac:dyDescent="0.25">
      <c r="E366" s="139"/>
      <c r="J366" s="139"/>
    </row>
    <row r="367" spans="5:10" ht="15.75" customHeight="1" x14ac:dyDescent="0.25">
      <c r="E367" s="139"/>
      <c r="J367" s="139"/>
    </row>
    <row r="368" spans="5:10" ht="15.75" customHeight="1" x14ac:dyDescent="0.25">
      <c r="E368" s="139"/>
      <c r="J368" s="139"/>
    </row>
    <row r="369" spans="5:10" ht="15.75" customHeight="1" x14ac:dyDescent="0.25">
      <c r="E369" s="139"/>
      <c r="J369" s="139"/>
    </row>
    <row r="370" spans="5:10" ht="15.75" customHeight="1" x14ac:dyDescent="0.25">
      <c r="E370" s="139"/>
      <c r="J370" s="139"/>
    </row>
    <row r="371" spans="5:10" ht="15.75" customHeight="1" x14ac:dyDescent="0.25">
      <c r="E371" s="139"/>
      <c r="J371" s="139"/>
    </row>
    <row r="372" spans="5:10" ht="15.75" customHeight="1" x14ac:dyDescent="0.25">
      <c r="E372" s="139"/>
      <c r="J372" s="139"/>
    </row>
    <row r="373" spans="5:10" ht="15.75" customHeight="1" x14ac:dyDescent="0.25">
      <c r="E373" s="139"/>
      <c r="J373" s="139"/>
    </row>
    <row r="374" spans="5:10" ht="15.75" customHeight="1" x14ac:dyDescent="0.25">
      <c r="E374" s="139"/>
      <c r="J374" s="139"/>
    </row>
    <row r="375" spans="5:10" ht="15.75" customHeight="1" x14ac:dyDescent="0.25">
      <c r="E375" s="139"/>
      <c r="J375" s="139"/>
    </row>
    <row r="376" spans="5:10" ht="15.75" customHeight="1" x14ac:dyDescent="0.25">
      <c r="E376" s="139"/>
      <c r="J376" s="139"/>
    </row>
    <row r="377" spans="5:10" ht="15.75" customHeight="1" x14ac:dyDescent="0.25">
      <c r="E377" s="139"/>
      <c r="J377" s="139"/>
    </row>
    <row r="378" spans="5:10" ht="15.75" customHeight="1" x14ac:dyDescent="0.25">
      <c r="E378" s="139"/>
      <c r="J378" s="139"/>
    </row>
    <row r="379" spans="5:10" ht="15.75" customHeight="1" x14ac:dyDescent="0.25">
      <c r="E379" s="139"/>
      <c r="J379" s="139"/>
    </row>
    <row r="380" spans="5:10" ht="15.75" customHeight="1" x14ac:dyDescent="0.25">
      <c r="E380" s="139"/>
      <c r="J380" s="139"/>
    </row>
    <row r="381" spans="5:10" ht="15.75" customHeight="1" x14ac:dyDescent="0.25">
      <c r="E381" s="139"/>
      <c r="J381" s="139"/>
    </row>
    <row r="382" spans="5:10" ht="15.75" customHeight="1" x14ac:dyDescent="0.25">
      <c r="E382" s="139"/>
      <c r="J382" s="139"/>
    </row>
    <row r="383" spans="5:10" ht="15.75" customHeight="1" x14ac:dyDescent="0.25">
      <c r="E383" s="139"/>
      <c r="J383" s="139"/>
    </row>
    <row r="384" spans="5:10" ht="15.75" customHeight="1" x14ac:dyDescent="0.25">
      <c r="E384" s="139"/>
      <c r="J384" s="139"/>
    </row>
    <row r="385" spans="5:10" ht="15.75" customHeight="1" x14ac:dyDescent="0.25">
      <c r="E385" s="139"/>
      <c r="J385" s="139"/>
    </row>
    <row r="386" spans="5:10" ht="15.75" customHeight="1" x14ac:dyDescent="0.25">
      <c r="E386" s="139"/>
      <c r="J386" s="139"/>
    </row>
    <row r="387" spans="5:10" ht="15.75" customHeight="1" x14ac:dyDescent="0.25">
      <c r="E387" s="139"/>
      <c r="J387" s="139"/>
    </row>
    <row r="388" spans="5:10" ht="15.75" customHeight="1" x14ac:dyDescent="0.25">
      <c r="E388" s="139"/>
      <c r="J388" s="139"/>
    </row>
    <row r="389" spans="5:10" ht="15.75" customHeight="1" x14ac:dyDescent="0.25">
      <c r="E389" s="139"/>
      <c r="J389" s="139"/>
    </row>
    <row r="390" spans="5:10" ht="15.75" customHeight="1" x14ac:dyDescent="0.25">
      <c r="E390" s="139"/>
      <c r="J390" s="139"/>
    </row>
    <row r="391" spans="5:10" ht="15.75" customHeight="1" x14ac:dyDescent="0.25">
      <c r="E391" s="139"/>
      <c r="J391" s="139"/>
    </row>
    <row r="392" spans="5:10" ht="15.75" customHeight="1" x14ac:dyDescent="0.25">
      <c r="E392" s="139"/>
      <c r="J392" s="139"/>
    </row>
    <row r="393" spans="5:10" ht="15.75" customHeight="1" x14ac:dyDescent="0.25">
      <c r="E393" s="139"/>
      <c r="J393" s="139"/>
    </row>
    <row r="394" spans="5:10" ht="15.75" customHeight="1" x14ac:dyDescent="0.25">
      <c r="E394" s="139"/>
      <c r="J394" s="139"/>
    </row>
    <row r="395" spans="5:10" ht="15.75" customHeight="1" x14ac:dyDescent="0.25">
      <c r="E395" s="139"/>
      <c r="J395" s="139"/>
    </row>
    <row r="396" spans="5:10" ht="15.75" customHeight="1" x14ac:dyDescent="0.25">
      <c r="E396" s="139"/>
      <c r="J396" s="139"/>
    </row>
    <row r="397" spans="5:10" ht="15.75" customHeight="1" x14ac:dyDescent="0.25">
      <c r="E397" s="139"/>
      <c r="J397" s="139"/>
    </row>
    <row r="398" spans="5:10" ht="15.75" customHeight="1" x14ac:dyDescent="0.25">
      <c r="E398" s="139"/>
      <c r="J398" s="139"/>
    </row>
    <row r="399" spans="5:10" ht="15.75" customHeight="1" x14ac:dyDescent="0.25">
      <c r="E399" s="139"/>
      <c r="J399" s="139"/>
    </row>
    <row r="400" spans="5:10" ht="15.75" customHeight="1" x14ac:dyDescent="0.25">
      <c r="E400" s="139"/>
      <c r="J400" s="139"/>
    </row>
    <row r="401" spans="5:10" ht="15.75" customHeight="1" x14ac:dyDescent="0.25">
      <c r="E401" s="139"/>
      <c r="J401" s="139"/>
    </row>
    <row r="402" spans="5:10" ht="15.75" customHeight="1" x14ac:dyDescent="0.25">
      <c r="E402" s="139"/>
      <c r="J402" s="139"/>
    </row>
    <row r="403" spans="5:10" ht="15.75" customHeight="1" x14ac:dyDescent="0.25">
      <c r="E403" s="139"/>
      <c r="J403" s="139"/>
    </row>
    <row r="404" spans="5:10" ht="15.75" customHeight="1" x14ac:dyDescent="0.25">
      <c r="E404" s="139"/>
      <c r="J404" s="139"/>
    </row>
    <row r="405" spans="5:10" ht="15.75" customHeight="1" x14ac:dyDescent="0.25">
      <c r="E405" s="139"/>
      <c r="J405" s="139"/>
    </row>
    <row r="406" spans="5:10" ht="15.75" customHeight="1" x14ac:dyDescent="0.25">
      <c r="E406" s="139"/>
      <c r="J406" s="139"/>
    </row>
    <row r="407" spans="5:10" ht="15.75" customHeight="1" x14ac:dyDescent="0.25">
      <c r="E407" s="139"/>
      <c r="J407" s="139"/>
    </row>
    <row r="408" spans="5:10" ht="15.75" customHeight="1" x14ac:dyDescent="0.25">
      <c r="E408" s="139"/>
      <c r="J408" s="139"/>
    </row>
    <row r="409" spans="5:10" ht="15.75" customHeight="1" x14ac:dyDescent="0.25">
      <c r="E409" s="139"/>
      <c r="J409" s="139"/>
    </row>
    <row r="410" spans="5:10" ht="15.75" customHeight="1" x14ac:dyDescent="0.25">
      <c r="E410" s="139"/>
      <c r="J410" s="139"/>
    </row>
    <row r="411" spans="5:10" ht="15.75" customHeight="1" x14ac:dyDescent="0.25">
      <c r="E411" s="139"/>
      <c r="J411" s="139"/>
    </row>
    <row r="412" spans="5:10" ht="15.75" customHeight="1" x14ac:dyDescent="0.25">
      <c r="E412" s="139"/>
      <c r="J412" s="139"/>
    </row>
    <row r="413" spans="5:10" ht="15.75" customHeight="1" x14ac:dyDescent="0.25">
      <c r="E413" s="139"/>
      <c r="J413" s="139"/>
    </row>
    <row r="414" spans="5:10" ht="15.75" customHeight="1" x14ac:dyDescent="0.25">
      <c r="E414" s="139"/>
      <c r="J414" s="139"/>
    </row>
    <row r="415" spans="5:10" ht="15.75" customHeight="1" x14ac:dyDescent="0.25">
      <c r="E415" s="139"/>
      <c r="J415" s="139"/>
    </row>
    <row r="416" spans="5:10" ht="15.75" customHeight="1" x14ac:dyDescent="0.25">
      <c r="E416" s="139"/>
      <c r="J416" s="139"/>
    </row>
    <row r="417" spans="5:10" ht="15.75" customHeight="1" x14ac:dyDescent="0.25">
      <c r="E417" s="139"/>
      <c r="J417" s="139"/>
    </row>
    <row r="418" spans="5:10" ht="15.75" customHeight="1" x14ac:dyDescent="0.25">
      <c r="E418" s="139"/>
      <c r="J418" s="139"/>
    </row>
    <row r="419" spans="5:10" ht="15.75" customHeight="1" x14ac:dyDescent="0.25">
      <c r="E419" s="139"/>
      <c r="J419" s="139"/>
    </row>
    <row r="420" spans="5:10" ht="15.75" customHeight="1" x14ac:dyDescent="0.25">
      <c r="E420" s="139"/>
      <c r="J420" s="139"/>
    </row>
    <row r="421" spans="5:10" ht="15.75" customHeight="1" x14ac:dyDescent="0.25">
      <c r="E421" s="139"/>
      <c r="J421" s="139"/>
    </row>
    <row r="422" spans="5:10" ht="15.75" customHeight="1" x14ac:dyDescent="0.25">
      <c r="E422" s="139"/>
      <c r="J422" s="139"/>
    </row>
    <row r="423" spans="5:10" ht="15.75" customHeight="1" x14ac:dyDescent="0.25">
      <c r="E423" s="139"/>
      <c r="J423" s="139"/>
    </row>
    <row r="424" spans="5:10" ht="15.75" customHeight="1" x14ac:dyDescent="0.25">
      <c r="E424" s="139"/>
      <c r="J424" s="139"/>
    </row>
    <row r="425" spans="5:10" ht="15.75" customHeight="1" x14ac:dyDescent="0.25">
      <c r="E425" s="139"/>
      <c r="J425" s="139"/>
    </row>
    <row r="426" spans="5:10" ht="15.75" customHeight="1" x14ac:dyDescent="0.25">
      <c r="E426" s="139"/>
      <c r="J426" s="139"/>
    </row>
    <row r="427" spans="5:10" ht="15.75" customHeight="1" x14ac:dyDescent="0.25">
      <c r="E427" s="139"/>
      <c r="J427" s="139"/>
    </row>
    <row r="428" spans="5:10" ht="15.75" customHeight="1" x14ac:dyDescent="0.25">
      <c r="E428" s="139"/>
      <c r="J428" s="139"/>
    </row>
    <row r="429" spans="5:10" ht="15.75" customHeight="1" x14ac:dyDescent="0.25">
      <c r="E429" s="139"/>
      <c r="J429" s="139"/>
    </row>
    <row r="430" spans="5:10" ht="15.75" customHeight="1" x14ac:dyDescent="0.25">
      <c r="E430" s="139"/>
      <c r="J430" s="139"/>
    </row>
    <row r="431" spans="5:10" ht="15.75" customHeight="1" x14ac:dyDescent="0.25">
      <c r="E431" s="139"/>
      <c r="J431" s="139"/>
    </row>
    <row r="432" spans="5:10" ht="15.75" customHeight="1" x14ac:dyDescent="0.25">
      <c r="E432" s="139"/>
      <c r="J432" s="139"/>
    </row>
    <row r="433" spans="5:10" ht="15.75" customHeight="1" x14ac:dyDescent="0.25">
      <c r="E433" s="139"/>
      <c r="J433" s="139"/>
    </row>
    <row r="434" spans="5:10" ht="15.75" customHeight="1" x14ac:dyDescent="0.25">
      <c r="E434" s="139"/>
      <c r="J434" s="139"/>
    </row>
    <row r="435" spans="5:10" ht="15.75" customHeight="1" x14ac:dyDescent="0.25">
      <c r="E435" s="139"/>
      <c r="J435" s="139"/>
    </row>
    <row r="436" spans="5:10" ht="15.75" customHeight="1" x14ac:dyDescent="0.25">
      <c r="E436" s="139"/>
      <c r="J436" s="139"/>
    </row>
    <row r="437" spans="5:10" ht="15.75" customHeight="1" x14ac:dyDescent="0.25">
      <c r="E437" s="139"/>
      <c r="J437" s="139"/>
    </row>
    <row r="438" spans="5:10" ht="15.75" customHeight="1" x14ac:dyDescent="0.25">
      <c r="E438" s="139"/>
      <c r="J438" s="139"/>
    </row>
    <row r="439" spans="5:10" ht="15.75" customHeight="1" x14ac:dyDescent="0.25">
      <c r="E439" s="139"/>
      <c r="J439" s="139"/>
    </row>
    <row r="440" spans="5:10" ht="15.75" customHeight="1" x14ac:dyDescent="0.25">
      <c r="E440" s="139"/>
      <c r="J440" s="139"/>
    </row>
    <row r="441" spans="5:10" ht="15.75" customHeight="1" x14ac:dyDescent="0.25">
      <c r="E441" s="139"/>
      <c r="J441" s="139"/>
    </row>
    <row r="442" spans="5:10" ht="15.75" customHeight="1" x14ac:dyDescent="0.25">
      <c r="E442" s="139"/>
      <c r="J442" s="139"/>
    </row>
    <row r="443" spans="5:10" ht="15.75" customHeight="1" x14ac:dyDescent="0.25">
      <c r="E443" s="139"/>
      <c r="J443" s="139"/>
    </row>
    <row r="444" spans="5:10" ht="15.75" customHeight="1" x14ac:dyDescent="0.25">
      <c r="E444" s="139"/>
      <c r="J444" s="139"/>
    </row>
    <row r="445" spans="5:10" ht="15.75" customHeight="1" x14ac:dyDescent="0.25">
      <c r="E445" s="139"/>
      <c r="J445" s="139"/>
    </row>
    <row r="446" spans="5:10" ht="15.75" customHeight="1" x14ac:dyDescent="0.25">
      <c r="E446" s="139"/>
      <c r="J446" s="139"/>
    </row>
    <row r="447" spans="5:10" ht="15.75" customHeight="1" x14ac:dyDescent="0.25">
      <c r="E447" s="139"/>
      <c r="J447" s="139"/>
    </row>
    <row r="448" spans="5:10" ht="15.75" customHeight="1" x14ac:dyDescent="0.25">
      <c r="E448" s="139"/>
      <c r="J448" s="139"/>
    </row>
    <row r="449" spans="5:10" ht="15.75" customHeight="1" x14ac:dyDescent="0.25">
      <c r="E449" s="139"/>
      <c r="J449" s="139"/>
    </row>
    <row r="450" spans="5:10" ht="15.75" customHeight="1" x14ac:dyDescent="0.25">
      <c r="E450" s="139"/>
      <c r="J450" s="139"/>
    </row>
    <row r="451" spans="5:10" ht="15.75" customHeight="1" x14ac:dyDescent="0.25">
      <c r="E451" s="139"/>
      <c r="J451" s="139"/>
    </row>
    <row r="452" spans="5:10" ht="15.75" customHeight="1" x14ac:dyDescent="0.25">
      <c r="E452" s="139"/>
      <c r="J452" s="139"/>
    </row>
    <row r="453" spans="5:10" ht="15.75" customHeight="1" x14ac:dyDescent="0.25">
      <c r="E453" s="139"/>
      <c r="J453" s="139"/>
    </row>
    <row r="454" spans="5:10" ht="15.75" customHeight="1" x14ac:dyDescent="0.25">
      <c r="E454" s="139"/>
      <c r="J454" s="139"/>
    </row>
    <row r="455" spans="5:10" ht="15.75" customHeight="1" x14ac:dyDescent="0.25">
      <c r="E455" s="139"/>
      <c r="J455" s="139"/>
    </row>
    <row r="456" spans="5:10" ht="15.75" customHeight="1" x14ac:dyDescent="0.25">
      <c r="E456" s="139"/>
      <c r="J456" s="139"/>
    </row>
    <row r="457" spans="5:10" ht="15.75" customHeight="1" x14ac:dyDescent="0.25">
      <c r="E457" s="139"/>
      <c r="J457" s="139"/>
    </row>
    <row r="458" spans="5:10" ht="15.75" customHeight="1" x14ac:dyDescent="0.25">
      <c r="E458" s="139"/>
      <c r="J458" s="139"/>
    </row>
    <row r="459" spans="5:10" ht="15.75" customHeight="1" x14ac:dyDescent="0.25">
      <c r="E459" s="139"/>
      <c r="J459" s="139"/>
    </row>
    <row r="460" spans="5:10" ht="15.75" customHeight="1" x14ac:dyDescent="0.25">
      <c r="E460" s="139"/>
      <c r="J460" s="139"/>
    </row>
    <row r="461" spans="5:10" ht="15.75" customHeight="1" x14ac:dyDescent="0.25">
      <c r="E461" s="139"/>
      <c r="J461" s="139"/>
    </row>
    <row r="462" spans="5:10" ht="15.75" customHeight="1" x14ac:dyDescent="0.25">
      <c r="E462" s="139"/>
      <c r="J462" s="139"/>
    </row>
    <row r="463" spans="5:10" ht="15.75" customHeight="1" x14ac:dyDescent="0.25">
      <c r="E463" s="139"/>
      <c r="J463" s="139"/>
    </row>
    <row r="464" spans="5:10" ht="15.75" customHeight="1" x14ac:dyDescent="0.25">
      <c r="E464" s="139"/>
      <c r="J464" s="139"/>
    </row>
    <row r="465" spans="5:10" ht="15.75" customHeight="1" x14ac:dyDescent="0.25">
      <c r="E465" s="139"/>
      <c r="J465" s="139"/>
    </row>
    <row r="466" spans="5:10" ht="15.75" customHeight="1" x14ac:dyDescent="0.25">
      <c r="E466" s="139"/>
      <c r="J466" s="139"/>
    </row>
    <row r="467" spans="5:10" ht="15.75" customHeight="1" x14ac:dyDescent="0.25">
      <c r="E467" s="139"/>
      <c r="J467" s="139"/>
    </row>
    <row r="468" spans="5:10" ht="15.75" customHeight="1" x14ac:dyDescent="0.25">
      <c r="E468" s="139"/>
      <c r="J468" s="139"/>
    </row>
    <row r="469" spans="5:10" ht="15.75" customHeight="1" x14ac:dyDescent="0.25">
      <c r="E469" s="139"/>
      <c r="J469" s="139"/>
    </row>
    <row r="470" spans="5:10" ht="15.75" customHeight="1" x14ac:dyDescent="0.25">
      <c r="E470" s="139"/>
      <c r="J470" s="139"/>
    </row>
    <row r="471" spans="5:10" ht="15.75" customHeight="1" x14ac:dyDescent="0.25">
      <c r="E471" s="139"/>
      <c r="J471" s="139"/>
    </row>
    <row r="472" spans="5:10" ht="15.75" customHeight="1" x14ac:dyDescent="0.25">
      <c r="E472" s="139"/>
      <c r="J472" s="139"/>
    </row>
    <row r="473" spans="5:10" ht="15.75" customHeight="1" x14ac:dyDescent="0.25">
      <c r="E473" s="139"/>
      <c r="J473" s="139"/>
    </row>
    <row r="474" spans="5:10" ht="15.75" customHeight="1" x14ac:dyDescent="0.25">
      <c r="E474" s="139"/>
      <c r="J474" s="139"/>
    </row>
    <row r="475" spans="5:10" ht="15.75" customHeight="1" x14ac:dyDescent="0.25">
      <c r="E475" s="139"/>
      <c r="J475" s="139"/>
    </row>
    <row r="476" spans="5:10" ht="15.75" customHeight="1" x14ac:dyDescent="0.25">
      <c r="E476" s="139"/>
      <c r="J476" s="139"/>
    </row>
    <row r="477" spans="5:10" ht="15.75" customHeight="1" x14ac:dyDescent="0.25">
      <c r="E477" s="139"/>
      <c r="J477" s="139"/>
    </row>
    <row r="478" spans="5:10" ht="15.75" customHeight="1" x14ac:dyDescent="0.25">
      <c r="E478" s="139"/>
      <c r="J478" s="139"/>
    </row>
    <row r="479" spans="5:10" ht="15.75" customHeight="1" x14ac:dyDescent="0.25">
      <c r="E479" s="139"/>
      <c r="J479" s="139"/>
    </row>
    <row r="480" spans="5:10" ht="15.75" customHeight="1" x14ac:dyDescent="0.25">
      <c r="E480" s="139"/>
      <c r="J480" s="139"/>
    </row>
    <row r="481" spans="5:10" ht="15.75" customHeight="1" x14ac:dyDescent="0.25">
      <c r="E481" s="139"/>
      <c r="J481" s="139"/>
    </row>
    <row r="482" spans="5:10" ht="15.75" customHeight="1" x14ac:dyDescent="0.25">
      <c r="E482" s="139"/>
      <c r="J482" s="139"/>
    </row>
    <row r="483" spans="5:10" ht="15.75" customHeight="1" x14ac:dyDescent="0.25">
      <c r="E483" s="139"/>
      <c r="J483" s="139"/>
    </row>
    <row r="484" spans="5:10" ht="15.75" customHeight="1" x14ac:dyDescent="0.25">
      <c r="E484" s="139"/>
      <c r="J484" s="139"/>
    </row>
    <row r="485" spans="5:10" ht="15.75" customHeight="1" x14ac:dyDescent="0.25">
      <c r="E485" s="139"/>
      <c r="J485" s="139"/>
    </row>
    <row r="486" spans="5:10" ht="15.75" customHeight="1" x14ac:dyDescent="0.25">
      <c r="E486" s="139"/>
      <c r="J486" s="139"/>
    </row>
    <row r="487" spans="5:10" ht="15.75" customHeight="1" x14ac:dyDescent="0.25">
      <c r="E487" s="139"/>
      <c r="J487" s="139"/>
    </row>
    <row r="488" spans="5:10" ht="15.75" customHeight="1" x14ac:dyDescent="0.25">
      <c r="E488" s="139"/>
      <c r="J488" s="139"/>
    </row>
    <row r="489" spans="5:10" ht="15.75" customHeight="1" x14ac:dyDescent="0.25">
      <c r="E489" s="139"/>
      <c r="J489" s="139"/>
    </row>
    <row r="490" spans="5:10" ht="15.75" customHeight="1" x14ac:dyDescent="0.25">
      <c r="E490" s="139"/>
      <c r="J490" s="139"/>
    </row>
    <row r="491" spans="5:10" ht="15.75" customHeight="1" x14ac:dyDescent="0.25">
      <c r="E491" s="139"/>
      <c r="J491" s="139"/>
    </row>
    <row r="492" spans="5:10" ht="15.75" customHeight="1" x14ac:dyDescent="0.25">
      <c r="E492" s="139"/>
      <c r="J492" s="139"/>
    </row>
    <row r="493" spans="5:10" ht="15.75" customHeight="1" x14ac:dyDescent="0.25">
      <c r="E493" s="139"/>
      <c r="J493" s="139"/>
    </row>
    <row r="494" spans="5:10" ht="15.75" customHeight="1" x14ac:dyDescent="0.25">
      <c r="E494" s="139"/>
      <c r="J494" s="139"/>
    </row>
    <row r="495" spans="5:10" ht="15.75" customHeight="1" x14ac:dyDescent="0.25">
      <c r="E495" s="139"/>
      <c r="J495" s="139"/>
    </row>
    <row r="496" spans="5:10" ht="15.75" customHeight="1" x14ac:dyDescent="0.25">
      <c r="E496" s="139"/>
      <c r="J496" s="139"/>
    </row>
    <row r="497" spans="5:10" ht="15.75" customHeight="1" x14ac:dyDescent="0.25">
      <c r="E497" s="139"/>
      <c r="J497" s="139"/>
    </row>
    <row r="498" spans="5:10" ht="15.75" customHeight="1" x14ac:dyDescent="0.25">
      <c r="E498" s="139"/>
      <c r="J498" s="139"/>
    </row>
    <row r="499" spans="5:10" ht="15.75" customHeight="1" x14ac:dyDescent="0.25">
      <c r="E499" s="139"/>
      <c r="J499" s="139"/>
    </row>
    <row r="500" spans="5:10" ht="15.75" customHeight="1" x14ac:dyDescent="0.25">
      <c r="E500" s="139"/>
      <c r="J500" s="139"/>
    </row>
    <row r="501" spans="5:10" ht="15.75" customHeight="1" x14ac:dyDescent="0.25">
      <c r="E501" s="139"/>
      <c r="J501" s="139"/>
    </row>
    <row r="502" spans="5:10" ht="15.75" customHeight="1" x14ac:dyDescent="0.25">
      <c r="E502" s="139"/>
      <c r="J502" s="139"/>
    </row>
    <row r="503" spans="5:10" ht="15.75" customHeight="1" x14ac:dyDescent="0.25">
      <c r="E503" s="139"/>
      <c r="J503" s="139"/>
    </row>
    <row r="504" spans="5:10" ht="15.75" customHeight="1" x14ac:dyDescent="0.25">
      <c r="E504" s="139"/>
      <c r="J504" s="139"/>
    </row>
    <row r="505" spans="5:10" ht="15.75" customHeight="1" x14ac:dyDescent="0.25">
      <c r="E505" s="139"/>
      <c r="J505" s="139"/>
    </row>
    <row r="506" spans="5:10" ht="15.75" customHeight="1" x14ac:dyDescent="0.25">
      <c r="E506" s="139"/>
      <c r="J506" s="139"/>
    </row>
    <row r="507" spans="5:10" ht="15.75" customHeight="1" x14ac:dyDescent="0.25">
      <c r="E507" s="139"/>
      <c r="J507" s="139"/>
    </row>
    <row r="508" spans="5:10" ht="15.75" customHeight="1" x14ac:dyDescent="0.25">
      <c r="E508" s="139"/>
      <c r="J508" s="139"/>
    </row>
    <row r="509" spans="5:10" ht="15.75" customHeight="1" x14ac:dyDescent="0.25">
      <c r="E509" s="139"/>
      <c r="J509" s="139"/>
    </row>
    <row r="510" spans="5:10" ht="15.75" customHeight="1" x14ac:dyDescent="0.25">
      <c r="E510" s="139"/>
      <c r="J510" s="139"/>
    </row>
    <row r="511" spans="5:10" ht="15.75" customHeight="1" x14ac:dyDescent="0.25">
      <c r="E511" s="139"/>
      <c r="J511" s="139"/>
    </row>
    <row r="512" spans="5:10" ht="15.75" customHeight="1" x14ac:dyDescent="0.25">
      <c r="E512" s="139"/>
      <c r="J512" s="139"/>
    </row>
    <row r="513" spans="5:10" ht="15.75" customHeight="1" x14ac:dyDescent="0.25">
      <c r="E513" s="139"/>
      <c r="J513" s="139"/>
    </row>
    <row r="514" spans="5:10" ht="15.75" customHeight="1" x14ac:dyDescent="0.25">
      <c r="E514" s="139"/>
      <c r="J514" s="139"/>
    </row>
    <row r="515" spans="5:10" ht="15.75" customHeight="1" x14ac:dyDescent="0.25">
      <c r="E515" s="139"/>
      <c r="J515" s="139"/>
    </row>
    <row r="516" spans="5:10" ht="15.75" customHeight="1" x14ac:dyDescent="0.25">
      <c r="E516" s="139"/>
      <c r="J516" s="139"/>
    </row>
    <row r="517" spans="5:10" ht="15.75" customHeight="1" x14ac:dyDescent="0.25">
      <c r="E517" s="139"/>
      <c r="J517" s="139"/>
    </row>
    <row r="518" spans="5:10" ht="15.75" customHeight="1" x14ac:dyDescent="0.25">
      <c r="E518" s="139"/>
      <c r="J518" s="139"/>
    </row>
    <row r="519" spans="5:10" ht="15.75" customHeight="1" x14ac:dyDescent="0.25">
      <c r="E519" s="139"/>
      <c r="J519" s="139"/>
    </row>
    <row r="520" spans="5:10" ht="15.75" customHeight="1" x14ac:dyDescent="0.25">
      <c r="E520" s="139"/>
      <c r="J520" s="139"/>
    </row>
    <row r="521" spans="5:10" ht="15.75" customHeight="1" x14ac:dyDescent="0.25">
      <c r="E521" s="139"/>
      <c r="J521" s="139"/>
    </row>
    <row r="522" spans="5:10" ht="15.75" customHeight="1" x14ac:dyDescent="0.25">
      <c r="E522" s="139"/>
      <c r="J522" s="139"/>
    </row>
    <row r="523" spans="5:10" ht="15.75" customHeight="1" x14ac:dyDescent="0.25">
      <c r="E523" s="139"/>
      <c r="J523" s="139"/>
    </row>
    <row r="524" spans="5:10" ht="15.75" customHeight="1" x14ac:dyDescent="0.25">
      <c r="E524" s="139"/>
      <c r="J524" s="139"/>
    </row>
    <row r="525" spans="5:10" ht="15.75" customHeight="1" x14ac:dyDescent="0.25">
      <c r="E525" s="139"/>
      <c r="J525" s="139"/>
    </row>
    <row r="526" spans="5:10" ht="15.75" customHeight="1" x14ac:dyDescent="0.25">
      <c r="E526" s="139"/>
      <c r="J526" s="139"/>
    </row>
    <row r="527" spans="5:10" ht="15.75" customHeight="1" x14ac:dyDescent="0.25">
      <c r="E527" s="139"/>
      <c r="J527" s="139"/>
    </row>
    <row r="528" spans="5:10" ht="15.75" customHeight="1" x14ac:dyDescent="0.25">
      <c r="E528" s="139"/>
      <c r="J528" s="139"/>
    </row>
    <row r="529" spans="5:10" ht="15.75" customHeight="1" x14ac:dyDescent="0.25">
      <c r="E529" s="139"/>
      <c r="J529" s="139"/>
    </row>
    <row r="530" spans="5:10" ht="15.75" customHeight="1" x14ac:dyDescent="0.25">
      <c r="E530" s="139"/>
      <c r="J530" s="139"/>
    </row>
    <row r="531" spans="5:10" ht="15.75" customHeight="1" x14ac:dyDescent="0.25">
      <c r="E531" s="139"/>
      <c r="J531" s="139"/>
    </row>
    <row r="532" spans="5:10" ht="15.75" customHeight="1" x14ac:dyDescent="0.25">
      <c r="E532" s="139"/>
      <c r="J532" s="139"/>
    </row>
    <row r="533" spans="5:10" ht="15.75" customHeight="1" x14ac:dyDescent="0.25">
      <c r="E533" s="139"/>
      <c r="J533" s="139"/>
    </row>
    <row r="534" spans="5:10" ht="15.75" customHeight="1" x14ac:dyDescent="0.25">
      <c r="E534" s="139"/>
      <c r="J534" s="139"/>
    </row>
    <row r="535" spans="5:10" ht="15.75" customHeight="1" x14ac:dyDescent="0.25">
      <c r="E535" s="139"/>
      <c r="J535" s="139"/>
    </row>
    <row r="536" spans="5:10" ht="15.75" customHeight="1" x14ac:dyDescent="0.25">
      <c r="E536" s="139"/>
      <c r="J536" s="139"/>
    </row>
    <row r="537" spans="5:10" ht="15.75" customHeight="1" x14ac:dyDescent="0.25">
      <c r="E537" s="139"/>
      <c r="J537" s="139"/>
    </row>
    <row r="538" spans="5:10" ht="15.75" customHeight="1" x14ac:dyDescent="0.25">
      <c r="E538" s="139"/>
      <c r="J538" s="139"/>
    </row>
    <row r="539" spans="5:10" ht="15.75" customHeight="1" x14ac:dyDescent="0.25">
      <c r="E539" s="139"/>
      <c r="J539" s="139"/>
    </row>
    <row r="540" spans="5:10" ht="15.75" customHeight="1" x14ac:dyDescent="0.25">
      <c r="E540" s="139"/>
      <c r="J540" s="139"/>
    </row>
    <row r="541" spans="5:10" ht="15.75" customHeight="1" x14ac:dyDescent="0.25">
      <c r="E541" s="139"/>
      <c r="J541" s="139"/>
    </row>
    <row r="542" spans="5:10" ht="15.75" customHeight="1" x14ac:dyDescent="0.25">
      <c r="E542" s="139"/>
      <c r="J542" s="139"/>
    </row>
    <row r="543" spans="5:10" ht="15.75" customHeight="1" x14ac:dyDescent="0.25">
      <c r="E543" s="139"/>
      <c r="J543" s="139"/>
    </row>
    <row r="544" spans="5:10" ht="15.75" customHeight="1" x14ac:dyDescent="0.25">
      <c r="E544" s="139"/>
      <c r="J544" s="139"/>
    </row>
    <row r="545" spans="5:10" ht="15.75" customHeight="1" x14ac:dyDescent="0.25">
      <c r="E545" s="139"/>
      <c r="J545" s="139"/>
    </row>
    <row r="546" spans="5:10" ht="15.75" customHeight="1" x14ac:dyDescent="0.25">
      <c r="E546" s="139"/>
      <c r="J546" s="139"/>
    </row>
    <row r="547" spans="5:10" ht="15.75" customHeight="1" x14ac:dyDescent="0.25">
      <c r="E547" s="139"/>
      <c r="J547" s="139"/>
    </row>
    <row r="548" spans="5:10" ht="15.75" customHeight="1" x14ac:dyDescent="0.25">
      <c r="E548" s="139"/>
      <c r="J548" s="139"/>
    </row>
    <row r="549" spans="5:10" ht="15.75" customHeight="1" x14ac:dyDescent="0.25">
      <c r="E549" s="139"/>
      <c r="J549" s="139"/>
    </row>
    <row r="550" spans="5:10" ht="15.75" customHeight="1" x14ac:dyDescent="0.25">
      <c r="E550" s="139"/>
      <c r="J550" s="139"/>
    </row>
    <row r="551" spans="5:10" ht="15.75" customHeight="1" x14ac:dyDescent="0.25">
      <c r="E551" s="139"/>
      <c r="J551" s="139"/>
    </row>
    <row r="552" spans="5:10" ht="15.75" customHeight="1" x14ac:dyDescent="0.25">
      <c r="E552" s="139"/>
      <c r="J552" s="139"/>
    </row>
    <row r="553" spans="5:10" ht="15.75" customHeight="1" x14ac:dyDescent="0.25">
      <c r="E553" s="139"/>
      <c r="J553" s="139"/>
    </row>
    <row r="554" spans="5:10" ht="15.75" customHeight="1" x14ac:dyDescent="0.25">
      <c r="E554" s="139"/>
      <c r="J554" s="139"/>
    </row>
    <row r="555" spans="5:10" ht="15.75" customHeight="1" x14ac:dyDescent="0.25">
      <c r="E555" s="139"/>
      <c r="J555" s="139"/>
    </row>
    <row r="556" spans="5:10" ht="15.75" customHeight="1" x14ac:dyDescent="0.25">
      <c r="E556" s="139"/>
      <c r="J556" s="139"/>
    </row>
    <row r="557" spans="5:10" ht="15.75" customHeight="1" x14ac:dyDescent="0.25">
      <c r="E557" s="139"/>
      <c r="J557" s="139"/>
    </row>
    <row r="558" spans="5:10" ht="15.75" customHeight="1" x14ac:dyDescent="0.25">
      <c r="E558" s="139"/>
      <c r="J558" s="139"/>
    </row>
    <row r="559" spans="5:10" ht="15.75" customHeight="1" x14ac:dyDescent="0.25">
      <c r="E559" s="139"/>
      <c r="J559" s="139"/>
    </row>
    <row r="560" spans="5:10" ht="15.75" customHeight="1" x14ac:dyDescent="0.25">
      <c r="E560" s="139"/>
      <c r="J560" s="139"/>
    </row>
    <row r="561" spans="5:10" ht="15.75" customHeight="1" x14ac:dyDescent="0.25">
      <c r="E561" s="139"/>
      <c r="J561" s="139"/>
    </row>
    <row r="562" spans="5:10" ht="15.75" customHeight="1" x14ac:dyDescent="0.25">
      <c r="E562" s="139"/>
      <c r="J562" s="139"/>
    </row>
    <row r="563" spans="5:10" ht="15.75" customHeight="1" x14ac:dyDescent="0.25">
      <c r="E563" s="139"/>
      <c r="J563" s="139"/>
    </row>
    <row r="564" spans="5:10" ht="15.75" customHeight="1" x14ac:dyDescent="0.25">
      <c r="E564" s="139"/>
      <c r="J564" s="139"/>
    </row>
    <row r="565" spans="5:10" ht="15.75" customHeight="1" x14ac:dyDescent="0.25">
      <c r="E565" s="139"/>
      <c r="J565" s="139"/>
    </row>
    <row r="566" spans="5:10" ht="15.75" customHeight="1" x14ac:dyDescent="0.25">
      <c r="E566" s="139"/>
      <c r="J566" s="139"/>
    </row>
    <row r="567" spans="5:10" ht="15.75" customHeight="1" x14ac:dyDescent="0.25">
      <c r="E567" s="139"/>
      <c r="J567" s="139"/>
    </row>
    <row r="568" spans="5:10" ht="15.75" customHeight="1" x14ac:dyDescent="0.25">
      <c r="E568" s="139"/>
      <c r="J568" s="139"/>
    </row>
    <row r="569" spans="5:10" ht="15.75" customHeight="1" x14ac:dyDescent="0.25">
      <c r="E569" s="139"/>
      <c r="J569" s="139"/>
    </row>
    <row r="570" spans="5:10" ht="15.75" customHeight="1" x14ac:dyDescent="0.25">
      <c r="E570" s="139"/>
      <c r="J570" s="139"/>
    </row>
    <row r="571" spans="5:10" ht="15.75" customHeight="1" x14ac:dyDescent="0.25">
      <c r="E571" s="139"/>
      <c r="J571" s="139"/>
    </row>
    <row r="572" spans="5:10" ht="15.75" customHeight="1" x14ac:dyDescent="0.25">
      <c r="E572" s="139"/>
      <c r="J572" s="139"/>
    </row>
    <row r="573" spans="5:10" ht="15.75" customHeight="1" x14ac:dyDescent="0.25">
      <c r="E573" s="139"/>
      <c r="J573" s="139"/>
    </row>
    <row r="574" spans="5:10" ht="15.75" customHeight="1" x14ac:dyDescent="0.25">
      <c r="E574" s="139"/>
      <c r="J574" s="139"/>
    </row>
    <row r="575" spans="5:10" ht="15.75" customHeight="1" x14ac:dyDescent="0.25">
      <c r="E575" s="139"/>
      <c r="J575" s="139"/>
    </row>
    <row r="576" spans="5:10" ht="15.75" customHeight="1" x14ac:dyDescent="0.25">
      <c r="E576" s="139"/>
      <c r="J576" s="139"/>
    </row>
    <row r="577" spans="5:10" ht="15.75" customHeight="1" x14ac:dyDescent="0.25">
      <c r="E577" s="139"/>
      <c r="J577" s="139"/>
    </row>
    <row r="578" spans="5:10" ht="15.75" customHeight="1" x14ac:dyDescent="0.25">
      <c r="E578" s="139"/>
      <c r="J578" s="139"/>
    </row>
    <row r="579" spans="5:10" ht="15.75" customHeight="1" x14ac:dyDescent="0.25">
      <c r="E579" s="139"/>
      <c r="J579" s="139"/>
    </row>
    <row r="580" spans="5:10" ht="15.75" customHeight="1" x14ac:dyDescent="0.25">
      <c r="E580" s="139"/>
      <c r="J580" s="139"/>
    </row>
    <row r="581" spans="5:10" ht="15.75" customHeight="1" x14ac:dyDescent="0.25">
      <c r="E581" s="139"/>
      <c r="J581" s="139"/>
    </row>
    <row r="582" spans="5:10" ht="15.75" customHeight="1" x14ac:dyDescent="0.25">
      <c r="E582" s="139"/>
      <c r="J582" s="139"/>
    </row>
    <row r="583" spans="5:10" ht="15.75" customHeight="1" x14ac:dyDescent="0.25">
      <c r="E583" s="139"/>
      <c r="J583" s="139"/>
    </row>
    <row r="584" spans="5:10" ht="15.75" customHeight="1" x14ac:dyDescent="0.25">
      <c r="E584" s="139"/>
      <c r="J584" s="139"/>
    </row>
    <row r="585" spans="5:10" ht="15.75" customHeight="1" x14ac:dyDescent="0.25">
      <c r="E585" s="139"/>
      <c r="J585" s="139"/>
    </row>
    <row r="586" spans="5:10" ht="15.75" customHeight="1" x14ac:dyDescent="0.25">
      <c r="E586" s="139"/>
      <c r="J586" s="139"/>
    </row>
    <row r="587" spans="5:10" ht="15.75" customHeight="1" x14ac:dyDescent="0.25">
      <c r="E587" s="139"/>
      <c r="J587" s="139"/>
    </row>
    <row r="588" spans="5:10" ht="15.75" customHeight="1" x14ac:dyDescent="0.25">
      <c r="E588" s="139"/>
      <c r="J588" s="139"/>
    </row>
    <row r="589" spans="5:10" ht="15.75" customHeight="1" x14ac:dyDescent="0.25">
      <c r="E589" s="139"/>
      <c r="J589" s="139"/>
    </row>
    <row r="590" spans="5:10" ht="15.75" customHeight="1" x14ac:dyDescent="0.25">
      <c r="E590" s="139"/>
      <c r="J590" s="139"/>
    </row>
    <row r="591" spans="5:10" ht="15.75" customHeight="1" x14ac:dyDescent="0.25">
      <c r="E591" s="139"/>
      <c r="J591" s="139"/>
    </row>
    <row r="592" spans="5:10" ht="15.75" customHeight="1" x14ac:dyDescent="0.25">
      <c r="E592" s="139"/>
      <c r="J592" s="139"/>
    </row>
    <row r="593" spans="5:10" ht="15.75" customHeight="1" x14ac:dyDescent="0.25">
      <c r="E593" s="139"/>
      <c r="J593" s="139"/>
    </row>
    <row r="594" spans="5:10" ht="15.75" customHeight="1" x14ac:dyDescent="0.25">
      <c r="E594" s="139"/>
      <c r="J594" s="139"/>
    </row>
    <row r="595" spans="5:10" ht="15.75" customHeight="1" x14ac:dyDescent="0.25">
      <c r="E595" s="139"/>
      <c r="J595" s="139"/>
    </row>
    <row r="596" spans="5:10" ht="15.75" customHeight="1" x14ac:dyDescent="0.25">
      <c r="E596" s="139"/>
      <c r="J596" s="139"/>
    </row>
    <row r="597" spans="5:10" ht="15.75" customHeight="1" x14ac:dyDescent="0.25">
      <c r="E597" s="139"/>
      <c r="J597" s="139"/>
    </row>
    <row r="598" spans="5:10" ht="15.75" customHeight="1" x14ac:dyDescent="0.25">
      <c r="E598" s="139"/>
      <c r="J598" s="139"/>
    </row>
    <row r="599" spans="5:10" ht="15.75" customHeight="1" x14ac:dyDescent="0.25">
      <c r="E599" s="139"/>
      <c r="J599" s="139"/>
    </row>
    <row r="600" spans="5:10" ht="15.75" customHeight="1" x14ac:dyDescent="0.25">
      <c r="E600" s="139"/>
      <c r="J600" s="139"/>
    </row>
    <row r="601" spans="5:10" ht="15.75" customHeight="1" x14ac:dyDescent="0.25">
      <c r="E601" s="139"/>
      <c r="J601" s="139"/>
    </row>
    <row r="602" spans="5:10" ht="15.75" customHeight="1" x14ac:dyDescent="0.25">
      <c r="E602" s="139"/>
      <c r="J602" s="139"/>
    </row>
    <row r="603" spans="5:10" ht="15.75" customHeight="1" x14ac:dyDescent="0.25">
      <c r="E603" s="139"/>
      <c r="J603" s="139"/>
    </row>
    <row r="604" spans="5:10" ht="15.75" customHeight="1" x14ac:dyDescent="0.25">
      <c r="E604" s="139"/>
      <c r="J604" s="139"/>
    </row>
    <row r="605" spans="5:10" ht="15.75" customHeight="1" x14ac:dyDescent="0.25">
      <c r="E605" s="139"/>
      <c r="J605" s="139"/>
    </row>
    <row r="606" spans="5:10" ht="15.75" customHeight="1" x14ac:dyDescent="0.25">
      <c r="E606" s="139"/>
      <c r="J606" s="139"/>
    </row>
    <row r="607" spans="5:10" ht="15.75" customHeight="1" x14ac:dyDescent="0.25">
      <c r="E607" s="139"/>
      <c r="J607" s="139"/>
    </row>
    <row r="608" spans="5:10" ht="15.75" customHeight="1" x14ac:dyDescent="0.25">
      <c r="E608" s="139"/>
      <c r="J608" s="139"/>
    </row>
    <row r="609" spans="5:10" ht="15.75" customHeight="1" x14ac:dyDescent="0.25">
      <c r="E609" s="139"/>
      <c r="J609" s="139"/>
    </row>
    <row r="610" spans="5:10" ht="15.75" customHeight="1" x14ac:dyDescent="0.25">
      <c r="E610" s="139"/>
      <c r="J610" s="139"/>
    </row>
    <row r="611" spans="5:10" ht="15.75" customHeight="1" x14ac:dyDescent="0.25">
      <c r="E611" s="139"/>
      <c r="J611" s="139"/>
    </row>
    <row r="612" spans="5:10" ht="15.75" customHeight="1" x14ac:dyDescent="0.25">
      <c r="E612" s="139"/>
      <c r="J612" s="139"/>
    </row>
    <row r="613" spans="5:10" ht="15.75" customHeight="1" x14ac:dyDescent="0.25">
      <c r="E613" s="139"/>
      <c r="J613" s="139"/>
    </row>
    <row r="614" spans="5:10" ht="15.75" customHeight="1" x14ac:dyDescent="0.25">
      <c r="E614" s="139"/>
      <c r="J614" s="139"/>
    </row>
    <row r="615" spans="5:10" ht="15.75" customHeight="1" x14ac:dyDescent="0.25">
      <c r="E615" s="139"/>
      <c r="J615" s="139"/>
    </row>
    <row r="616" spans="5:10" ht="15.75" customHeight="1" x14ac:dyDescent="0.25">
      <c r="E616" s="139"/>
      <c r="J616" s="139"/>
    </row>
    <row r="617" spans="5:10" ht="15.75" customHeight="1" x14ac:dyDescent="0.25">
      <c r="E617" s="139"/>
      <c r="J617" s="139"/>
    </row>
    <row r="618" spans="5:10" ht="15.75" customHeight="1" x14ac:dyDescent="0.25">
      <c r="E618" s="139"/>
      <c r="J618" s="139"/>
    </row>
    <row r="619" spans="5:10" ht="15.75" customHeight="1" x14ac:dyDescent="0.25">
      <c r="E619" s="139"/>
      <c r="J619" s="139"/>
    </row>
    <row r="620" spans="5:10" ht="15.75" customHeight="1" x14ac:dyDescent="0.25">
      <c r="E620" s="139"/>
      <c r="J620" s="139"/>
    </row>
    <row r="621" spans="5:10" ht="15.75" customHeight="1" x14ac:dyDescent="0.25">
      <c r="E621" s="139"/>
      <c r="J621" s="139"/>
    </row>
    <row r="622" spans="5:10" ht="15.75" customHeight="1" x14ac:dyDescent="0.25">
      <c r="E622" s="139"/>
      <c r="J622" s="139"/>
    </row>
    <row r="623" spans="5:10" ht="15.75" customHeight="1" x14ac:dyDescent="0.25">
      <c r="E623" s="139"/>
      <c r="J623" s="139"/>
    </row>
    <row r="624" spans="5:10" ht="15.75" customHeight="1" x14ac:dyDescent="0.25">
      <c r="E624" s="139"/>
      <c r="J624" s="139"/>
    </row>
    <row r="625" spans="5:10" ht="15.75" customHeight="1" x14ac:dyDescent="0.25">
      <c r="E625" s="139"/>
      <c r="J625" s="139"/>
    </row>
    <row r="626" spans="5:10" ht="15.75" customHeight="1" x14ac:dyDescent="0.25">
      <c r="E626" s="139"/>
      <c r="J626" s="139"/>
    </row>
    <row r="627" spans="5:10" ht="15.75" customHeight="1" x14ac:dyDescent="0.25">
      <c r="E627" s="139"/>
      <c r="J627" s="139"/>
    </row>
    <row r="628" spans="5:10" ht="15.75" customHeight="1" x14ac:dyDescent="0.25">
      <c r="E628" s="139"/>
      <c r="J628" s="139"/>
    </row>
    <row r="629" spans="5:10" ht="15.75" customHeight="1" x14ac:dyDescent="0.25">
      <c r="E629" s="139"/>
      <c r="J629" s="139"/>
    </row>
    <row r="630" spans="5:10" ht="15.75" customHeight="1" x14ac:dyDescent="0.25">
      <c r="E630" s="139"/>
      <c r="J630" s="139"/>
    </row>
    <row r="631" spans="5:10" ht="15.75" customHeight="1" x14ac:dyDescent="0.25">
      <c r="E631" s="139"/>
      <c r="J631" s="139"/>
    </row>
    <row r="632" spans="5:10" ht="15.75" customHeight="1" x14ac:dyDescent="0.25">
      <c r="E632" s="139"/>
      <c r="J632" s="139"/>
    </row>
    <row r="633" spans="5:10" ht="15.75" customHeight="1" x14ac:dyDescent="0.25">
      <c r="E633" s="139"/>
      <c r="J633" s="139"/>
    </row>
    <row r="634" spans="5:10" ht="15.75" customHeight="1" x14ac:dyDescent="0.25">
      <c r="E634" s="139"/>
      <c r="J634" s="139"/>
    </row>
    <row r="635" spans="5:10" ht="15.75" customHeight="1" x14ac:dyDescent="0.25">
      <c r="E635" s="139"/>
      <c r="J635" s="139"/>
    </row>
    <row r="636" spans="5:10" ht="15.75" customHeight="1" x14ac:dyDescent="0.25">
      <c r="E636" s="139"/>
      <c r="J636" s="139"/>
    </row>
    <row r="637" spans="5:10" ht="15.75" customHeight="1" x14ac:dyDescent="0.25">
      <c r="E637" s="139"/>
      <c r="J637" s="139"/>
    </row>
    <row r="638" spans="5:10" ht="15.75" customHeight="1" x14ac:dyDescent="0.25">
      <c r="E638" s="139"/>
      <c r="J638" s="139"/>
    </row>
    <row r="639" spans="5:10" ht="15.75" customHeight="1" x14ac:dyDescent="0.25">
      <c r="E639" s="139"/>
      <c r="J639" s="139"/>
    </row>
    <row r="640" spans="5:10" ht="15.75" customHeight="1" x14ac:dyDescent="0.25">
      <c r="E640" s="139"/>
      <c r="J640" s="139"/>
    </row>
    <row r="641" spans="5:10" ht="15.75" customHeight="1" x14ac:dyDescent="0.25">
      <c r="E641" s="139"/>
      <c r="J641" s="139"/>
    </row>
    <row r="642" spans="5:10" ht="15.75" customHeight="1" x14ac:dyDescent="0.25">
      <c r="E642" s="139"/>
      <c r="J642" s="139"/>
    </row>
    <row r="643" spans="5:10" ht="15.75" customHeight="1" x14ac:dyDescent="0.25">
      <c r="E643" s="139"/>
      <c r="J643" s="139"/>
    </row>
    <row r="644" spans="5:10" ht="15.75" customHeight="1" x14ac:dyDescent="0.25">
      <c r="E644" s="139"/>
      <c r="J644" s="139"/>
    </row>
    <row r="645" spans="5:10" ht="15.75" customHeight="1" x14ac:dyDescent="0.25">
      <c r="E645" s="139"/>
      <c r="J645" s="139"/>
    </row>
    <row r="646" spans="5:10" ht="15.75" customHeight="1" x14ac:dyDescent="0.25">
      <c r="E646" s="139"/>
      <c r="J646" s="139"/>
    </row>
    <row r="647" spans="5:10" ht="15.75" customHeight="1" x14ac:dyDescent="0.25">
      <c r="E647" s="139"/>
      <c r="J647" s="139"/>
    </row>
    <row r="648" spans="5:10" ht="15.75" customHeight="1" x14ac:dyDescent="0.25">
      <c r="E648" s="139"/>
      <c r="J648" s="139"/>
    </row>
    <row r="649" spans="5:10" ht="15.75" customHeight="1" x14ac:dyDescent="0.25">
      <c r="E649" s="139"/>
      <c r="J649" s="139"/>
    </row>
    <row r="650" spans="5:10" ht="15.75" customHeight="1" x14ac:dyDescent="0.25">
      <c r="E650" s="139"/>
      <c r="J650" s="139"/>
    </row>
    <row r="651" spans="5:10" ht="15.75" customHeight="1" x14ac:dyDescent="0.25">
      <c r="E651" s="139"/>
      <c r="J651" s="139"/>
    </row>
    <row r="652" spans="5:10" ht="15.75" customHeight="1" x14ac:dyDescent="0.25">
      <c r="E652" s="139"/>
      <c r="J652" s="139"/>
    </row>
    <row r="653" spans="5:10" ht="15.75" customHeight="1" x14ac:dyDescent="0.25">
      <c r="E653" s="139"/>
      <c r="J653" s="139"/>
    </row>
    <row r="654" spans="5:10" ht="15.75" customHeight="1" x14ac:dyDescent="0.25">
      <c r="E654" s="139"/>
      <c r="J654" s="139"/>
    </row>
    <row r="655" spans="5:10" ht="15.75" customHeight="1" x14ac:dyDescent="0.25">
      <c r="E655" s="139"/>
      <c r="J655" s="139"/>
    </row>
    <row r="656" spans="5:10" ht="15.75" customHeight="1" x14ac:dyDescent="0.25">
      <c r="E656" s="139"/>
      <c r="J656" s="139"/>
    </row>
    <row r="657" spans="5:10" ht="15.75" customHeight="1" x14ac:dyDescent="0.25">
      <c r="E657" s="139"/>
      <c r="J657" s="139"/>
    </row>
    <row r="658" spans="5:10" ht="15.75" customHeight="1" x14ac:dyDescent="0.25">
      <c r="E658" s="139"/>
      <c r="J658" s="139"/>
    </row>
    <row r="659" spans="5:10" ht="15.75" customHeight="1" x14ac:dyDescent="0.25">
      <c r="E659" s="139"/>
      <c r="J659" s="139"/>
    </row>
    <row r="660" spans="5:10" ht="15.75" customHeight="1" x14ac:dyDescent="0.25">
      <c r="E660" s="139"/>
      <c r="J660" s="139"/>
    </row>
    <row r="661" spans="5:10" ht="15.75" customHeight="1" x14ac:dyDescent="0.25">
      <c r="E661" s="139"/>
      <c r="J661" s="139"/>
    </row>
    <row r="662" spans="5:10" ht="15.75" customHeight="1" x14ac:dyDescent="0.25">
      <c r="E662" s="139"/>
      <c r="J662" s="139"/>
    </row>
    <row r="663" spans="5:10" ht="15.75" customHeight="1" x14ac:dyDescent="0.25">
      <c r="E663" s="139"/>
      <c r="J663" s="139"/>
    </row>
    <row r="664" spans="5:10" ht="15.75" customHeight="1" x14ac:dyDescent="0.25">
      <c r="E664" s="139"/>
      <c r="J664" s="139"/>
    </row>
    <row r="665" spans="5:10" ht="15.75" customHeight="1" x14ac:dyDescent="0.25">
      <c r="E665" s="139"/>
      <c r="J665" s="139"/>
    </row>
    <row r="666" spans="5:10" ht="15.75" customHeight="1" x14ac:dyDescent="0.25">
      <c r="E666" s="139"/>
      <c r="J666" s="139"/>
    </row>
    <row r="667" spans="5:10" ht="15.75" customHeight="1" x14ac:dyDescent="0.25">
      <c r="E667" s="139"/>
      <c r="J667" s="139"/>
    </row>
    <row r="668" spans="5:10" ht="15.75" customHeight="1" x14ac:dyDescent="0.25">
      <c r="E668" s="139"/>
      <c r="J668" s="139"/>
    </row>
    <row r="669" spans="5:10" ht="15.75" customHeight="1" x14ac:dyDescent="0.25">
      <c r="E669" s="139"/>
      <c r="J669" s="139"/>
    </row>
    <row r="670" spans="5:10" ht="15.75" customHeight="1" x14ac:dyDescent="0.25">
      <c r="E670" s="139"/>
      <c r="J670" s="139"/>
    </row>
    <row r="671" spans="5:10" ht="15.75" customHeight="1" x14ac:dyDescent="0.25">
      <c r="E671" s="139"/>
      <c r="J671" s="139"/>
    </row>
    <row r="672" spans="5:10" ht="15.75" customHeight="1" x14ac:dyDescent="0.25">
      <c r="E672" s="139"/>
      <c r="J672" s="139"/>
    </row>
    <row r="673" spans="5:10" ht="15.75" customHeight="1" x14ac:dyDescent="0.25">
      <c r="E673" s="139"/>
      <c r="J673" s="139"/>
    </row>
    <row r="674" spans="5:10" ht="15.75" customHeight="1" x14ac:dyDescent="0.25">
      <c r="E674" s="139"/>
      <c r="J674" s="139"/>
    </row>
    <row r="675" spans="5:10" ht="15.75" customHeight="1" x14ac:dyDescent="0.25">
      <c r="E675" s="139"/>
      <c r="J675" s="139"/>
    </row>
    <row r="676" spans="5:10" ht="15.75" customHeight="1" x14ac:dyDescent="0.25">
      <c r="E676" s="139"/>
      <c r="J676" s="139"/>
    </row>
    <row r="677" spans="5:10" ht="15.75" customHeight="1" x14ac:dyDescent="0.25">
      <c r="E677" s="139"/>
      <c r="J677" s="139"/>
    </row>
    <row r="678" spans="5:10" ht="15.75" customHeight="1" x14ac:dyDescent="0.25">
      <c r="E678" s="139"/>
      <c r="J678" s="139"/>
    </row>
    <row r="679" spans="5:10" ht="15.75" customHeight="1" x14ac:dyDescent="0.25">
      <c r="E679" s="139"/>
      <c r="J679" s="139"/>
    </row>
    <row r="680" spans="5:10" ht="15.75" customHeight="1" x14ac:dyDescent="0.25">
      <c r="E680" s="139"/>
      <c r="J680" s="139"/>
    </row>
    <row r="681" spans="5:10" ht="15.75" customHeight="1" x14ac:dyDescent="0.25">
      <c r="E681" s="139"/>
      <c r="J681" s="139"/>
    </row>
    <row r="682" spans="5:10" ht="15.75" customHeight="1" x14ac:dyDescent="0.25">
      <c r="E682" s="139"/>
      <c r="J682" s="139"/>
    </row>
    <row r="683" spans="5:10" ht="15.75" customHeight="1" x14ac:dyDescent="0.25">
      <c r="E683" s="139"/>
      <c r="J683" s="139"/>
    </row>
    <row r="684" spans="5:10" ht="15.75" customHeight="1" x14ac:dyDescent="0.25">
      <c r="E684" s="139"/>
      <c r="J684" s="139"/>
    </row>
    <row r="685" spans="5:10" ht="15.75" customHeight="1" x14ac:dyDescent="0.25">
      <c r="E685" s="139"/>
      <c r="J685" s="139"/>
    </row>
    <row r="686" spans="5:10" ht="15.75" customHeight="1" x14ac:dyDescent="0.25">
      <c r="E686" s="139"/>
      <c r="J686" s="139"/>
    </row>
    <row r="687" spans="5:10" ht="15.75" customHeight="1" x14ac:dyDescent="0.25">
      <c r="E687" s="139"/>
      <c r="J687" s="139"/>
    </row>
    <row r="688" spans="5:10" ht="15.75" customHeight="1" x14ac:dyDescent="0.25">
      <c r="E688" s="139"/>
      <c r="J688" s="139"/>
    </row>
    <row r="689" spans="5:10" ht="15.75" customHeight="1" x14ac:dyDescent="0.25">
      <c r="E689" s="139"/>
      <c r="J689" s="139"/>
    </row>
    <row r="690" spans="5:10" ht="15.75" customHeight="1" x14ac:dyDescent="0.25">
      <c r="E690" s="139"/>
      <c r="J690" s="139"/>
    </row>
    <row r="691" spans="5:10" ht="15.75" customHeight="1" x14ac:dyDescent="0.25">
      <c r="E691" s="139"/>
      <c r="J691" s="139"/>
    </row>
    <row r="692" spans="5:10" ht="15.75" customHeight="1" x14ac:dyDescent="0.25">
      <c r="E692" s="139"/>
      <c r="J692" s="139"/>
    </row>
    <row r="693" spans="5:10" ht="15.75" customHeight="1" x14ac:dyDescent="0.25">
      <c r="E693" s="139"/>
      <c r="J693" s="139"/>
    </row>
    <row r="694" spans="5:10" ht="15.75" customHeight="1" x14ac:dyDescent="0.25">
      <c r="E694" s="139"/>
      <c r="J694" s="139"/>
    </row>
    <row r="695" spans="5:10" ht="15.75" customHeight="1" x14ac:dyDescent="0.25">
      <c r="E695" s="139"/>
      <c r="J695" s="139"/>
    </row>
    <row r="696" spans="5:10" ht="15.75" customHeight="1" x14ac:dyDescent="0.25">
      <c r="E696" s="139"/>
      <c r="J696" s="139"/>
    </row>
    <row r="697" spans="5:10" ht="15.75" customHeight="1" x14ac:dyDescent="0.25">
      <c r="E697" s="139"/>
      <c r="J697" s="139"/>
    </row>
    <row r="698" spans="5:10" ht="15.75" customHeight="1" x14ac:dyDescent="0.25">
      <c r="E698" s="139"/>
      <c r="J698" s="139"/>
    </row>
    <row r="699" spans="5:10" ht="15.75" customHeight="1" x14ac:dyDescent="0.25">
      <c r="E699" s="139"/>
      <c r="J699" s="139"/>
    </row>
    <row r="700" spans="5:10" ht="15.75" customHeight="1" x14ac:dyDescent="0.25">
      <c r="E700" s="139"/>
      <c r="J700" s="139"/>
    </row>
    <row r="701" spans="5:10" ht="15.75" customHeight="1" x14ac:dyDescent="0.25">
      <c r="E701" s="139"/>
      <c r="J701" s="139"/>
    </row>
    <row r="702" spans="5:10" ht="15.75" customHeight="1" x14ac:dyDescent="0.25">
      <c r="E702" s="139"/>
      <c r="J702" s="139"/>
    </row>
    <row r="703" spans="5:10" ht="15.75" customHeight="1" x14ac:dyDescent="0.25">
      <c r="E703" s="139"/>
      <c r="J703" s="139"/>
    </row>
    <row r="704" spans="5:10" ht="15.75" customHeight="1" x14ac:dyDescent="0.25">
      <c r="E704" s="139"/>
      <c r="J704" s="139"/>
    </row>
    <row r="705" spans="5:10" ht="15.75" customHeight="1" x14ac:dyDescent="0.25">
      <c r="E705" s="139"/>
      <c r="J705" s="139"/>
    </row>
    <row r="706" spans="5:10" ht="15.75" customHeight="1" x14ac:dyDescent="0.25">
      <c r="E706" s="139"/>
      <c r="J706" s="139"/>
    </row>
    <row r="707" spans="5:10" ht="15.75" customHeight="1" x14ac:dyDescent="0.25">
      <c r="E707" s="139"/>
      <c r="J707" s="139"/>
    </row>
    <row r="708" spans="5:10" ht="15.75" customHeight="1" x14ac:dyDescent="0.25">
      <c r="E708" s="139"/>
      <c r="J708" s="139"/>
    </row>
    <row r="709" spans="5:10" ht="15.75" customHeight="1" x14ac:dyDescent="0.25">
      <c r="E709" s="139"/>
      <c r="J709" s="139"/>
    </row>
    <row r="710" spans="5:10" ht="15.75" customHeight="1" x14ac:dyDescent="0.25">
      <c r="E710" s="139"/>
      <c r="J710" s="139"/>
    </row>
    <row r="711" spans="5:10" ht="15.75" customHeight="1" x14ac:dyDescent="0.25">
      <c r="E711" s="139"/>
      <c r="J711" s="139"/>
    </row>
    <row r="712" spans="5:10" ht="15.75" customHeight="1" x14ac:dyDescent="0.25">
      <c r="E712" s="139"/>
      <c r="J712" s="139"/>
    </row>
    <row r="713" spans="5:10" ht="15.75" customHeight="1" x14ac:dyDescent="0.25">
      <c r="E713" s="139"/>
      <c r="J713" s="139"/>
    </row>
    <row r="714" spans="5:10" ht="15.75" customHeight="1" x14ac:dyDescent="0.25">
      <c r="E714" s="139"/>
      <c r="J714" s="139"/>
    </row>
    <row r="715" spans="5:10" ht="15.75" customHeight="1" x14ac:dyDescent="0.25">
      <c r="E715" s="139"/>
      <c r="J715" s="139"/>
    </row>
    <row r="716" spans="5:10" ht="15.75" customHeight="1" x14ac:dyDescent="0.25">
      <c r="E716" s="139"/>
      <c r="J716" s="139"/>
    </row>
    <row r="717" spans="5:10" ht="15.75" customHeight="1" x14ac:dyDescent="0.25">
      <c r="E717" s="139"/>
      <c r="J717" s="139"/>
    </row>
    <row r="718" spans="5:10" ht="15.75" customHeight="1" x14ac:dyDescent="0.25">
      <c r="E718" s="139"/>
      <c r="J718" s="139"/>
    </row>
    <row r="719" spans="5:10" ht="15.75" customHeight="1" x14ac:dyDescent="0.25">
      <c r="E719" s="139"/>
      <c r="J719" s="139"/>
    </row>
    <row r="720" spans="5:10" ht="15.75" customHeight="1" x14ac:dyDescent="0.25">
      <c r="E720" s="139"/>
      <c r="J720" s="139"/>
    </row>
    <row r="721" spans="5:10" ht="15.75" customHeight="1" x14ac:dyDescent="0.25">
      <c r="E721" s="139"/>
      <c r="J721" s="139"/>
    </row>
    <row r="722" spans="5:10" ht="15.75" customHeight="1" x14ac:dyDescent="0.25">
      <c r="E722" s="139"/>
      <c r="J722" s="139"/>
    </row>
    <row r="723" spans="5:10" ht="15.75" customHeight="1" x14ac:dyDescent="0.25">
      <c r="E723" s="139"/>
      <c r="J723" s="139"/>
    </row>
    <row r="724" spans="5:10" ht="15.75" customHeight="1" x14ac:dyDescent="0.25">
      <c r="E724" s="139"/>
      <c r="J724" s="139"/>
    </row>
    <row r="725" spans="5:10" ht="15.75" customHeight="1" x14ac:dyDescent="0.25">
      <c r="E725" s="139"/>
      <c r="J725" s="139"/>
    </row>
    <row r="726" spans="5:10" ht="15.75" customHeight="1" x14ac:dyDescent="0.25">
      <c r="E726" s="139"/>
      <c r="J726" s="139"/>
    </row>
    <row r="727" spans="5:10" ht="15.75" customHeight="1" x14ac:dyDescent="0.25">
      <c r="E727" s="139"/>
      <c r="J727" s="139"/>
    </row>
    <row r="728" spans="5:10" ht="15.75" customHeight="1" x14ac:dyDescent="0.25">
      <c r="E728" s="139"/>
      <c r="J728" s="139"/>
    </row>
    <row r="729" spans="5:10" ht="15.75" customHeight="1" x14ac:dyDescent="0.25">
      <c r="E729" s="139"/>
      <c r="J729" s="139"/>
    </row>
    <row r="730" spans="5:10" ht="15.75" customHeight="1" x14ac:dyDescent="0.25">
      <c r="E730" s="139"/>
      <c r="J730" s="139"/>
    </row>
    <row r="731" spans="5:10" ht="15.75" customHeight="1" x14ac:dyDescent="0.25">
      <c r="E731" s="139"/>
      <c r="J731" s="139"/>
    </row>
    <row r="732" spans="5:10" ht="15.75" customHeight="1" x14ac:dyDescent="0.25">
      <c r="E732" s="139"/>
      <c r="J732" s="139"/>
    </row>
    <row r="733" spans="5:10" ht="15.75" customHeight="1" x14ac:dyDescent="0.25">
      <c r="E733" s="139"/>
      <c r="J733" s="139"/>
    </row>
    <row r="734" spans="5:10" ht="15.75" customHeight="1" x14ac:dyDescent="0.25">
      <c r="E734" s="139"/>
      <c r="J734" s="139"/>
    </row>
    <row r="735" spans="5:10" ht="15.75" customHeight="1" x14ac:dyDescent="0.25">
      <c r="E735" s="139"/>
      <c r="J735" s="139"/>
    </row>
    <row r="736" spans="5:10" ht="15.75" customHeight="1" x14ac:dyDescent="0.25">
      <c r="E736" s="139"/>
      <c r="J736" s="139"/>
    </row>
    <row r="737" spans="5:10" ht="15.75" customHeight="1" x14ac:dyDescent="0.25">
      <c r="E737" s="139"/>
      <c r="J737" s="139"/>
    </row>
    <row r="738" spans="5:10" ht="15.75" customHeight="1" x14ac:dyDescent="0.25">
      <c r="E738" s="139"/>
      <c r="J738" s="139"/>
    </row>
    <row r="739" spans="5:10" ht="15.75" customHeight="1" x14ac:dyDescent="0.25">
      <c r="E739" s="139"/>
      <c r="J739" s="139"/>
    </row>
    <row r="740" spans="5:10" ht="15.75" customHeight="1" x14ac:dyDescent="0.25">
      <c r="E740" s="139"/>
      <c r="J740" s="139"/>
    </row>
    <row r="741" spans="5:10" ht="15.75" customHeight="1" x14ac:dyDescent="0.25">
      <c r="E741" s="139"/>
      <c r="J741" s="139"/>
    </row>
    <row r="742" spans="5:10" ht="15.75" customHeight="1" x14ac:dyDescent="0.25">
      <c r="E742" s="139"/>
      <c r="J742" s="139"/>
    </row>
    <row r="743" spans="5:10" ht="15.75" customHeight="1" x14ac:dyDescent="0.25">
      <c r="E743" s="139"/>
      <c r="J743" s="139"/>
    </row>
    <row r="744" spans="5:10" ht="15.75" customHeight="1" x14ac:dyDescent="0.25">
      <c r="E744" s="139"/>
      <c r="J744" s="139"/>
    </row>
    <row r="745" spans="5:10" ht="15.75" customHeight="1" x14ac:dyDescent="0.25">
      <c r="E745" s="139"/>
      <c r="J745" s="139"/>
    </row>
    <row r="746" spans="5:10" ht="15.75" customHeight="1" x14ac:dyDescent="0.25">
      <c r="E746" s="139"/>
      <c r="J746" s="139"/>
    </row>
    <row r="747" spans="5:10" ht="15.75" customHeight="1" x14ac:dyDescent="0.25">
      <c r="E747" s="139"/>
      <c r="J747" s="139"/>
    </row>
    <row r="748" spans="5:10" ht="15.75" customHeight="1" x14ac:dyDescent="0.25">
      <c r="E748" s="139"/>
      <c r="J748" s="139"/>
    </row>
    <row r="749" spans="5:10" ht="15.75" customHeight="1" x14ac:dyDescent="0.25">
      <c r="E749" s="139"/>
      <c r="J749" s="139"/>
    </row>
    <row r="750" spans="5:10" ht="15.75" customHeight="1" x14ac:dyDescent="0.25">
      <c r="E750" s="139"/>
      <c r="J750" s="139"/>
    </row>
    <row r="751" spans="5:10" ht="15.75" customHeight="1" x14ac:dyDescent="0.25">
      <c r="E751" s="139"/>
      <c r="J751" s="139"/>
    </row>
    <row r="752" spans="5:10" ht="15.75" customHeight="1" x14ac:dyDescent="0.25">
      <c r="E752" s="139"/>
      <c r="J752" s="139"/>
    </row>
    <row r="753" spans="5:10" ht="15.75" customHeight="1" x14ac:dyDescent="0.25">
      <c r="E753" s="139"/>
      <c r="J753" s="139"/>
    </row>
    <row r="754" spans="5:10" ht="15.75" customHeight="1" x14ac:dyDescent="0.25">
      <c r="E754" s="139"/>
      <c r="J754" s="139"/>
    </row>
    <row r="755" spans="5:10" ht="15.75" customHeight="1" x14ac:dyDescent="0.25">
      <c r="E755" s="139"/>
      <c r="J755" s="139"/>
    </row>
    <row r="756" spans="5:10" ht="15.75" customHeight="1" x14ac:dyDescent="0.25">
      <c r="E756" s="139"/>
      <c r="J756" s="139"/>
    </row>
    <row r="757" spans="5:10" ht="15.75" customHeight="1" x14ac:dyDescent="0.25">
      <c r="E757" s="139"/>
      <c r="J757" s="139"/>
    </row>
    <row r="758" spans="5:10" ht="15.75" customHeight="1" x14ac:dyDescent="0.25">
      <c r="E758" s="139"/>
      <c r="J758" s="139"/>
    </row>
    <row r="759" spans="5:10" ht="15.75" customHeight="1" x14ac:dyDescent="0.25">
      <c r="E759" s="139"/>
      <c r="J759" s="139"/>
    </row>
    <row r="760" spans="5:10" ht="15.75" customHeight="1" x14ac:dyDescent="0.25">
      <c r="E760" s="139"/>
      <c r="J760" s="139"/>
    </row>
    <row r="761" spans="5:10" ht="15.75" customHeight="1" x14ac:dyDescent="0.25">
      <c r="E761" s="139"/>
      <c r="J761" s="139"/>
    </row>
    <row r="762" spans="5:10" ht="15.75" customHeight="1" x14ac:dyDescent="0.25">
      <c r="E762" s="139"/>
      <c r="J762" s="139"/>
    </row>
    <row r="763" spans="5:10" ht="15.75" customHeight="1" x14ac:dyDescent="0.25">
      <c r="E763" s="139"/>
      <c r="J763" s="139"/>
    </row>
    <row r="764" spans="5:10" ht="15.75" customHeight="1" x14ac:dyDescent="0.25">
      <c r="E764" s="139"/>
      <c r="J764" s="139"/>
    </row>
    <row r="765" spans="5:10" ht="15.75" customHeight="1" x14ac:dyDescent="0.25">
      <c r="E765" s="139"/>
      <c r="J765" s="139"/>
    </row>
    <row r="766" spans="5:10" ht="15.75" customHeight="1" x14ac:dyDescent="0.25">
      <c r="E766" s="139"/>
      <c r="J766" s="139"/>
    </row>
    <row r="767" spans="5:10" ht="15.75" customHeight="1" x14ac:dyDescent="0.25">
      <c r="E767" s="139"/>
      <c r="J767" s="139"/>
    </row>
    <row r="768" spans="5:10" ht="15.75" customHeight="1" x14ac:dyDescent="0.25">
      <c r="E768" s="139"/>
      <c r="J768" s="139"/>
    </row>
    <row r="769" spans="5:10" ht="15.75" customHeight="1" x14ac:dyDescent="0.25">
      <c r="E769" s="139"/>
      <c r="J769" s="139"/>
    </row>
    <row r="770" spans="5:10" ht="15.75" customHeight="1" x14ac:dyDescent="0.25">
      <c r="E770" s="139"/>
      <c r="J770" s="139"/>
    </row>
    <row r="771" spans="5:10" ht="15.75" customHeight="1" x14ac:dyDescent="0.25">
      <c r="E771" s="139"/>
      <c r="J771" s="139"/>
    </row>
    <row r="772" spans="5:10" ht="15.75" customHeight="1" x14ac:dyDescent="0.25">
      <c r="E772" s="139"/>
      <c r="J772" s="139"/>
    </row>
    <row r="773" spans="5:10" ht="15.75" customHeight="1" x14ac:dyDescent="0.25">
      <c r="E773" s="139"/>
      <c r="J773" s="139"/>
    </row>
    <row r="774" spans="5:10" ht="15.75" customHeight="1" x14ac:dyDescent="0.25">
      <c r="E774" s="139"/>
      <c r="J774" s="139"/>
    </row>
    <row r="775" spans="5:10" ht="15.75" customHeight="1" x14ac:dyDescent="0.25">
      <c r="E775" s="139"/>
      <c r="J775" s="139"/>
    </row>
    <row r="776" spans="5:10" ht="15.75" customHeight="1" x14ac:dyDescent="0.25">
      <c r="E776" s="139"/>
      <c r="J776" s="139"/>
    </row>
    <row r="777" spans="5:10" ht="15.75" customHeight="1" x14ac:dyDescent="0.25">
      <c r="E777" s="139"/>
      <c r="J777" s="139"/>
    </row>
    <row r="778" spans="5:10" ht="15.75" customHeight="1" x14ac:dyDescent="0.25">
      <c r="E778" s="139"/>
      <c r="J778" s="139"/>
    </row>
    <row r="779" spans="5:10" ht="15.75" customHeight="1" x14ac:dyDescent="0.25">
      <c r="E779" s="139"/>
      <c r="J779" s="139"/>
    </row>
    <row r="780" spans="5:10" ht="15.75" customHeight="1" x14ac:dyDescent="0.25">
      <c r="E780" s="139"/>
      <c r="J780" s="139"/>
    </row>
    <row r="781" spans="5:10" ht="15.75" customHeight="1" x14ac:dyDescent="0.25">
      <c r="E781" s="139"/>
      <c r="J781" s="139"/>
    </row>
    <row r="782" spans="5:10" ht="15.75" customHeight="1" x14ac:dyDescent="0.25">
      <c r="E782" s="139"/>
      <c r="J782" s="139"/>
    </row>
    <row r="783" spans="5:10" ht="15.75" customHeight="1" x14ac:dyDescent="0.25">
      <c r="E783" s="139"/>
      <c r="J783" s="139"/>
    </row>
    <row r="784" spans="5:10" ht="15.75" customHeight="1" x14ac:dyDescent="0.25">
      <c r="E784" s="139"/>
      <c r="J784" s="139"/>
    </row>
    <row r="785" spans="5:10" ht="15.75" customHeight="1" x14ac:dyDescent="0.25">
      <c r="E785" s="139"/>
      <c r="J785" s="139"/>
    </row>
    <row r="786" spans="5:10" ht="15.75" customHeight="1" x14ac:dyDescent="0.25">
      <c r="E786" s="139"/>
      <c r="J786" s="139"/>
    </row>
    <row r="787" spans="5:10" ht="15.75" customHeight="1" x14ac:dyDescent="0.25">
      <c r="E787" s="139"/>
      <c r="J787" s="139"/>
    </row>
    <row r="788" spans="5:10" ht="15.75" customHeight="1" x14ac:dyDescent="0.25">
      <c r="E788" s="139"/>
      <c r="J788" s="139"/>
    </row>
    <row r="789" spans="5:10" ht="15.75" customHeight="1" x14ac:dyDescent="0.25">
      <c r="E789" s="139"/>
      <c r="J789" s="139"/>
    </row>
    <row r="790" spans="5:10" ht="15.75" customHeight="1" x14ac:dyDescent="0.25">
      <c r="E790" s="139"/>
      <c r="J790" s="139"/>
    </row>
    <row r="791" spans="5:10" ht="15.75" customHeight="1" x14ac:dyDescent="0.25">
      <c r="E791" s="139"/>
      <c r="J791" s="139"/>
    </row>
    <row r="792" spans="5:10" ht="15.75" customHeight="1" x14ac:dyDescent="0.25">
      <c r="E792" s="139"/>
      <c r="J792" s="139"/>
    </row>
    <row r="793" spans="5:10" ht="15.75" customHeight="1" x14ac:dyDescent="0.25">
      <c r="E793" s="139"/>
      <c r="J793" s="139"/>
    </row>
    <row r="794" spans="5:10" ht="15.75" customHeight="1" x14ac:dyDescent="0.25">
      <c r="E794" s="139"/>
      <c r="J794" s="139"/>
    </row>
    <row r="795" spans="5:10" ht="15.75" customHeight="1" x14ac:dyDescent="0.25">
      <c r="E795" s="139"/>
      <c r="J795" s="139"/>
    </row>
    <row r="796" spans="5:10" ht="15.75" customHeight="1" x14ac:dyDescent="0.25">
      <c r="E796" s="139"/>
      <c r="J796" s="139"/>
    </row>
    <row r="797" spans="5:10" ht="15.75" customHeight="1" x14ac:dyDescent="0.25">
      <c r="E797" s="139"/>
      <c r="J797" s="139"/>
    </row>
    <row r="798" spans="5:10" ht="15.75" customHeight="1" x14ac:dyDescent="0.25">
      <c r="E798" s="139"/>
      <c r="J798" s="139"/>
    </row>
    <row r="799" spans="5:10" ht="15.75" customHeight="1" x14ac:dyDescent="0.25">
      <c r="E799" s="139"/>
      <c r="J799" s="139"/>
    </row>
    <row r="800" spans="5:10" ht="15.75" customHeight="1" x14ac:dyDescent="0.25">
      <c r="E800" s="139"/>
      <c r="J800" s="139"/>
    </row>
    <row r="801" spans="5:10" ht="15.75" customHeight="1" x14ac:dyDescent="0.25">
      <c r="E801" s="139"/>
      <c r="J801" s="139"/>
    </row>
    <row r="802" spans="5:10" ht="15.75" customHeight="1" x14ac:dyDescent="0.25">
      <c r="E802" s="139"/>
      <c r="J802" s="139"/>
    </row>
    <row r="803" spans="5:10" ht="15.75" customHeight="1" x14ac:dyDescent="0.25">
      <c r="E803" s="139"/>
      <c r="J803" s="139"/>
    </row>
    <row r="804" spans="5:10" ht="15.75" customHeight="1" x14ac:dyDescent="0.25">
      <c r="E804" s="139"/>
      <c r="J804" s="139"/>
    </row>
    <row r="805" spans="5:10" ht="15.75" customHeight="1" x14ac:dyDescent="0.25">
      <c r="E805" s="139"/>
      <c r="J805" s="139"/>
    </row>
    <row r="806" spans="5:10" ht="15.75" customHeight="1" x14ac:dyDescent="0.25">
      <c r="E806" s="139"/>
      <c r="J806" s="139"/>
    </row>
    <row r="807" spans="5:10" ht="15.75" customHeight="1" x14ac:dyDescent="0.25">
      <c r="E807" s="139"/>
      <c r="J807" s="139"/>
    </row>
    <row r="808" spans="5:10" ht="15.75" customHeight="1" x14ac:dyDescent="0.25">
      <c r="E808" s="139"/>
      <c r="J808" s="139"/>
    </row>
    <row r="809" spans="5:10" ht="15.75" customHeight="1" x14ac:dyDescent="0.25">
      <c r="E809" s="139"/>
      <c r="J809" s="139"/>
    </row>
    <row r="810" spans="5:10" ht="15.75" customHeight="1" x14ac:dyDescent="0.25">
      <c r="E810" s="139"/>
      <c r="J810" s="139"/>
    </row>
    <row r="811" spans="5:10" ht="15.75" customHeight="1" x14ac:dyDescent="0.25">
      <c r="E811" s="139"/>
      <c r="J811" s="139"/>
    </row>
    <row r="812" spans="5:10" ht="15.75" customHeight="1" x14ac:dyDescent="0.25">
      <c r="E812" s="139"/>
      <c r="J812" s="139"/>
    </row>
    <row r="813" spans="5:10" ht="15.75" customHeight="1" x14ac:dyDescent="0.25">
      <c r="E813" s="139"/>
      <c r="J813" s="139"/>
    </row>
    <row r="814" spans="5:10" ht="15.75" customHeight="1" x14ac:dyDescent="0.25">
      <c r="E814" s="139"/>
      <c r="J814" s="139"/>
    </row>
    <row r="815" spans="5:10" ht="15.75" customHeight="1" x14ac:dyDescent="0.25">
      <c r="E815" s="139"/>
      <c r="J815" s="139"/>
    </row>
    <row r="816" spans="5:10" ht="15.75" customHeight="1" x14ac:dyDescent="0.25">
      <c r="E816" s="139"/>
      <c r="J816" s="139"/>
    </row>
    <row r="817" spans="5:10" ht="15.75" customHeight="1" x14ac:dyDescent="0.25">
      <c r="E817" s="139"/>
      <c r="J817" s="139"/>
    </row>
    <row r="818" spans="5:10" ht="15.75" customHeight="1" x14ac:dyDescent="0.25">
      <c r="E818" s="139"/>
      <c r="J818" s="139"/>
    </row>
    <row r="819" spans="5:10" ht="15.75" customHeight="1" x14ac:dyDescent="0.25">
      <c r="E819" s="139"/>
      <c r="J819" s="139"/>
    </row>
    <row r="820" spans="5:10" ht="15.75" customHeight="1" x14ac:dyDescent="0.25">
      <c r="E820" s="139"/>
      <c r="J820" s="139"/>
    </row>
    <row r="821" spans="5:10" ht="15.75" customHeight="1" x14ac:dyDescent="0.25">
      <c r="E821" s="139"/>
      <c r="J821" s="139"/>
    </row>
    <row r="822" spans="5:10" ht="15.75" customHeight="1" x14ac:dyDescent="0.25">
      <c r="E822" s="139"/>
      <c r="J822" s="139"/>
    </row>
    <row r="823" spans="5:10" ht="15.75" customHeight="1" x14ac:dyDescent="0.25">
      <c r="E823" s="139"/>
      <c r="J823" s="139"/>
    </row>
    <row r="824" spans="5:10" ht="15.75" customHeight="1" x14ac:dyDescent="0.25">
      <c r="E824" s="139"/>
      <c r="J824" s="139"/>
    </row>
    <row r="825" spans="5:10" ht="15.75" customHeight="1" x14ac:dyDescent="0.25">
      <c r="E825" s="139"/>
      <c r="J825" s="139"/>
    </row>
    <row r="826" spans="5:10" ht="15.75" customHeight="1" x14ac:dyDescent="0.25">
      <c r="E826" s="139"/>
      <c r="J826" s="139"/>
    </row>
    <row r="827" spans="5:10" ht="15.75" customHeight="1" x14ac:dyDescent="0.25">
      <c r="E827" s="139"/>
      <c r="J827" s="139"/>
    </row>
    <row r="828" spans="5:10" ht="15.75" customHeight="1" x14ac:dyDescent="0.25">
      <c r="E828" s="139"/>
      <c r="J828" s="139"/>
    </row>
    <row r="829" spans="5:10" ht="15.75" customHeight="1" x14ac:dyDescent="0.25">
      <c r="E829" s="139"/>
      <c r="J829" s="139"/>
    </row>
    <row r="830" spans="5:10" ht="15.75" customHeight="1" x14ac:dyDescent="0.25">
      <c r="E830" s="139"/>
      <c r="J830" s="139"/>
    </row>
    <row r="831" spans="5:10" ht="15.75" customHeight="1" x14ac:dyDescent="0.25">
      <c r="E831" s="139"/>
      <c r="J831" s="139"/>
    </row>
    <row r="832" spans="5:10" ht="15.75" customHeight="1" x14ac:dyDescent="0.25">
      <c r="E832" s="139"/>
      <c r="J832" s="139"/>
    </row>
    <row r="833" spans="5:10" ht="15.75" customHeight="1" x14ac:dyDescent="0.25">
      <c r="E833" s="139"/>
      <c r="J833" s="139"/>
    </row>
    <row r="834" spans="5:10" ht="15.75" customHeight="1" x14ac:dyDescent="0.25">
      <c r="E834" s="139"/>
      <c r="J834" s="139"/>
    </row>
    <row r="835" spans="5:10" ht="15.75" customHeight="1" x14ac:dyDescent="0.25">
      <c r="E835" s="139"/>
      <c r="J835" s="139"/>
    </row>
    <row r="836" spans="5:10" ht="15.75" customHeight="1" x14ac:dyDescent="0.25">
      <c r="E836" s="139"/>
      <c r="J836" s="139"/>
    </row>
    <row r="837" spans="5:10" ht="15.75" customHeight="1" x14ac:dyDescent="0.25">
      <c r="E837" s="139"/>
      <c r="J837" s="139"/>
    </row>
    <row r="838" spans="5:10" ht="15.75" customHeight="1" x14ac:dyDescent="0.25">
      <c r="E838" s="139"/>
      <c r="J838" s="139"/>
    </row>
    <row r="839" spans="5:10" ht="15.75" customHeight="1" x14ac:dyDescent="0.25">
      <c r="E839" s="139"/>
      <c r="J839" s="139"/>
    </row>
    <row r="840" spans="5:10" ht="15.75" customHeight="1" x14ac:dyDescent="0.25">
      <c r="E840" s="139"/>
      <c r="J840" s="139"/>
    </row>
    <row r="841" spans="5:10" ht="15.75" customHeight="1" x14ac:dyDescent="0.25">
      <c r="E841" s="139"/>
      <c r="J841" s="139"/>
    </row>
    <row r="842" spans="5:10" ht="15.75" customHeight="1" x14ac:dyDescent="0.25">
      <c r="E842" s="139"/>
      <c r="J842" s="139"/>
    </row>
    <row r="843" spans="5:10" ht="15.75" customHeight="1" x14ac:dyDescent="0.25">
      <c r="E843" s="139"/>
      <c r="J843" s="139"/>
    </row>
    <row r="844" spans="5:10" ht="15.75" customHeight="1" x14ac:dyDescent="0.25">
      <c r="E844" s="139"/>
      <c r="J844" s="139"/>
    </row>
    <row r="845" spans="5:10" ht="15.75" customHeight="1" x14ac:dyDescent="0.25">
      <c r="E845" s="139"/>
      <c r="J845" s="139"/>
    </row>
    <row r="846" spans="5:10" ht="15.75" customHeight="1" x14ac:dyDescent="0.25">
      <c r="E846" s="139"/>
      <c r="J846" s="139"/>
    </row>
    <row r="847" spans="5:10" ht="15.75" customHeight="1" x14ac:dyDescent="0.25">
      <c r="E847" s="139"/>
      <c r="J847" s="139"/>
    </row>
    <row r="848" spans="5:10" ht="15.75" customHeight="1" x14ac:dyDescent="0.25">
      <c r="E848" s="139"/>
      <c r="J848" s="139"/>
    </row>
    <row r="849" spans="5:10" ht="15.75" customHeight="1" x14ac:dyDescent="0.25">
      <c r="E849" s="139"/>
      <c r="J849" s="139"/>
    </row>
    <row r="850" spans="5:10" ht="15.75" customHeight="1" x14ac:dyDescent="0.25">
      <c r="E850" s="139"/>
      <c r="J850" s="139"/>
    </row>
    <row r="851" spans="5:10" ht="15.75" customHeight="1" x14ac:dyDescent="0.25">
      <c r="E851" s="139"/>
      <c r="J851" s="139"/>
    </row>
    <row r="852" spans="5:10" ht="15.75" customHeight="1" x14ac:dyDescent="0.25">
      <c r="E852" s="139"/>
      <c r="J852" s="139"/>
    </row>
    <row r="853" spans="5:10" ht="15.75" customHeight="1" x14ac:dyDescent="0.25">
      <c r="E853" s="139"/>
      <c r="J853" s="139"/>
    </row>
    <row r="854" spans="5:10" ht="15.75" customHeight="1" x14ac:dyDescent="0.25">
      <c r="E854" s="139"/>
      <c r="J854" s="139"/>
    </row>
    <row r="855" spans="5:10" ht="15.75" customHeight="1" x14ac:dyDescent="0.25">
      <c r="E855" s="139"/>
      <c r="J855" s="139"/>
    </row>
    <row r="856" spans="5:10" ht="15.75" customHeight="1" x14ac:dyDescent="0.25">
      <c r="E856" s="139"/>
      <c r="J856" s="139"/>
    </row>
    <row r="857" spans="5:10" ht="15.75" customHeight="1" x14ac:dyDescent="0.25">
      <c r="E857" s="139"/>
      <c r="J857" s="139"/>
    </row>
    <row r="858" spans="5:10" ht="15.75" customHeight="1" x14ac:dyDescent="0.25">
      <c r="E858" s="139"/>
      <c r="J858" s="139"/>
    </row>
    <row r="859" spans="5:10" ht="15.75" customHeight="1" x14ac:dyDescent="0.25">
      <c r="E859" s="139"/>
      <c r="J859" s="139"/>
    </row>
    <row r="860" spans="5:10" ht="15.75" customHeight="1" x14ac:dyDescent="0.25">
      <c r="E860" s="139"/>
      <c r="J860" s="139"/>
    </row>
    <row r="861" spans="5:10" ht="15.75" customHeight="1" x14ac:dyDescent="0.25">
      <c r="E861" s="139"/>
      <c r="J861" s="139"/>
    </row>
    <row r="862" spans="5:10" ht="15.75" customHeight="1" x14ac:dyDescent="0.25">
      <c r="E862" s="139"/>
      <c r="J862" s="139"/>
    </row>
    <row r="863" spans="5:10" ht="15.75" customHeight="1" x14ac:dyDescent="0.25">
      <c r="E863" s="139"/>
      <c r="J863" s="139"/>
    </row>
    <row r="864" spans="5:10" ht="15.75" customHeight="1" x14ac:dyDescent="0.25">
      <c r="E864" s="139"/>
      <c r="J864" s="139"/>
    </row>
    <row r="865" spans="5:10" ht="15.75" customHeight="1" x14ac:dyDescent="0.25">
      <c r="E865" s="139"/>
      <c r="J865" s="139"/>
    </row>
    <row r="866" spans="5:10" ht="15.75" customHeight="1" x14ac:dyDescent="0.25">
      <c r="E866" s="139"/>
      <c r="J866" s="139"/>
    </row>
    <row r="867" spans="5:10" ht="15.75" customHeight="1" x14ac:dyDescent="0.25">
      <c r="E867" s="139"/>
      <c r="J867" s="139"/>
    </row>
    <row r="868" spans="5:10" ht="15.75" customHeight="1" x14ac:dyDescent="0.25">
      <c r="E868" s="139"/>
      <c r="J868" s="139"/>
    </row>
    <row r="869" spans="5:10" ht="15.75" customHeight="1" x14ac:dyDescent="0.25">
      <c r="E869" s="139"/>
      <c r="J869" s="139"/>
    </row>
    <row r="870" spans="5:10" ht="15.75" customHeight="1" x14ac:dyDescent="0.25">
      <c r="E870" s="139"/>
      <c r="J870" s="139"/>
    </row>
    <row r="871" spans="5:10" ht="15.75" customHeight="1" x14ac:dyDescent="0.25">
      <c r="E871" s="139"/>
      <c r="J871" s="139"/>
    </row>
    <row r="872" spans="5:10" ht="15.75" customHeight="1" x14ac:dyDescent="0.25">
      <c r="E872" s="139"/>
      <c r="J872" s="139"/>
    </row>
    <row r="873" spans="5:10" ht="15.75" customHeight="1" x14ac:dyDescent="0.25">
      <c r="E873" s="139"/>
      <c r="J873" s="139"/>
    </row>
    <row r="874" spans="5:10" ht="15.75" customHeight="1" x14ac:dyDescent="0.25">
      <c r="E874" s="139"/>
      <c r="J874" s="139"/>
    </row>
    <row r="875" spans="5:10" ht="15.75" customHeight="1" x14ac:dyDescent="0.25">
      <c r="E875" s="139"/>
      <c r="J875" s="139"/>
    </row>
    <row r="876" spans="5:10" ht="15.75" customHeight="1" x14ac:dyDescent="0.25">
      <c r="E876" s="139"/>
      <c r="J876" s="139"/>
    </row>
    <row r="877" spans="5:10" ht="15.75" customHeight="1" x14ac:dyDescent="0.25">
      <c r="E877" s="139"/>
      <c r="J877" s="139"/>
    </row>
    <row r="878" spans="5:10" ht="15.75" customHeight="1" x14ac:dyDescent="0.25">
      <c r="E878" s="139"/>
      <c r="J878" s="139"/>
    </row>
    <row r="879" spans="5:10" ht="15.75" customHeight="1" x14ac:dyDescent="0.25">
      <c r="E879" s="139"/>
      <c r="J879" s="139"/>
    </row>
    <row r="880" spans="5:10" ht="15.75" customHeight="1" x14ac:dyDescent="0.25">
      <c r="E880" s="139"/>
      <c r="J880" s="139"/>
    </row>
    <row r="881" spans="5:10" ht="15.75" customHeight="1" x14ac:dyDescent="0.25">
      <c r="E881" s="139"/>
      <c r="J881" s="139"/>
    </row>
    <row r="882" spans="5:10" ht="15.75" customHeight="1" x14ac:dyDescent="0.25">
      <c r="E882" s="139"/>
      <c r="J882" s="139"/>
    </row>
    <row r="883" spans="5:10" ht="15.75" customHeight="1" x14ac:dyDescent="0.25">
      <c r="E883" s="139"/>
      <c r="J883" s="139"/>
    </row>
    <row r="884" spans="5:10" ht="15.75" customHeight="1" x14ac:dyDescent="0.25">
      <c r="E884" s="139"/>
      <c r="J884" s="139"/>
    </row>
    <row r="885" spans="5:10" ht="15.75" customHeight="1" x14ac:dyDescent="0.25">
      <c r="E885" s="139"/>
      <c r="J885" s="139"/>
    </row>
    <row r="886" spans="5:10" ht="15.75" customHeight="1" x14ac:dyDescent="0.25">
      <c r="E886" s="139"/>
      <c r="J886" s="139"/>
    </row>
    <row r="887" spans="5:10" ht="15.75" customHeight="1" x14ac:dyDescent="0.25">
      <c r="E887" s="139"/>
      <c r="J887" s="139"/>
    </row>
    <row r="888" spans="5:10" ht="15.75" customHeight="1" x14ac:dyDescent="0.25">
      <c r="E888" s="139"/>
      <c r="J888" s="139"/>
    </row>
    <row r="889" spans="5:10" ht="15.75" customHeight="1" x14ac:dyDescent="0.25">
      <c r="E889" s="139"/>
      <c r="J889" s="139"/>
    </row>
    <row r="890" spans="5:10" ht="15.75" customHeight="1" x14ac:dyDescent="0.25">
      <c r="E890" s="139"/>
      <c r="J890" s="139"/>
    </row>
    <row r="891" spans="5:10" ht="15.75" customHeight="1" x14ac:dyDescent="0.25">
      <c r="E891" s="139"/>
      <c r="J891" s="139"/>
    </row>
    <row r="892" spans="5:10" ht="15.75" customHeight="1" x14ac:dyDescent="0.25">
      <c r="E892" s="139"/>
      <c r="J892" s="139"/>
    </row>
    <row r="893" spans="5:10" ht="15.75" customHeight="1" x14ac:dyDescent="0.25">
      <c r="E893" s="139"/>
      <c r="J893" s="139"/>
    </row>
    <row r="894" spans="5:10" ht="15.75" customHeight="1" x14ac:dyDescent="0.25">
      <c r="E894" s="139"/>
      <c r="J894" s="139"/>
    </row>
    <row r="895" spans="5:10" ht="15.75" customHeight="1" x14ac:dyDescent="0.25">
      <c r="E895" s="139"/>
      <c r="J895" s="139"/>
    </row>
    <row r="896" spans="5:10" ht="15.75" customHeight="1" x14ac:dyDescent="0.25">
      <c r="E896" s="139"/>
      <c r="J896" s="139"/>
    </row>
    <row r="897" spans="5:10" ht="15.75" customHeight="1" x14ac:dyDescent="0.25">
      <c r="E897" s="139"/>
      <c r="J897" s="139"/>
    </row>
    <row r="898" spans="5:10" ht="15.75" customHeight="1" x14ac:dyDescent="0.25">
      <c r="E898" s="139"/>
      <c r="J898" s="139"/>
    </row>
    <row r="899" spans="5:10" ht="15.75" customHeight="1" x14ac:dyDescent="0.25">
      <c r="E899" s="139"/>
      <c r="J899" s="139"/>
    </row>
    <row r="900" spans="5:10" ht="15.75" customHeight="1" x14ac:dyDescent="0.25">
      <c r="E900" s="139"/>
      <c r="J900" s="139"/>
    </row>
    <row r="901" spans="5:10" ht="15.75" customHeight="1" x14ac:dyDescent="0.25">
      <c r="E901" s="139"/>
      <c r="J901" s="139"/>
    </row>
    <row r="902" spans="5:10" ht="15.75" customHeight="1" x14ac:dyDescent="0.25">
      <c r="E902" s="139"/>
      <c r="J902" s="139"/>
    </row>
    <row r="903" spans="5:10" ht="15.75" customHeight="1" x14ac:dyDescent="0.25">
      <c r="E903" s="139"/>
      <c r="J903" s="139"/>
    </row>
    <row r="904" spans="5:10" ht="15.75" customHeight="1" x14ac:dyDescent="0.25">
      <c r="E904" s="139"/>
      <c r="J904" s="139"/>
    </row>
    <row r="905" spans="5:10" ht="15.75" customHeight="1" x14ac:dyDescent="0.25">
      <c r="E905" s="139"/>
      <c r="J905" s="139"/>
    </row>
    <row r="906" spans="5:10" ht="15.75" customHeight="1" x14ac:dyDescent="0.25">
      <c r="E906" s="139"/>
      <c r="J906" s="139"/>
    </row>
    <row r="907" spans="5:10" ht="15.75" customHeight="1" x14ac:dyDescent="0.25">
      <c r="E907" s="139"/>
      <c r="J907" s="139"/>
    </row>
    <row r="908" spans="5:10" ht="15.75" customHeight="1" x14ac:dyDescent="0.25">
      <c r="E908" s="139"/>
      <c r="J908" s="139"/>
    </row>
    <row r="909" spans="5:10" ht="15.75" customHeight="1" x14ac:dyDescent="0.25">
      <c r="E909" s="139"/>
      <c r="J909" s="139"/>
    </row>
    <row r="910" spans="5:10" ht="15.75" customHeight="1" x14ac:dyDescent="0.25">
      <c r="E910" s="139"/>
      <c r="J910" s="139"/>
    </row>
    <row r="911" spans="5:10" ht="15.75" customHeight="1" x14ac:dyDescent="0.25">
      <c r="E911" s="139"/>
      <c r="J911" s="139"/>
    </row>
    <row r="912" spans="5:10" ht="15.75" customHeight="1" x14ac:dyDescent="0.25">
      <c r="E912" s="139"/>
      <c r="J912" s="139"/>
    </row>
    <row r="913" spans="5:10" ht="15.75" customHeight="1" x14ac:dyDescent="0.25">
      <c r="E913" s="139"/>
      <c r="J913" s="139"/>
    </row>
    <row r="914" spans="5:10" ht="15.75" customHeight="1" x14ac:dyDescent="0.25">
      <c r="E914" s="139"/>
      <c r="J914" s="139"/>
    </row>
    <row r="915" spans="5:10" ht="15.75" customHeight="1" x14ac:dyDescent="0.25">
      <c r="E915" s="139"/>
      <c r="J915" s="139"/>
    </row>
    <row r="916" spans="5:10" ht="15.75" customHeight="1" x14ac:dyDescent="0.25">
      <c r="E916" s="139"/>
      <c r="J916" s="139"/>
    </row>
    <row r="917" spans="5:10" ht="15.75" customHeight="1" x14ac:dyDescent="0.25">
      <c r="E917" s="139"/>
      <c r="J917" s="139"/>
    </row>
    <row r="918" spans="5:10" ht="15.75" customHeight="1" x14ac:dyDescent="0.25">
      <c r="E918" s="139"/>
      <c r="J918" s="139"/>
    </row>
    <row r="919" spans="5:10" ht="15.75" customHeight="1" x14ac:dyDescent="0.25">
      <c r="E919" s="139"/>
      <c r="J919" s="139"/>
    </row>
    <row r="920" spans="5:10" ht="15.75" customHeight="1" x14ac:dyDescent="0.25">
      <c r="E920" s="139"/>
      <c r="J920" s="139"/>
    </row>
    <row r="921" spans="5:10" ht="15.75" customHeight="1" x14ac:dyDescent="0.25">
      <c r="E921" s="139"/>
      <c r="J921" s="139"/>
    </row>
    <row r="922" spans="5:10" ht="15.75" customHeight="1" x14ac:dyDescent="0.25">
      <c r="E922" s="139"/>
      <c r="J922" s="139"/>
    </row>
    <row r="923" spans="5:10" ht="15.75" customHeight="1" x14ac:dyDescent="0.25">
      <c r="E923" s="139"/>
      <c r="J923" s="139"/>
    </row>
    <row r="924" spans="5:10" ht="15.75" customHeight="1" x14ac:dyDescent="0.25">
      <c r="E924" s="139"/>
      <c r="J924" s="139"/>
    </row>
    <row r="925" spans="5:10" ht="15.75" customHeight="1" x14ac:dyDescent="0.25">
      <c r="E925" s="139"/>
      <c r="J925" s="139"/>
    </row>
    <row r="926" spans="5:10" ht="15.75" customHeight="1" x14ac:dyDescent="0.25">
      <c r="E926" s="139"/>
      <c r="J926" s="139"/>
    </row>
    <row r="927" spans="5:10" ht="15.75" customHeight="1" x14ac:dyDescent="0.25">
      <c r="E927" s="139"/>
      <c r="J927" s="139"/>
    </row>
    <row r="928" spans="5:10" ht="15.75" customHeight="1" x14ac:dyDescent="0.25">
      <c r="E928" s="139"/>
      <c r="J928" s="139"/>
    </row>
    <row r="929" spans="5:10" ht="15.75" customHeight="1" x14ac:dyDescent="0.25">
      <c r="E929" s="139"/>
      <c r="J929" s="139"/>
    </row>
    <row r="930" spans="5:10" ht="15.75" customHeight="1" x14ac:dyDescent="0.25">
      <c r="E930" s="139"/>
      <c r="J930" s="139"/>
    </row>
    <row r="931" spans="5:10" ht="15.75" customHeight="1" x14ac:dyDescent="0.25">
      <c r="E931" s="139"/>
      <c r="J931" s="139"/>
    </row>
    <row r="932" spans="5:10" ht="15.75" customHeight="1" x14ac:dyDescent="0.25">
      <c r="E932" s="139"/>
      <c r="J932" s="139"/>
    </row>
    <row r="933" spans="5:10" ht="15.75" customHeight="1" x14ac:dyDescent="0.25">
      <c r="E933" s="139"/>
      <c r="J933" s="139"/>
    </row>
    <row r="934" spans="5:10" ht="15.75" customHeight="1" x14ac:dyDescent="0.25">
      <c r="E934" s="139"/>
      <c r="J934" s="139"/>
    </row>
    <row r="935" spans="5:10" ht="15.75" customHeight="1" x14ac:dyDescent="0.25">
      <c r="E935" s="139"/>
      <c r="J935" s="139"/>
    </row>
    <row r="936" spans="5:10" ht="15.75" customHeight="1" x14ac:dyDescent="0.25">
      <c r="E936" s="139"/>
      <c r="J936" s="139"/>
    </row>
    <row r="937" spans="5:10" ht="15.75" customHeight="1" x14ac:dyDescent="0.25">
      <c r="E937" s="139"/>
      <c r="J937" s="139"/>
    </row>
    <row r="938" spans="5:10" ht="15.75" customHeight="1" x14ac:dyDescent="0.25">
      <c r="E938" s="139"/>
      <c r="J938" s="139"/>
    </row>
    <row r="939" spans="5:10" ht="15.75" customHeight="1" x14ac:dyDescent="0.25">
      <c r="E939" s="139"/>
      <c r="J939" s="139"/>
    </row>
    <row r="940" spans="5:10" ht="15.75" customHeight="1" x14ac:dyDescent="0.25">
      <c r="E940" s="139"/>
      <c r="J940" s="139"/>
    </row>
    <row r="941" spans="5:10" ht="15.75" customHeight="1" x14ac:dyDescent="0.25">
      <c r="E941" s="139"/>
      <c r="J941" s="139"/>
    </row>
    <row r="942" spans="5:10" ht="15.75" customHeight="1" x14ac:dyDescent="0.25">
      <c r="E942" s="139"/>
      <c r="J942" s="139"/>
    </row>
    <row r="943" spans="5:10" ht="15.75" customHeight="1" x14ac:dyDescent="0.25">
      <c r="E943" s="139"/>
      <c r="J943" s="139"/>
    </row>
    <row r="944" spans="5:10" ht="15.75" customHeight="1" x14ac:dyDescent="0.25">
      <c r="E944" s="139"/>
      <c r="J944" s="139"/>
    </row>
    <row r="945" spans="5:10" ht="15.75" customHeight="1" x14ac:dyDescent="0.25">
      <c r="E945" s="139"/>
      <c r="J945" s="139"/>
    </row>
    <row r="946" spans="5:10" ht="15.75" customHeight="1" x14ac:dyDescent="0.25">
      <c r="E946" s="139"/>
      <c r="J946" s="139"/>
    </row>
    <row r="947" spans="5:10" ht="15.75" customHeight="1" x14ac:dyDescent="0.25">
      <c r="E947" s="139"/>
      <c r="J947" s="139"/>
    </row>
    <row r="948" spans="5:10" ht="15.75" customHeight="1" x14ac:dyDescent="0.25">
      <c r="E948" s="139"/>
      <c r="J948" s="139"/>
    </row>
    <row r="949" spans="5:10" ht="15.75" customHeight="1" x14ac:dyDescent="0.25">
      <c r="E949" s="139"/>
      <c r="J949" s="139"/>
    </row>
    <row r="950" spans="5:10" ht="15.75" customHeight="1" x14ac:dyDescent="0.25">
      <c r="E950" s="139"/>
      <c r="J950" s="139"/>
    </row>
    <row r="951" spans="5:10" ht="15.75" customHeight="1" x14ac:dyDescent="0.25">
      <c r="E951" s="139"/>
      <c r="J951" s="139"/>
    </row>
    <row r="952" spans="5:10" ht="15.75" customHeight="1" x14ac:dyDescent="0.25">
      <c r="E952" s="139"/>
      <c r="J952" s="139"/>
    </row>
    <row r="953" spans="5:10" ht="15.75" customHeight="1" x14ac:dyDescent="0.25">
      <c r="E953" s="139"/>
      <c r="J953" s="139"/>
    </row>
    <row r="954" spans="5:10" ht="15.75" customHeight="1" x14ac:dyDescent="0.25">
      <c r="E954" s="139"/>
      <c r="J954" s="139"/>
    </row>
    <row r="955" spans="5:10" ht="15.75" customHeight="1" x14ac:dyDescent="0.25">
      <c r="E955" s="139"/>
      <c r="J955" s="139"/>
    </row>
    <row r="956" spans="5:10" ht="15.75" customHeight="1" x14ac:dyDescent="0.25">
      <c r="E956" s="139"/>
      <c r="J956" s="139"/>
    </row>
    <row r="957" spans="5:10" ht="15.75" customHeight="1" x14ac:dyDescent="0.25">
      <c r="E957" s="139"/>
      <c r="J957" s="139"/>
    </row>
    <row r="958" spans="5:10" ht="15.75" customHeight="1" x14ac:dyDescent="0.25">
      <c r="E958" s="139"/>
      <c r="J958" s="139"/>
    </row>
    <row r="959" spans="5:10" ht="15.75" customHeight="1" x14ac:dyDescent="0.25">
      <c r="E959" s="139"/>
      <c r="J959" s="139"/>
    </row>
    <row r="960" spans="5:10" ht="15.75" customHeight="1" x14ac:dyDescent="0.25">
      <c r="E960" s="139"/>
      <c r="J960" s="139"/>
    </row>
    <row r="961" spans="5:10" ht="15.75" customHeight="1" x14ac:dyDescent="0.25">
      <c r="E961" s="139"/>
      <c r="J961" s="139"/>
    </row>
    <row r="962" spans="5:10" ht="15.75" customHeight="1" x14ac:dyDescent="0.25">
      <c r="E962" s="139"/>
      <c r="J962" s="139"/>
    </row>
    <row r="963" spans="5:10" ht="15.75" customHeight="1" x14ac:dyDescent="0.25">
      <c r="E963" s="139"/>
      <c r="J963" s="139"/>
    </row>
    <row r="964" spans="5:10" ht="15.75" customHeight="1" x14ac:dyDescent="0.25">
      <c r="E964" s="139"/>
      <c r="J964" s="139"/>
    </row>
    <row r="965" spans="5:10" ht="15.75" customHeight="1" x14ac:dyDescent="0.25">
      <c r="E965" s="139"/>
      <c r="J965" s="139"/>
    </row>
    <row r="966" spans="5:10" ht="15.75" customHeight="1" x14ac:dyDescent="0.25">
      <c r="E966" s="139"/>
      <c r="J966" s="139"/>
    </row>
    <row r="967" spans="5:10" ht="15.75" customHeight="1" x14ac:dyDescent="0.25">
      <c r="E967" s="139"/>
      <c r="J967" s="139"/>
    </row>
    <row r="968" spans="5:10" ht="15.75" customHeight="1" x14ac:dyDescent="0.25">
      <c r="E968" s="139"/>
      <c r="J968" s="139"/>
    </row>
    <row r="969" spans="5:10" ht="15.75" customHeight="1" x14ac:dyDescent="0.25">
      <c r="E969" s="139"/>
      <c r="J969" s="139"/>
    </row>
    <row r="970" spans="5:10" ht="15.75" customHeight="1" x14ac:dyDescent="0.25">
      <c r="E970" s="139"/>
      <c r="J970" s="139"/>
    </row>
    <row r="971" spans="5:10" ht="15.75" customHeight="1" x14ac:dyDescent="0.25">
      <c r="E971" s="139"/>
      <c r="J971" s="139"/>
    </row>
    <row r="972" spans="5:10" ht="15.75" customHeight="1" x14ac:dyDescent="0.25">
      <c r="E972" s="139"/>
      <c r="J972" s="139"/>
    </row>
    <row r="973" spans="5:10" ht="15.75" customHeight="1" x14ac:dyDescent="0.25">
      <c r="E973" s="139"/>
      <c r="J973" s="139"/>
    </row>
    <row r="974" spans="5:10" ht="15.75" customHeight="1" x14ac:dyDescent="0.25">
      <c r="E974" s="139"/>
      <c r="J974" s="139"/>
    </row>
    <row r="975" spans="5:10" ht="15.75" customHeight="1" x14ac:dyDescent="0.25">
      <c r="E975" s="139"/>
      <c r="J975" s="139"/>
    </row>
    <row r="976" spans="5:10" ht="15.75" customHeight="1" x14ac:dyDescent="0.25">
      <c r="E976" s="139"/>
      <c r="J976" s="139"/>
    </row>
    <row r="977" spans="5:10" ht="15.75" customHeight="1" x14ac:dyDescent="0.25">
      <c r="E977" s="139"/>
      <c r="J977" s="139"/>
    </row>
    <row r="978" spans="5:10" ht="15.75" customHeight="1" x14ac:dyDescent="0.25">
      <c r="E978" s="139"/>
      <c r="J978" s="139"/>
    </row>
    <row r="979" spans="5:10" ht="15.75" customHeight="1" x14ac:dyDescent="0.25">
      <c r="E979" s="139"/>
      <c r="J979" s="139"/>
    </row>
    <row r="980" spans="5:10" ht="15.75" customHeight="1" x14ac:dyDescent="0.25">
      <c r="E980" s="139"/>
      <c r="J980" s="139"/>
    </row>
    <row r="981" spans="5:10" ht="15.75" customHeight="1" x14ac:dyDescent="0.25">
      <c r="E981" s="139"/>
      <c r="J981" s="139"/>
    </row>
    <row r="982" spans="5:10" ht="15.75" customHeight="1" x14ac:dyDescent="0.25">
      <c r="E982" s="139"/>
      <c r="J982" s="139"/>
    </row>
    <row r="983" spans="5:10" ht="15.75" customHeight="1" x14ac:dyDescent="0.25">
      <c r="E983" s="139"/>
      <c r="J983" s="139"/>
    </row>
    <row r="984" spans="5:10" ht="15.75" customHeight="1" x14ac:dyDescent="0.25">
      <c r="E984" s="139"/>
      <c r="J984" s="139"/>
    </row>
    <row r="985" spans="5:10" ht="15.75" customHeight="1" x14ac:dyDescent="0.25">
      <c r="E985" s="139"/>
      <c r="J985" s="139"/>
    </row>
    <row r="986" spans="5:10" ht="15.75" customHeight="1" x14ac:dyDescent="0.25">
      <c r="E986" s="139"/>
      <c r="J986" s="139"/>
    </row>
    <row r="987" spans="5:10" ht="15.75" customHeight="1" x14ac:dyDescent="0.25">
      <c r="E987" s="139"/>
      <c r="J987" s="139"/>
    </row>
    <row r="988" spans="5:10" ht="15.75" customHeight="1" x14ac:dyDescent="0.25">
      <c r="E988" s="139"/>
      <c r="J988" s="139"/>
    </row>
    <row r="989" spans="5:10" ht="15.75" customHeight="1" x14ac:dyDescent="0.25">
      <c r="E989" s="139"/>
      <c r="J989" s="139"/>
    </row>
    <row r="990" spans="5:10" ht="15.75" customHeight="1" x14ac:dyDescent="0.25">
      <c r="E990" s="139"/>
      <c r="J990" s="139"/>
    </row>
    <row r="991" spans="5:10" ht="15.75" customHeight="1" x14ac:dyDescent="0.25">
      <c r="E991" s="139"/>
      <c r="J991" s="139"/>
    </row>
    <row r="992" spans="5:10" ht="15.75" customHeight="1" x14ac:dyDescent="0.25">
      <c r="E992" s="139"/>
      <c r="J992" s="139"/>
    </row>
    <row r="993" spans="5:10" ht="15.75" customHeight="1" x14ac:dyDescent="0.25">
      <c r="E993" s="139"/>
      <c r="J993" s="139"/>
    </row>
    <row r="994" spans="5:10" ht="15.75" customHeight="1" x14ac:dyDescent="0.25">
      <c r="E994" s="139"/>
      <c r="J994" s="139"/>
    </row>
    <row r="995" spans="5:10" ht="15.75" customHeight="1" x14ac:dyDescent="0.25">
      <c r="E995" s="139"/>
      <c r="J995" s="139"/>
    </row>
    <row r="996" spans="5:10" ht="15.75" customHeight="1" x14ac:dyDescent="0.25">
      <c r="E996" s="139"/>
      <c r="J996" s="139"/>
    </row>
    <row r="997" spans="5:10" ht="15.75" customHeight="1" x14ac:dyDescent="0.25">
      <c r="E997" s="139"/>
      <c r="J997" s="139"/>
    </row>
    <row r="998" spans="5:10" ht="15.75" customHeight="1" x14ac:dyDescent="0.25">
      <c r="E998" s="139"/>
      <c r="J998" s="139"/>
    </row>
    <row r="999" spans="5:10" ht="15.75" customHeight="1" x14ac:dyDescent="0.25">
      <c r="E999" s="139"/>
      <c r="J999" s="139"/>
    </row>
    <row r="1000" spans="5:10" ht="15.75" customHeight="1" x14ac:dyDescent="0.25">
      <c r="E1000" s="139"/>
      <c r="J1000" s="139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1100-000000000000}">
          <x14:formula1>
            <xm:f>January!$B$27:$C$44</xm:f>
          </x14:formula1>
          <xm:sqref>E5:E1000</xm:sqref>
        </x14:dataValidation>
        <x14:dataValidation type="list" allowBlank="1" xr:uid="{00000000-0002-0000-1100-000001000000}">
          <x14:formula1>
            <xm:f>January!$H$27:$I$44</xm:f>
          </x14:formula1>
          <xm:sqref>J5:J1000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M1000"/>
  <sheetViews>
    <sheetView showGridLines="0" workbookViewId="0"/>
  </sheetViews>
  <sheetFormatPr defaultColWidth="12.6640625" defaultRowHeight="15" customHeight="1" x14ac:dyDescent="0.25"/>
  <cols>
    <col min="1" max="1" width="6.109375" customWidth="1"/>
    <col min="2" max="3" width="8.88671875" customWidth="1"/>
    <col min="4" max="4" width="16.77734375" customWidth="1"/>
    <col min="5" max="5" width="14.88671875" customWidth="1"/>
    <col min="6" max="6" width="17.44140625" customWidth="1"/>
    <col min="7" max="7" width="16.21875" customWidth="1"/>
    <col min="8" max="8" width="8.88671875" customWidth="1"/>
    <col min="9" max="9" width="17" customWidth="1"/>
    <col min="10" max="10" width="12.6640625" customWidth="1"/>
    <col min="11" max="11" width="12.33203125" customWidth="1"/>
    <col min="12" max="12" width="13.77734375" customWidth="1"/>
    <col min="13" max="13" width="6.109375" customWidth="1"/>
  </cols>
  <sheetData>
    <row r="1" spans="1:13" ht="12" customHeight="1" x14ac:dyDescent="0.3">
      <c r="A1" s="142"/>
      <c r="B1" s="142"/>
      <c r="C1" s="142"/>
      <c r="D1" s="142"/>
      <c r="E1" s="142"/>
      <c r="F1" s="142"/>
      <c r="G1" s="143"/>
      <c r="H1" s="142"/>
      <c r="I1" s="142"/>
      <c r="J1" s="142"/>
      <c r="K1" s="142"/>
      <c r="L1" s="142"/>
      <c r="M1" s="142"/>
    </row>
    <row r="2" spans="1:13" ht="21" customHeight="1" x14ac:dyDescent="0.25">
      <c r="A2" s="144"/>
      <c r="B2" s="269" t="s">
        <v>28</v>
      </c>
      <c r="C2" s="266"/>
      <c r="D2" s="266"/>
      <c r="E2" s="266"/>
      <c r="F2" s="266"/>
      <c r="G2" s="266"/>
      <c r="H2" s="266"/>
      <c r="I2" s="270" t="s">
        <v>1</v>
      </c>
      <c r="J2" s="266"/>
      <c r="K2" s="266"/>
      <c r="L2" s="266"/>
      <c r="M2" s="144"/>
    </row>
    <row r="3" spans="1:13" ht="16.5" customHeight="1" x14ac:dyDescent="0.25">
      <c r="A3" s="145"/>
      <c r="B3" s="271" t="s">
        <v>29</v>
      </c>
      <c r="C3" s="266"/>
      <c r="D3" s="266"/>
      <c r="E3" s="266"/>
      <c r="F3" s="266"/>
      <c r="G3" s="266"/>
      <c r="H3" s="146"/>
      <c r="I3" s="272" t="s">
        <v>30</v>
      </c>
      <c r="J3" s="266"/>
      <c r="K3" s="266"/>
      <c r="L3" s="266"/>
      <c r="M3" s="147"/>
    </row>
    <row r="4" spans="1:13" ht="10.5" customHeight="1" x14ac:dyDescent="0.25">
      <c r="A4" s="145"/>
      <c r="B4" s="266"/>
      <c r="C4" s="266"/>
      <c r="D4" s="266"/>
      <c r="E4" s="266"/>
      <c r="F4" s="266"/>
      <c r="G4" s="266"/>
      <c r="H4" s="146"/>
      <c r="I4" s="273" t="s">
        <v>31</v>
      </c>
      <c r="J4" s="266"/>
      <c r="K4" s="266"/>
      <c r="L4" s="266"/>
      <c r="M4" s="266"/>
    </row>
    <row r="5" spans="1:13" ht="15.75" customHeight="1" x14ac:dyDescent="0.25">
      <c r="A5" s="145"/>
      <c r="B5" s="271" t="s">
        <v>32</v>
      </c>
      <c r="C5" s="266"/>
      <c r="D5" s="266"/>
      <c r="E5" s="266"/>
      <c r="F5" s="266"/>
      <c r="G5" s="266"/>
      <c r="H5" s="146"/>
      <c r="I5" s="266"/>
      <c r="J5" s="266"/>
      <c r="K5" s="266"/>
      <c r="L5" s="266"/>
      <c r="M5" s="266"/>
    </row>
    <row r="6" spans="1:13" ht="23.25" customHeight="1" x14ac:dyDescent="0.3">
      <c r="A6" s="148"/>
      <c r="B6" s="266"/>
      <c r="C6" s="266"/>
      <c r="D6" s="266"/>
      <c r="E6" s="266"/>
      <c r="F6" s="266"/>
      <c r="G6" s="266"/>
      <c r="H6" s="149"/>
      <c r="I6" s="142"/>
      <c r="J6" s="142"/>
      <c r="K6" s="142"/>
      <c r="L6" s="142"/>
      <c r="M6" s="142"/>
    </row>
    <row r="7" spans="1:13" ht="30" customHeight="1" x14ac:dyDescent="0.3">
      <c r="A7" s="150"/>
      <c r="B7" s="151"/>
      <c r="C7" s="151"/>
      <c r="D7" s="151"/>
      <c r="E7" s="152"/>
      <c r="F7" s="155"/>
      <c r="G7" s="155"/>
      <c r="H7" s="155"/>
      <c r="I7" s="155"/>
      <c r="J7" s="153"/>
      <c r="K7" s="153"/>
      <c r="L7" s="153"/>
      <c r="M7" s="153"/>
    </row>
    <row r="8" spans="1:13" ht="18" customHeight="1" x14ac:dyDescent="0.3">
      <c r="A8" s="156"/>
      <c r="B8" s="275" t="s">
        <v>65</v>
      </c>
      <c r="C8" s="266"/>
      <c r="D8" s="266"/>
      <c r="E8" s="266"/>
      <c r="F8" s="153"/>
      <c r="G8" s="157"/>
      <c r="H8" s="153"/>
      <c r="I8" s="158"/>
      <c r="J8" s="274" t="s">
        <v>34</v>
      </c>
      <c r="K8" s="266"/>
      <c r="L8" s="159">
        <f>Juli!E17</f>
        <v>3000000</v>
      </c>
      <c r="M8" s="153"/>
    </row>
    <row r="9" spans="1:13" ht="18" customHeight="1" x14ac:dyDescent="0.25">
      <c r="A9" s="156"/>
      <c r="B9" s="266"/>
      <c r="C9" s="266"/>
      <c r="D9" s="266"/>
      <c r="E9" s="266"/>
      <c r="F9" s="153"/>
      <c r="G9" s="157"/>
      <c r="H9" s="153"/>
      <c r="I9" s="160"/>
      <c r="J9" s="153"/>
      <c r="K9" s="153"/>
      <c r="M9" s="153"/>
    </row>
    <row r="10" spans="1:13" ht="18" customHeight="1" x14ac:dyDescent="0.25">
      <c r="A10" s="153"/>
      <c r="B10" s="161"/>
      <c r="C10" s="161"/>
      <c r="D10" s="161"/>
      <c r="E10" s="161"/>
      <c r="F10" s="153"/>
      <c r="G10" s="157"/>
      <c r="H10" s="153"/>
      <c r="I10" s="160"/>
      <c r="J10" s="153"/>
      <c r="K10" s="153"/>
      <c r="L10" s="157"/>
      <c r="M10" s="153"/>
    </row>
    <row r="11" spans="1:13" ht="12" customHeight="1" x14ac:dyDescent="0.3">
      <c r="A11" s="150"/>
      <c r="B11" s="162"/>
      <c r="C11" s="162"/>
      <c r="D11" s="163"/>
      <c r="E11" s="150"/>
      <c r="F11" s="150"/>
      <c r="G11" s="158"/>
      <c r="H11" s="164"/>
      <c r="I11" s="165"/>
      <c r="J11" s="165"/>
      <c r="K11" s="165"/>
      <c r="L11" s="166"/>
      <c r="M11" s="150"/>
    </row>
    <row r="12" spans="1:13" ht="18" customHeight="1" x14ac:dyDescent="0.3">
      <c r="A12" s="158"/>
      <c r="B12" s="150"/>
      <c r="C12" s="158"/>
      <c r="D12" s="276" t="str">
        <f ca="1">IFERROR(__xludf.DUMMYFUNCTION("SPARKLINE(D17,{""charttype"",""column"";""ymin"", 0; ""ymax"",MAX(D17:E17);""firstcolor"",""#334960""})"),"")</f>
        <v/>
      </c>
      <c r="E12" s="278" t="str">
        <f ca="1">IFERROR(__xludf.DUMMYFUNCTION("SPARKLINE(E17,{""charttype"",""column"";""ymin"", 0; ""ymax"",max(D17:E17);""firstcolor"",""#f46524""})"),"")</f>
        <v/>
      </c>
      <c r="F12" s="150"/>
      <c r="G12" s="150"/>
      <c r="H12" s="167"/>
      <c r="I12" s="168"/>
      <c r="J12" s="168"/>
      <c r="K12" s="168"/>
      <c r="L12" s="169"/>
      <c r="M12" s="158"/>
    </row>
    <row r="13" spans="1:13" ht="18" customHeight="1" x14ac:dyDescent="0.6">
      <c r="A13" s="158"/>
      <c r="B13" s="150"/>
      <c r="C13" s="150"/>
      <c r="D13" s="277"/>
      <c r="E13" s="266"/>
      <c r="F13" s="150"/>
      <c r="G13" s="150"/>
      <c r="H13" s="167"/>
      <c r="I13" s="279">
        <f>IFERROR(E17/D17-1, "")</f>
        <v>0</v>
      </c>
      <c r="J13" s="266"/>
      <c r="K13" s="266"/>
      <c r="L13" s="169"/>
      <c r="M13" s="170"/>
    </row>
    <row r="14" spans="1:13" ht="24" customHeight="1" x14ac:dyDescent="0.6">
      <c r="A14" s="150"/>
      <c r="B14" s="150"/>
      <c r="C14" s="150"/>
      <c r="D14" s="277"/>
      <c r="E14" s="266"/>
      <c r="F14" s="150"/>
      <c r="G14" s="150"/>
      <c r="H14" s="167"/>
      <c r="I14" s="280" t="str">
        <f>IF(I13 &lt; 0, "Decrease in total savings", "Increase in total savings")</f>
        <v>Increase in total savings</v>
      </c>
      <c r="J14" s="281"/>
      <c r="K14" s="281"/>
      <c r="L14" s="169"/>
      <c r="M14" s="170"/>
    </row>
    <row r="15" spans="1:13" ht="39.75" customHeight="1" x14ac:dyDescent="0.6">
      <c r="A15" s="150"/>
      <c r="B15" s="150"/>
      <c r="C15" s="150"/>
      <c r="D15" s="277"/>
      <c r="E15" s="266"/>
      <c r="F15" s="150"/>
      <c r="G15" s="150"/>
      <c r="H15" s="167"/>
      <c r="I15" s="279">
        <f>IFERROR(E17-D17, 0)</f>
        <v>0</v>
      </c>
      <c r="J15" s="266"/>
      <c r="K15" s="266"/>
      <c r="L15" s="169"/>
      <c r="M15" s="170"/>
    </row>
    <row r="16" spans="1:13" ht="18" customHeight="1" x14ac:dyDescent="0.35">
      <c r="A16" s="150"/>
      <c r="B16" s="162"/>
      <c r="C16" s="171"/>
      <c r="D16" s="172" t="s">
        <v>35</v>
      </c>
      <c r="E16" s="173" t="s">
        <v>36</v>
      </c>
      <c r="F16" s="171"/>
      <c r="G16" s="162"/>
      <c r="H16" s="167"/>
      <c r="I16" s="282" t="str">
        <f>IF(J15&lt;0, "Spent this month", "Saved this month")</f>
        <v>Saved this month</v>
      </c>
      <c r="J16" s="266"/>
      <c r="K16" s="266"/>
      <c r="L16" s="169"/>
      <c r="M16" s="174"/>
    </row>
    <row r="17" spans="1:13" ht="18" customHeight="1" x14ac:dyDescent="0.3">
      <c r="A17" s="158"/>
      <c r="B17" s="150"/>
      <c r="C17" s="158"/>
      <c r="D17" s="175">
        <f>IF(ISBLANK(L8),0,L8)</f>
        <v>3000000</v>
      </c>
      <c r="E17" s="176">
        <f>D17+(I22-C22)</f>
        <v>3000000</v>
      </c>
      <c r="F17" s="158"/>
      <c r="G17" s="150"/>
      <c r="H17" s="167"/>
      <c r="I17" s="283"/>
      <c r="J17" s="266"/>
      <c r="K17" s="266"/>
      <c r="L17" s="169"/>
      <c r="M17" s="158"/>
    </row>
    <row r="18" spans="1:13" ht="12" customHeight="1" x14ac:dyDescent="0.3">
      <c r="A18" s="158"/>
      <c r="B18" s="177"/>
      <c r="C18" s="177"/>
      <c r="D18" s="177"/>
      <c r="E18" s="157"/>
      <c r="F18" s="177"/>
      <c r="G18" s="158"/>
      <c r="H18" s="178"/>
      <c r="I18" s="179"/>
      <c r="J18" s="180"/>
      <c r="K18" s="179"/>
      <c r="L18" s="181"/>
      <c r="M18" s="158"/>
    </row>
    <row r="19" spans="1:13" ht="24" customHeight="1" x14ac:dyDescent="0.3">
      <c r="A19" s="158"/>
      <c r="B19" s="177"/>
      <c r="C19" s="177"/>
      <c r="D19" s="177"/>
      <c r="E19" s="177"/>
      <c r="F19" s="177"/>
      <c r="G19" s="158"/>
      <c r="H19" s="158"/>
      <c r="I19" s="158"/>
      <c r="J19" s="151"/>
      <c r="K19" s="158"/>
      <c r="L19" s="158"/>
      <c r="M19" s="158"/>
    </row>
    <row r="20" spans="1:13" ht="24" customHeight="1" x14ac:dyDescent="0.25">
      <c r="A20" s="182"/>
      <c r="B20" s="284" t="s">
        <v>10</v>
      </c>
      <c r="C20" s="266"/>
      <c r="D20" s="266"/>
      <c r="E20" s="266"/>
      <c r="F20" s="266"/>
      <c r="G20" s="182"/>
      <c r="H20" s="183" t="s">
        <v>9</v>
      </c>
      <c r="I20" s="183"/>
      <c r="J20" s="184"/>
      <c r="K20" s="182"/>
      <c r="L20" s="182"/>
      <c r="M20" s="182"/>
    </row>
    <row r="21" spans="1:13" ht="19.5" customHeight="1" x14ac:dyDescent="0.25">
      <c r="A21" s="185"/>
      <c r="B21" s="186" t="s">
        <v>37</v>
      </c>
      <c r="C21" s="187">
        <f>D26</f>
        <v>22450000</v>
      </c>
      <c r="D21" s="285" t="str">
        <f ca="1">IFERROR(__xludf.DUMMYFUNCTION("SPARKLINE(C21,{""charttype"",""bar"";""max"",max(C21:C22);""color1"",""#AEB7C0""})"),"")</f>
        <v/>
      </c>
      <c r="E21" s="266"/>
      <c r="F21" s="266"/>
      <c r="G21" s="185"/>
      <c r="H21" s="186" t="s">
        <v>37</v>
      </c>
      <c r="I21" s="187">
        <f>J26</f>
        <v>0</v>
      </c>
      <c r="J21" s="285" t="str">
        <f ca="1">IFERROR(__xludf.DUMMYFUNCTION("SPARKLINE(I21,{""charttype"",""bar"";""max"",max(I21:I22);""color1"",""#AEB7C0""})"),"")</f>
        <v/>
      </c>
      <c r="K21" s="266"/>
      <c r="L21" s="266"/>
      <c r="M21" s="185"/>
    </row>
    <row r="22" spans="1:13" ht="19.5" customHeight="1" x14ac:dyDescent="0.25">
      <c r="A22" s="188"/>
      <c r="B22" s="189" t="s">
        <v>38</v>
      </c>
      <c r="C22" s="190">
        <f>E26</f>
        <v>0</v>
      </c>
      <c r="D22" s="286" t="str">
        <f ca="1">IFERROR(__xludf.DUMMYFUNCTION("SPARKLINE(C22,{""charttype"",""bar"";""max"",max(C21:C22);""color1"",""#334960""})"),"")</f>
        <v/>
      </c>
      <c r="E22" s="266"/>
      <c r="F22" s="266"/>
      <c r="G22" s="177"/>
      <c r="H22" s="189" t="s">
        <v>38</v>
      </c>
      <c r="I22" s="190">
        <f>K26</f>
        <v>0</v>
      </c>
      <c r="J22" s="286" t="str">
        <f ca="1">IFERROR(__xludf.DUMMYFUNCTION("SPARKLINE(I22,{""charttype"",""bar"";""max"",max(I21:I22);""color1"",""#334960""})"),"")</f>
        <v/>
      </c>
      <c r="K22" s="266"/>
      <c r="L22" s="266"/>
      <c r="M22" s="188"/>
    </row>
    <row r="23" spans="1:13" ht="30" customHeight="1" x14ac:dyDescent="0.3">
      <c r="A23" s="150"/>
      <c r="B23" s="191"/>
      <c r="C23" s="192"/>
      <c r="D23" s="287"/>
      <c r="E23" s="266"/>
      <c r="F23" s="266"/>
      <c r="G23" s="150"/>
      <c r="H23" s="191"/>
      <c r="I23" s="192"/>
      <c r="J23" s="287"/>
      <c r="K23" s="266"/>
      <c r="L23" s="266"/>
      <c r="M23" s="188"/>
    </row>
    <row r="24" spans="1:13" ht="29.25" customHeight="1" x14ac:dyDescent="0.25">
      <c r="A24" s="193"/>
      <c r="B24" s="288" t="s">
        <v>10</v>
      </c>
      <c r="C24" s="266"/>
      <c r="D24" s="194"/>
      <c r="E24" s="194"/>
      <c r="F24" s="194"/>
      <c r="G24" s="195"/>
      <c r="H24" s="196" t="s">
        <v>9</v>
      </c>
      <c r="I24" s="197"/>
      <c r="J24" s="194"/>
      <c r="K24" s="194"/>
      <c r="L24" s="194"/>
      <c r="M24" s="193"/>
    </row>
    <row r="25" spans="1:13" ht="19.5" customHeight="1" x14ac:dyDescent="0.45">
      <c r="A25" s="198"/>
      <c r="B25" s="199"/>
      <c r="C25" s="200"/>
      <c r="D25" s="199" t="s">
        <v>37</v>
      </c>
      <c r="E25" s="199" t="s">
        <v>38</v>
      </c>
      <c r="F25" s="199" t="s">
        <v>39</v>
      </c>
      <c r="G25" s="201"/>
      <c r="H25" s="202"/>
      <c r="I25" s="203"/>
      <c r="J25" s="199" t="s">
        <v>37</v>
      </c>
      <c r="K25" s="199" t="s">
        <v>38</v>
      </c>
      <c r="L25" s="199" t="s">
        <v>39</v>
      </c>
      <c r="M25" s="198"/>
    </row>
    <row r="26" spans="1:13" ht="17.25" customHeight="1" x14ac:dyDescent="0.25">
      <c r="A26" s="204"/>
      <c r="B26" s="205" t="s">
        <v>40</v>
      </c>
      <c r="C26" s="205"/>
      <c r="D26" s="206">
        <f t="shared" ref="D26:F26" si="0">SUM(D27:D1044)</f>
        <v>22450000</v>
      </c>
      <c r="E26" s="206">
        <f t="shared" si="0"/>
        <v>0</v>
      </c>
      <c r="F26" s="206">
        <f t="shared" si="0"/>
        <v>22450000</v>
      </c>
      <c r="G26" s="207"/>
      <c r="H26" s="208" t="s">
        <v>40</v>
      </c>
      <c r="I26" s="206"/>
      <c r="J26" s="206">
        <f t="shared" ref="J26:L26" si="1">SUM(J27:J44)</f>
        <v>0</v>
      </c>
      <c r="K26" s="206">
        <f t="shared" si="1"/>
        <v>0</v>
      </c>
      <c r="L26" s="206">
        <f t="shared" si="1"/>
        <v>0</v>
      </c>
      <c r="M26" s="204"/>
    </row>
    <row r="27" spans="1:13" ht="18" hidden="1" customHeight="1" x14ac:dyDescent="0.25">
      <c r="A27" s="209"/>
      <c r="B27" s="289"/>
      <c r="C27" s="290"/>
      <c r="D27" s="210"/>
      <c r="E27" s="211" t="str">
        <f>IF(ISBLANK($B27), "", SUMIF('Trans Agust'!$E:$E,$B27,'Trans Agust'!$C:$C))</f>
        <v/>
      </c>
      <c r="F27" s="211" t="str">
        <f t="shared" ref="F27:F43" si="2">IF(ISBLANK($B27), "", D27-E27)</f>
        <v/>
      </c>
      <c r="G27" s="190"/>
      <c r="H27" s="291"/>
      <c r="I27" s="292"/>
      <c r="J27" s="212"/>
      <c r="K27" s="211" t="str">
        <f>IF(ISBLANK($H27), "", SUMIF('Trans Agust'!$J:$J,$H27,'Trans Agust'!$H:$H))</f>
        <v/>
      </c>
      <c r="L27" s="211" t="str">
        <f t="shared" ref="L27:L44" si="3">IF(ISBLANK($H27), "", K27-J27)</f>
        <v/>
      </c>
      <c r="M27" s="209"/>
    </row>
    <row r="28" spans="1:13" ht="18" customHeight="1" x14ac:dyDescent="0.25">
      <c r="A28" s="209"/>
      <c r="B28" s="267" t="s">
        <v>15</v>
      </c>
      <c r="C28" s="268"/>
      <c r="D28" s="213">
        <v>7000000</v>
      </c>
      <c r="E28" s="214">
        <f>IF(ISBLANK($B28), "", SUMIF('Trans Agust'!$E:$E,$B28,'Trans Agust'!$C:$C))</f>
        <v>0</v>
      </c>
      <c r="F28" s="214">
        <f t="shared" si="2"/>
        <v>7000000</v>
      </c>
      <c r="G28" s="215"/>
      <c r="H28" s="267" t="s">
        <v>41</v>
      </c>
      <c r="I28" s="268"/>
      <c r="J28" s="213"/>
      <c r="K28" s="211">
        <f>IF(ISBLANK($H28), "", SUMIF('Trans Agust'!$J:$J,$H28,'Trans Agust'!$H:$H))</f>
        <v>0</v>
      </c>
      <c r="L28" s="214">
        <f t="shared" si="3"/>
        <v>0</v>
      </c>
      <c r="M28" s="209"/>
    </row>
    <row r="29" spans="1:13" ht="18" customHeight="1" x14ac:dyDescent="0.25">
      <c r="A29" s="209"/>
      <c r="B29" s="267" t="s">
        <v>23</v>
      </c>
      <c r="C29" s="268"/>
      <c r="D29" s="213">
        <v>500000</v>
      </c>
      <c r="E29" s="214">
        <f>IF(ISBLANK($B29), "", SUMIF('Trans Agust'!$E:$E,$B29,'Trans Agust'!$C:$C))</f>
        <v>0</v>
      </c>
      <c r="F29" s="214">
        <f t="shared" si="2"/>
        <v>500000</v>
      </c>
      <c r="G29" s="217"/>
      <c r="H29" s="267" t="s">
        <v>42</v>
      </c>
      <c r="I29" s="268"/>
      <c r="J29" s="213"/>
      <c r="K29" s="211">
        <f>IF(ISBLANK($H29), "", SUMIF('Trans Agust'!$J:$J,$H29,'Trans Agust'!$H:$H))</f>
        <v>0</v>
      </c>
      <c r="L29" s="214">
        <f t="shared" si="3"/>
        <v>0</v>
      </c>
      <c r="M29" s="209"/>
    </row>
    <row r="30" spans="1:13" ht="18" customHeight="1" x14ac:dyDescent="0.25">
      <c r="A30" s="188"/>
      <c r="B30" s="267" t="s">
        <v>24</v>
      </c>
      <c r="C30" s="268"/>
      <c r="D30" s="213">
        <v>600000</v>
      </c>
      <c r="E30" s="214">
        <f>IF(ISBLANK($B30), "", SUMIF('Trans Agust'!$E:$E,$B30,'Trans Agust'!$C:$C))</f>
        <v>0</v>
      </c>
      <c r="F30" s="214">
        <f t="shared" si="2"/>
        <v>600000</v>
      </c>
      <c r="G30" s="217"/>
      <c r="H30" s="267" t="s">
        <v>43</v>
      </c>
      <c r="I30" s="268"/>
      <c r="J30" s="213"/>
      <c r="K30" s="211">
        <f>IF(ISBLANK($H30), "", SUMIF('Trans Agust'!$J:$J,$H30,'Trans Agust'!$H:$H))</f>
        <v>0</v>
      </c>
      <c r="L30" s="214">
        <f t="shared" si="3"/>
        <v>0</v>
      </c>
      <c r="M30" s="188"/>
    </row>
    <row r="31" spans="1:13" ht="18" customHeight="1" x14ac:dyDescent="0.25">
      <c r="A31" s="188"/>
      <c r="B31" s="267" t="s">
        <v>44</v>
      </c>
      <c r="C31" s="268"/>
      <c r="D31" s="213">
        <v>5000000</v>
      </c>
      <c r="E31" s="214">
        <f>IF(ISBLANK($B31), "", SUMIF('Trans Agust'!$E:$E,$B31,'Trans Agust'!$C:$C))</f>
        <v>0</v>
      </c>
      <c r="F31" s="214">
        <f t="shared" si="2"/>
        <v>5000000</v>
      </c>
      <c r="G31" s="217"/>
      <c r="H31" s="267" t="s">
        <v>45</v>
      </c>
      <c r="I31" s="268"/>
      <c r="J31" s="213"/>
      <c r="K31" s="211">
        <f>IF(ISBLANK($H31), "", SUMIF('Trans Agust'!$J:$J,$H31,'Trans Agust'!$H:$H))</f>
        <v>0</v>
      </c>
      <c r="L31" s="214">
        <f t="shared" si="3"/>
        <v>0</v>
      </c>
      <c r="M31" s="188"/>
    </row>
    <row r="32" spans="1:13" ht="18" customHeight="1" x14ac:dyDescent="0.25">
      <c r="A32" s="188"/>
      <c r="B32" s="267" t="s">
        <v>46</v>
      </c>
      <c r="C32" s="268"/>
      <c r="D32" s="213">
        <v>4000000</v>
      </c>
      <c r="E32" s="214">
        <f>IF(ISBLANK($B32), "", SUMIF('Trans Agust'!$E:$E,$B32,'Trans Agust'!$C:$C))</f>
        <v>0</v>
      </c>
      <c r="F32" s="214">
        <f t="shared" si="2"/>
        <v>4000000</v>
      </c>
      <c r="G32" s="216"/>
      <c r="H32" s="267" t="s">
        <v>47</v>
      </c>
      <c r="I32" s="268"/>
      <c r="J32" s="213"/>
      <c r="K32" s="211">
        <f>IF(ISBLANK($H32), "", SUMIF('Trans Agust'!$J:$J,$H32,'Trans Agust'!$H:$H))</f>
        <v>0</v>
      </c>
      <c r="L32" s="214">
        <f t="shared" si="3"/>
        <v>0</v>
      </c>
      <c r="M32" s="188"/>
    </row>
    <row r="33" spans="1:13" ht="18" customHeight="1" x14ac:dyDescent="0.25">
      <c r="A33" s="188"/>
      <c r="B33" s="267" t="s">
        <v>48</v>
      </c>
      <c r="C33" s="268"/>
      <c r="D33" s="213">
        <v>1500000</v>
      </c>
      <c r="E33" s="214">
        <f>IF(ISBLANK($B33), "", SUMIF('Trans Agust'!$E:$E,$B33,'Trans Agust'!$C:$C))</f>
        <v>0</v>
      </c>
      <c r="F33" s="214">
        <f t="shared" si="2"/>
        <v>1500000</v>
      </c>
      <c r="G33" s="217"/>
      <c r="H33" s="267" t="s">
        <v>49</v>
      </c>
      <c r="I33" s="268"/>
      <c r="J33" s="218"/>
      <c r="K33" s="211">
        <f>IF(ISBLANK($H33), "", SUMIF('Trans Agust'!$J:$J,$H33,'Trans Agust'!$H:$H))</f>
        <v>0</v>
      </c>
      <c r="L33" s="214">
        <f t="shared" si="3"/>
        <v>0</v>
      </c>
      <c r="M33" s="188"/>
    </row>
    <row r="34" spans="1:13" ht="18" customHeight="1" x14ac:dyDescent="0.25">
      <c r="A34" s="188"/>
      <c r="B34" s="267" t="s">
        <v>50</v>
      </c>
      <c r="C34" s="268"/>
      <c r="D34" s="213">
        <v>500000</v>
      </c>
      <c r="E34" s="214">
        <f>IF(ISBLANK($B34), "", SUMIF('Trans Agust'!$E:$E,$B34,'Trans Agust'!$C:$C))</f>
        <v>0</v>
      </c>
      <c r="F34" s="214">
        <f t="shared" si="2"/>
        <v>500000</v>
      </c>
      <c r="G34" s="217"/>
      <c r="H34" s="267" t="s">
        <v>51</v>
      </c>
      <c r="I34" s="268"/>
      <c r="J34" s="218"/>
      <c r="K34" s="211">
        <f>IF(ISBLANK($H34), "", SUMIF('Trans Agust'!$J:$J,$H34,'Trans Agust'!$H:$H))</f>
        <v>0</v>
      </c>
      <c r="L34" s="214">
        <f t="shared" si="3"/>
        <v>0</v>
      </c>
      <c r="M34" s="188"/>
    </row>
    <row r="35" spans="1:13" ht="18" customHeight="1" x14ac:dyDescent="0.3">
      <c r="A35" s="188"/>
      <c r="B35" s="267" t="s">
        <v>52</v>
      </c>
      <c r="C35" s="268"/>
      <c r="D35" s="213">
        <v>500000</v>
      </c>
      <c r="E35" s="214">
        <f>IF(ISBLANK($B35), "", SUMIF('Trans Agust'!$E:$E,$B35,'Trans Agust'!$C:$C))</f>
        <v>0</v>
      </c>
      <c r="F35" s="214">
        <f t="shared" si="2"/>
        <v>500000</v>
      </c>
      <c r="G35" s="217"/>
      <c r="H35" s="293"/>
      <c r="I35" s="268"/>
      <c r="J35" s="219"/>
      <c r="K35" s="211" t="str">
        <f>IF(ISBLANK($H35), "", SUMIF('Trans Agust'!$J:$J,$H35,'Trans Agust'!$H:$H))</f>
        <v/>
      </c>
      <c r="L35" s="214" t="str">
        <f t="shared" si="3"/>
        <v/>
      </c>
      <c r="M35" s="188"/>
    </row>
    <row r="36" spans="1:13" ht="18" customHeight="1" x14ac:dyDescent="0.3">
      <c r="A36" s="188"/>
      <c r="B36" s="267" t="s">
        <v>53</v>
      </c>
      <c r="C36" s="268"/>
      <c r="D36" s="213">
        <v>500000</v>
      </c>
      <c r="E36" s="214">
        <f>IF(ISBLANK($B36), "", SUMIF('Trans Agust'!$E:$E,$B36,'Trans Agust'!$C:$C))</f>
        <v>0</v>
      </c>
      <c r="F36" s="214">
        <f t="shared" si="2"/>
        <v>500000</v>
      </c>
      <c r="G36" s="216"/>
      <c r="H36" s="293"/>
      <c r="I36" s="268"/>
      <c r="J36" s="219"/>
      <c r="K36" s="211" t="str">
        <f>IF(ISBLANK($H36), "", SUMIF('Trans Agust'!$J:$J,$H36,'Trans Agust'!$H:$H))</f>
        <v/>
      </c>
      <c r="L36" s="214" t="str">
        <f t="shared" si="3"/>
        <v/>
      </c>
      <c r="M36" s="188"/>
    </row>
    <row r="37" spans="1:13" ht="18" customHeight="1" x14ac:dyDescent="0.3">
      <c r="A37" s="188"/>
      <c r="B37" s="267" t="s">
        <v>54</v>
      </c>
      <c r="C37" s="268"/>
      <c r="D37" s="213">
        <v>500000</v>
      </c>
      <c r="E37" s="214">
        <f>IF(ISBLANK($B37), "", SUMIF('Trans Agust'!$E:$E,$B37,'Trans Agust'!$C:$C))</f>
        <v>0</v>
      </c>
      <c r="F37" s="214">
        <f t="shared" si="2"/>
        <v>500000</v>
      </c>
      <c r="G37" s="217"/>
      <c r="H37" s="293"/>
      <c r="I37" s="268"/>
      <c r="J37" s="219"/>
      <c r="K37" s="211" t="str">
        <f>IF(ISBLANK($H37), "", SUMIF('Trans Agust'!$J:$J,$H37,'Trans Agust'!$H:$H))</f>
        <v/>
      </c>
      <c r="L37" s="214" t="str">
        <f t="shared" si="3"/>
        <v/>
      </c>
      <c r="M37" s="188"/>
    </row>
    <row r="38" spans="1:13" ht="18" customHeight="1" x14ac:dyDescent="0.3">
      <c r="A38" s="188"/>
      <c r="B38" s="267" t="s">
        <v>55</v>
      </c>
      <c r="C38" s="268"/>
      <c r="D38" s="213">
        <v>200000</v>
      </c>
      <c r="E38" s="214">
        <f>IF(ISBLANK($B38), "", SUMIF('Trans Agust'!$E:$E,$B38,'Trans Agust'!$C:$C))</f>
        <v>0</v>
      </c>
      <c r="F38" s="214">
        <f t="shared" si="2"/>
        <v>200000</v>
      </c>
      <c r="G38" s="217"/>
      <c r="H38" s="293"/>
      <c r="I38" s="268"/>
      <c r="J38" s="219"/>
      <c r="K38" s="211" t="str">
        <f>IF(ISBLANK($H38), "", SUMIF('Trans Agust'!$J:$J,$H38,'Trans Agust'!$H:$H))</f>
        <v/>
      </c>
      <c r="L38" s="214" t="str">
        <f t="shared" si="3"/>
        <v/>
      </c>
      <c r="M38" s="188"/>
    </row>
    <row r="39" spans="1:13" ht="18" customHeight="1" x14ac:dyDescent="0.3">
      <c r="A39" s="188"/>
      <c r="B39" s="267" t="s">
        <v>56</v>
      </c>
      <c r="C39" s="268"/>
      <c r="D39" s="213">
        <v>150000</v>
      </c>
      <c r="E39" s="214">
        <f>IF(ISBLANK($B39), "", SUMIF('Trans Agust'!$E:$E,$B39,'Trans Agust'!$C:$C))</f>
        <v>0</v>
      </c>
      <c r="F39" s="214">
        <f t="shared" si="2"/>
        <v>150000</v>
      </c>
      <c r="G39" s="216"/>
      <c r="H39" s="293"/>
      <c r="I39" s="268"/>
      <c r="J39" s="219"/>
      <c r="K39" s="211" t="str">
        <f>IF(ISBLANK($H39), "", SUMIF('Trans Agust'!$J:$J,$H39,'Trans Agust'!$H:$H))</f>
        <v/>
      </c>
      <c r="L39" s="214" t="str">
        <f t="shared" si="3"/>
        <v/>
      </c>
      <c r="M39" s="188"/>
    </row>
    <row r="40" spans="1:13" ht="18" customHeight="1" x14ac:dyDescent="0.3">
      <c r="A40" s="188"/>
      <c r="B40" s="267" t="s">
        <v>57</v>
      </c>
      <c r="C40" s="268"/>
      <c r="D40" s="213">
        <v>1500000</v>
      </c>
      <c r="E40" s="214">
        <f>IF(ISBLANK($B40), "", SUMIF('Trans Agust'!$E:$E,$B40,'Trans Agust'!$C:$C))</f>
        <v>0</v>
      </c>
      <c r="F40" s="214">
        <f t="shared" si="2"/>
        <v>1500000</v>
      </c>
      <c r="G40" s="249"/>
      <c r="H40" s="293"/>
      <c r="I40" s="268"/>
      <c r="J40" s="219"/>
      <c r="K40" s="211" t="str">
        <f>IF(ISBLANK($H40), "", SUMIF('Trans Agust'!$J:$J,$H40,'Trans Agust'!$H:$H))</f>
        <v/>
      </c>
      <c r="L40" s="214" t="str">
        <f t="shared" si="3"/>
        <v/>
      </c>
      <c r="M40" s="188"/>
    </row>
    <row r="41" spans="1:13" ht="18" customHeight="1" x14ac:dyDescent="0.3">
      <c r="A41" s="188"/>
      <c r="B41" s="267" t="s">
        <v>58</v>
      </c>
      <c r="C41" s="268"/>
      <c r="D41" s="220">
        <v>0</v>
      </c>
      <c r="E41" s="214">
        <f>IF(ISBLANK($B41), "", SUMIF('Trans Agust'!$E:$E,$B41,'Trans Agust'!$C:$C))</f>
        <v>0</v>
      </c>
      <c r="F41" s="214">
        <f t="shared" si="2"/>
        <v>0</v>
      </c>
      <c r="G41" s="217"/>
      <c r="H41" s="293"/>
      <c r="I41" s="268"/>
      <c r="J41" s="219"/>
      <c r="K41" s="211" t="str">
        <f>IF(ISBLANK($H41), "", SUMIF('Trans Agust'!$J:$J,$H41,'Trans Agust'!$H:$H))</f>
        <v/>
      </c>
      <c r="L41" s="214" t="str">
        <f t="shared" si="3"/>
        <v/>
      </c>
      <c r="M41" s="188"/>
    </row>
    <row r="42" spans="1:13" ht="19.5" customHeight="1" x14ac:dyDescent="0.3">
      <c r="A42" s="188"/>
      <c r="B42" s="267" t="s">
        <v>59</v>
      </c>
      <c r="C42" s="268"/>
      <c r="D42" s="213">
        <v>0</v>
      </c>
      <c r="E42" s="214">
        <f>IF(ISBLANK($B42), "", SUMIF('Trans Agust'!$E:$E,$B42,'Trans Agust'!$C:$C))</f>
        <v>0</v>
      </c>
      <c r="F42" s="214">
        <f t="shared" si="2"/>
        <v>0</v>
      </c>
      <c r="G42" s="216"/>
      <c r="H42" s="293"/>
      <c r="I42" s="268"/>
      <c r="J42" s="219"/>
      <c r="K42" s="211" t="str">
        <f>IF(ISBLANK($H42), "", SUMIF('Trans Agust'!$J:$J,$H42,'Trans Agust'!$H:$H))</f>
        <v/>
      </c>
      <c r="L42" s="214" t="str">
        <f t="shared" si="3"/>
        <v/>
      </c>
      <c r="M42" s="188"/>
    </row>
    <row r="43" spans="1:13" ht="18" customHeight="1" x14ac:dyDescent="0.3">
      <c r="A43" s="188"/>
      <c r="B43" s="267"/>
      <c r="C43" s="268"/>
      <c r="D43" s="220"/>
      <c r="E43" s="211"/>
      <c r="F43" s="214" t="str">
        <f t="shared" si="2"/>
        <v/>
      </c>
      <c r="G43" s="216"/>
      <c r="H43" s="267"/>
      <c r="I43" s="268"/>
      <c r="J43" s="218"/>
      <c r="K43" s="211" t="str">
        <f>IF(ISBLANK($H43), "", SUMIF('Trans Agust'!$J:$J,$H43,'Trans Agust'!$H:$H))</f>
        <v/>
      </c>
      <c r="L43" s="214" t="str">
        <f t="shared" si="3"/>
        <v/>
      </c>
      <c r="M43" s="188"/>
    </row>
    <row r="44" spans="1:13" ht="18" customHeight="1" x14ac:dyDescent="0.25">
      <c r="A44" s="188"/>
      <c r="B44" s="267"/>
      <c r="C44" s="268"/>
      <c r="D44" s="218"/>
      <c r="E44" s="211" t="str">
        <f>IF(ISBLANK($B44), "", SUMIF('Trans Agust'!$E:$E,$B44,'Trans Agust'!$C:$C))</f>
        <v/>
      </c>
      <c r="F44" s="214"/>
      <c r="G44" s="216"/>
      <c r="H44" s="267"/>
      <c r="I44" s="268"/>
      <c r="J44" s="218"/>
      <c r="K44" s="211" t="str">
        <f>IF(ISBLANK($H44), "", SUMIF('Trans Agust'!$J:$J,$H44,'Trans Agust'!$H:$H))</f>
        <v/>
      </c>
      <c r="L44" s="214" t="str">
        <f t="shared" si="3"/>
        <v/>
      </c>
      <c r="M44" s="188"/>
    </row>
    <row r="45" spans="1:13" ht="18" customHeight="1" x14ac:dyDescent="0.25">
      <c r="A45" s="188"/>
      <c r="B45" s="221"/>
      <c r="C45" s="221"/>
      <c r="D45" s="252"/>
      <c r="E45" s="211"/>
      <c r="F45" s="214"/>
      <c r="G45" s="216"/>
      <c r="H45" s="221"/>
      <c r="I45" s="221"/>
      <c r="J45" s="222"/>
      <c r="K45" s="211"/>
      <c r="L45" s="214"/>
      <c r="M45" s="188"/>
    </row>
    <row r="46" spans="1:13" ht="18" customHeight="1" x14ac:dyDescent="0.25">
      <c r="A46" s="188"/>
      <c r="B46" s="221"/>
      <c r="C46" s="221"/>
      <c r="D46" s="252"/>
      <c r="E46" s="211"/>
      <c r="F46" s="214"/>
      <c r="G46" s="216"/>
      <c r="H46" s="221"/>
      <c r="I46" s="221"/>
      <c r="J46" s="222"/>
      <c r="K46" s="211"/>
      <c r="L46" s="214"/>
      <c r="M46" s="188"/>
    </row>
    <row r="47" spans="1:13" ht="18" customHeight="1" x14ac:dyDescent="0.25">
      <c r="A47" s="188"/>
      <c r="B47" s="221"/>
      <c r="C47" s="221"/>
      <c r="D47" s="252"/>
      <c r="E47" s="211"/>
      <c r="F47" s="214"/>
      <c r="G47" s="216"/>
      <c r="H47" s="221"/>
      <c r="I47" s="221"/>
      <c r="J47" s="222"/>
      <c r="K47" s="211"/>
      <c r="L47" s="214"/>
      <c r="M47" s="188"/>
    </row>
    <row r="48" spans="1:13" ht="18" customHeight="1" x14ac:dyDescent="0.25">
      <c r="A48" s="188"/>
      <c r="B48" s="221"/>
      <c r="C48" s="221"/>
      <c r="D48" s="222"/>
      <c r="E48" s="211"/>
      <c r="F48" s="214"/>
      <c r="G48" s="216"/>
      <c r="H48" s="221"/>
      <c r="I48" s="221"/>
      <c r="J48" s="222"/>
      <c r="K48" s="211"/>
      <c r="L48" s="214"/>
      <c r="M48" s="188"/>
    </row>
    <row r="49" spans="1:13" ht="18" customHeight="1" x14ac:dyDescent="0.25">
      <c r="A49" s="188"/>
      <c r="B49" s="221"/>
      <c r="C49" s="221"/>
      <c r="D49" s="222"/>
      <c r="E49" s="211"/>
      <c r="F49" s="214"/>
      <c r="G49" s="216"/>
      <c r="H49" s="221"/>
      <c r="I49" s="221"/>
      <c r="J49" s="222"/>
      <c r="K49" s="211"/>
      <c r="L49" s="214"/>
      <c r="M49" s="188"/>
    </row>
    <row r="50" spans="1:13" ht="18" customHeight="1" x14ac:dyDescent="0.25">
      <c r="A50" s="188"/>
      <c r="B50" s="221"/>
      <c r="C50" s="221"/>
      <c r="D50" s="222"/>
      <c r="E50" s="211"/>
      <c r="F50" s="214"/>
      <c r="G50" s="216"/>
      <c r="H50" s="221"/>
      <c r="I50" s="221"/>
      <c r="J50" s="222"/>
      <c r="K50" s="211"/>
      <c r="L50" s="214"/>
      <c r="M50" s="188"/>
    </row>
    <row r="51" spans="1:13" ht="18" customHeight="1" x14ac:dyDescent="0.25">
      <c r="A51" s="188"/>
      <c r="B51" s="221"/>
      <c r="C51" s="221"/>
      <c r="D51" s="222"/>
      <c r="E51" s="211"/>
      <c r="F51" s="214"/>
      <c r="G51" s="216"/>
      <c r="H51" s="221"/>
      <c r="I51" s="221"/>
      <c r="J51" s="222"/>
      <c r="K51" s="211"/>
      <c r="L51" s="214"/>
      <c r="M51" s="188"/>
    </row>
    <row r="52" spans="1:13" ht="18" customHeight="1" x14ac:dyDescent="0.25">
      <c r="A52" s="188"/>
      <c r="B52" s="221"/>
      <c r="C52" s="221"/>
      <c r="D52" s="222"/>
      <c r="E52" s="211"/>
      <c r="F52" s="214"/>
      <c r="G52" s="216"/>
      <c r="H52" s="221"/>
      <c r="I52" s="221"/>
      <c r="J52" s="222"/>
      <c r="K52" s="211"/>
      <c r="L52" s="214"/>
      <c r="M52" s="188"/>
    </row>
    <row r="53" spans="1:13" ht="18" customHeight="1" x14ac:dyDescent="0.25">
      <c r="A53" s="188"/>
      <c r="B53" s="221"/>
      <c r="C53" s="221"/>
      <c r="D53" s="222"/>
      <c r="E53" s="211"/>
      <c r="F53" s="214"/>
      <c r="G53" s="216"/>
      <c r="H53" s="221"/>
      <c r="I53" s="221"/>
      <c r="J53" s="222"/>
      <c r="K53" s="211"/>
      <c r="L53" s="214"/>
      <c r="M53" s="188"/>
    </row>
    <row r="54" spans="1:13" ht="18" customHeight="1" x14ac:dyDescent="0.25">
      <c r="A54" s="188"/>
      <c r="B54" s="221"/>
      <c r="C54" s="221"/>
      <c r="D54" s="222"/>
      <c r="E54" s="211"/>
      <c r="F54" s="214"/>
      <c r="G54" s="216"/>
      <c r="H54" s="221"/>
      <c r="I54" s="221"/>
      <c r="J54" s="222"/>
      <c r="K54" s="211"/>
      <c r="L54" s="214"/>
      <c r="M54" s="188"/>
    </row>
    <row r="55" spans="1:13" ht="18" customHeight="1" x14ac:dyDescent="0.25">
      <c r="A55" s="188"/>
      <c r="B55" s="221"/>
      <c r="C55" s="221"/>
      <c r="D55" s="222"/>
      <c r="E55" s="211"/>
      <c r="F55" s="214"/>
      <c r="G55" s="216"/>
      <c r="H55" s="221"/>
      <c r="I55" s="221"/>
      <c r="J55" s="222"/>
      <c r="K55" s="211"/>
      <c r="L55" s="214"/>
      <c r="M55" s="188"/>
    </row>
    <row r="56" spans="1:13" ht="18" customHeight="1" x14ac:dyDescent="0.25">
      <c r="A56" s="188"/>
      <c r="B56" s="221"/>
      <c r="C56" s="221"/>
      <c r="D56" s="222"/>
      <c r="E56" s="211"/>
      <c r="F56" s="214"/>
      <c r="G56" s="216"/>
      <c r="H56" s="221"/>
      <c r="I56" s="221"/>
      <c r="J56" s="222"/>
      <c r="K56" s="211"/>
      <c r="L56" s="214"/>
      <c r="M56" s="188"/>
    </row>
    <row r="57" spans="1:13" ht="18" customHeight="1" x14ac:dyDescent="0.25">
      <c r="A57" s="188"/>
      <c r="B57" s="221"/>
      <c r="C57" s="221"/>
      <c r="D57" s="222"/>
      <c r="E57" s="211"/>
      <c r="F57" s="214"/>
      <c r="G57" s="216"/>
      <c r="H57" s="221"/>
      <c r="I57" s="221"/>
      <c r="J57" s="222"/>
      <c r="K57" s="211"/>
      <c r="L57" s="214"/>
      <c r="M57" s="188"/>
    </row>
    <row r="58" spans="1:13" ht="18" customHeight="1" x14ac:dyDescent="0.25">
      <c r="A58" s="188"/>
      <c r="B58" s="221"/>
      <c r="C58" s="221"/>
      <c r="D58" s="222"/>
      <c r="E58" s="211"/>
      <c r="F58" s="214"/>
      <c r="G58" s="216"/>
      <c r="H58" s="221"/>
      <c r="I58" s="221"/>
      <c r="J58" s="222"/>
      <c r="K58" s="211"/>
      <c r="L58" s="214"/>
      <c r="M58" s="188"/>
    </row>
    <row r="59" spans="1:13" ht="18" customHeight="1" x14ac:dyDescent="0.25">
      <c r="A59" s="188"/>
      <c r="B59" s="221"/>
      <c r="C59" s="221"/>
      <c r="D59" s="222"/>
      <c r="E59" s="211"/>
      <c r="F59" s="214"/>
      <c r="G59" s="216"/>
      <c r="H59" s="221"/>
      <c r="I59" s="221"/>
      <c r="J59" s="222"/>
      <c r="K59" s="211"/>
      <c r="L59" s="214"/>
      <c r="M59" s="188"/>
    </row>
    <row r="60" spans="1:13" ht="18" customHeight="1" x14ac:dyDescent="0.25">
      <c r="A60" s="188"/>
      <c r="B60" s="221"/>
      <c r="C60" s="221"/>
      <c r="D60" s="222"/>
      <c r="E60" s="211"/>
      <c r="F60" s="214"/>
      <c r="G60" s="216"/>
      <c r="H60" s="221"/>
      <c r="I60" s="221"/>
      <c r="J60" s="222"/>
      <c r="K60" s="211"/>
      <c r="L60" s="214"/>
      <c r="M60" s="188"/>
    </row>
    <row r="61" spans="1:13" ht="18" customHeight="1" x14ac:dyDescent="0.25">
      <c r="A61" s="188"/>
      <c r="B61" s="221"/>
      <c r="C61" s="221"/>
      <c r="D61" s="222"/>
      <c r="E61" s="211"/>
      <c r="F61" s="214"/>
      <c r="G61" s="216"/>
      <c r="H61" s="221"/>
      <c r="I61" s="221"/>
      <c r="J61" s="222"/>
      <c r="K61" s="211"/>
      <c r="L61" s="214"/>
      <c r="M61" s="188"/>
    </row>
    <row r="62" spans="1:13" ht="18" customHeight="1" x14ac:dyDescent="0.25">
      <c r="A62" s="188"/>
      <c r="B62" s="221"/>
      <c r="C62" s="221"/>
      <c r="D62" s="222"/>
      <c r="E62" s="211"/>
      <c r="F62" s="214"/>
      <c r="G62" s="216"/>
      <c r="H62" s="221"/>
      <c r="I62" s="221"/>
      <c r="J62" s="222"/>
      <c r="K62" s="211"/>
      <c r="L62" s="214"/>
      <c r="M62" s="188"/>
    </row>
    <row r="63" spans="1:13" ht="18" customHeight="1" x14ac:dyDescent="0.25">
      <c r="A63" s="188"/>
      <c r="B63" s="221"/>
      <c r="C63" s="221"/>
      <c r="D63" s="222"/>
      <c r="E63" s="211"/>
      <c r="F63" s="214"/>
      <c r="G63" s="216"/>
      <c r="H63" s="221"/>
      <c r="I63" s="221"/>
      <c r="J63" s="222"/>
      <c r="K63" s="211"/>
      <c r="L63" s="214"/>
      <c r="M63" s="188"/>
    </row>
    <row r="64" spans="1:13" ht="18" customHeight="1" x14ac:dyDescent="0.25">
      <c r="A64" s="188"/>
      <c r="B64" s="221"/>
      <c r="C64" s="221"/>
      <c r="D64" s="222"/>
      <c r="E64" s="211"/>
      <c r="F64" s="214"/>
      <c r="G64" s="216"/>
      <c r="H64" s="221"/>
      <c r="I64" s="221"/>
      <c r="J64" s="222"/>
      <c r="K64" s="211"/>
      <c r="L64" s="214"/>
      <c r="M64" s="188"/>
    </row>
    <row r="65" spans="1:13" ht="18" customHeight="1" x14ac:dyDescent="0.25">
      <c r="A65" s="188"/>
      <c r="B65" s="221"/>
      <c r="C65" s="221"/>
      <c r="D65" s="222"/>
      <c r="E65" s="211"/>
      <c r="F65" s="214"/>
      <c r="G65" s="216"/>
      <c r="H65" s="221"/>
      <c r="I65" s="221"/>
      <c r="J65" s="222"/>
      <c r="K65" s="211"/>
      <c r="L65" s="214"/>
      <c r="M65" s="188"/>
    </row>
    <row r="66" spans="1:13" ht="18" customHeight="1" x14ac:dyDescent="0.25">
      <c r="A66" s="188"/>
      <c r="B66" s="221"/>
      <c r="C66" s="221"/>
      <c r="D66" s="222"/>
      <c r="E66" s="211"/>
      <c r="F66" s="214"/>
      <c r="G66" s="216"/>
      <c r="H66" s="221"/>
      <c r="I66" s="221"/>
      <c r="J66" s="222"/>
      <c r="K66" s="211"/>
      <c r="L66" s="214"/>
      <c r="M66" s="188"/>
    </row>
    <row r="67" spans="1:13" ht="18" customHeight="1" x14ac:dyDescent="0.25">
      <c r="A67" s="188"/>
      <c r="B67" s="221"/>
      <c r="C67" s="221"/>
      <c r="D67" s="222"/>
      <c r="E67" s="211"/>
      <c r="F67" s="214"/>
      <c r="G67" s="216"/>
      <c r="H67" s="221"/>
      <c r="I67" s="221"/>
      <c r="J67" s="222"/>
      <c r="K67" s="211"/>
      <c r="L67" s="214"/>
      <c r="M67" s="188"/>
    </row>
    <row r="68" spans="1:13" ht="18" customHeight="1" x14ac:dyDescent="0.25">
      <c r="A68" s="188"/>
      <c r="B68" s="221"/>
      <c r="C68" s="221"/>
      <c r="D68" s="222"/>
      <c r="E68" s="211"/>
      <c r="F68" s="214"/>
      <c r="G68" s="216"/>
      <c r="H68" s="221"/>
      <c r="I68" s="221"/>
      <c r="J68" s="222"/>
      <c r="K68" s="211"/>
      <c r="L68" s="214"/>
      <c r="M68" s="188"/>
    </row>
    <row r="69" spans="1:13" ht="18" customHeight="1" x14ac:dyDescent="0.25">
      <c r="A69" s="188"/>
      <c r="B69" s="221"/>
      <c r="C69" s="221"/>
      <c r="D69" s="222"/>
      <c r="E69" s="211"/>
      <c r="F69" s="214"/>
      <c r="G69" s="216"/>
      <c r="H69" s="221"/>
      <c r="I69" s="221"/>
      <c r="J69" s="222"/>
      <c r="K69" s="211"/>
      <c r="L69" s="214"/>
      <c r="M69" s="188"/>
    </row>
    <row r="70" spans="1:13" ht="18" customHeight="1" x14ac:dyDescent="0.25">
      <c r="A70" s="188"/>
      <c r="B70" s="221"/>
      <c r="C70" s="221"/>
      <c r="D70" s="222"/>
      <c r="E70" s="211"/>
      <c r="F70" s="214"/>
      <c r="G70" s="216"/>
      <c r="H70" s="221"/>
      <c r="I70" s="221"/>
      <c r="J70" s="222"/>
      <c r="K70" s="211"/>
      <c r="L70" s="214"/>
      <c r="M70" s="188"/>
    </row>
    <row r="71" spans="1:13" ht="18" customHeight="1" x14ac:dyDescent="0.25">
      <c r="A71" s="188"/>
      <c r="B71" s="221"/>
      <c r="C71" s="221"/>
      <c r="D71" s="222"/>
      <c r="E71" s="211"/>
      <c r="F71" s="214"/>
      <c r="G71" s="216"/>
      <c r="H71" s="221"/>
      <c r="I71" s="221"/>
      <c r="J71" s="222"/>
      <c r="K71" s="211"/>
      <c r="L71" s="214"/>
      <c r="M71" s="188"/>
    </row>
    <row r="72" spans="1:13" ht="18" customHeight="1" x14ac:dyDescent="0.25">
      <c r="A72" s="188"/>
      <c r="B72" s="221"/>
      <c r="C72" s="221"/>
      <c r="D72" s="222"/>
      <c r="E72" s="211"/>
      <c r="F72" s="214"/>
      <c r="G72" s="216"/>
      <c r="H72" s="221"/>
      <c r="I72" s="221"/>
      <c r="J72" s="222"/>
      <c r="K72" s="211"/>
      <c r="L72" s="214"/>
      <c r="M72" s="188"/>
    </row>
    <row r="73" spans="1:13" ht="18" customHeight="1" x14ac:dyDescent="0.25">
      <c r="A73" s="188"/>
      <c r="B73" s="221"/>
      <c r="C73" s="221"/>
      <c r="D73" s="222"/>
      <c r="E73" s="211"/>
      <c r="F73" s="214"/>
      <c r="G73" s="216"/>
      <c r="H73" s="221"/>
      <c r="I73" s="221"/>
      <c r="J73" s="222"/>
      <c r="K73" s="211"/>
      <c r="L73" s="214"/>
      <c r="M73" s="188"/>
    </row>
    <row r="74" spans="1:13" ht="18" customHeight="1" x14ac:dyDescent="0.25">
      <c r="A74" s="188"/>
      <c r="B74" s="221"/>
      <c r="C74" s="221"/>
      <c r="D74" s="222"/>
      <c r="E74" s="211"/>
      <c r="F74" s="214"/>
      <c r="G74" s="216"/>
      <c r="H74" s="221"/>
      <c r="I74" s="221"/>
      <c r="J74" s="222"/>
      <c r="K74" s="211"/>
      <c r="L74" s="214"/>
      <c r="M74" s="188"/>
    </row>
    <row r="75" spans="1:13" ht="18" customHeight="1" x14ac:dyDescent="0.25">
      <c r="A75" s="188"/>
      <c r="B75" s="221"/>
      <c r="C75" s="221"/>
      <c r="D75" s="222"/>
      <c r="E75" s="211"/>
      <c r="F75" s="214"/>
      <c r="G75" s="216"/>
      <c r="H75" s="221"/>
      <c r="I75" s="221"/>
      <c r="J75" s="222"/>
      <c r="K75" s="211"/>
      <c r="L75" s="214"/>
      <c r="M75" s="188"/>
    </row>
    <row r="76" spans="1:13" ht="18" customHeight="1" x14ac:dyDescent="0.25">
      <c r="A76" s="188"/>
      <c r="B76" s="221"/>
      <c r="C76" s="221"/>
      <c r="D76" s="222"/>
      <c r="E76" s="211"/>
      <c r="F76" s="214"/>
      <c r="G76" s="216"/>
      <c r="H76" s="221"/>
      <c r="I76" s="221"/>
      <c r="J76" s="222"/>
      <c r="K76" s="211"/>
      <c r="L76" s="214"/>
      <c r="M76" s="188"/>
    </row>
    <row r="77" spans="1:13" ht="18" customHeight="1" x14ac:dyDescent="0.25">
      <c r="A77" s="188"/>
      <c r="B77" s="221"/>
      <c r="C77" s="221"/>
      <c r="D77" s="222"/>
      <c r="E77" s="211"/>
      <c r="F77" s="214"/>
      <c r="G77" s="216"/>
      <c r="H77" s="221"/>
      <c r="I77" s="221"/>
      <c r="J77" s="222"/>
      <c r="K77" s="211"/>
      <c r="L77" s="214"/>
      <c r="M77" s="188"/>
    </row>
    <row r="78" spans="1:13" ht="18" customHeight="1" x14ac:dyDescent="0.25">
      <c r="A78" s="188"/>
      <c r="B78" s="221"/>
      <c r="C78" s="221"/>
      <c r="D78" s="222"/>
      <c r="E78" s="211"/>
      <c r="F78" s="214"/>
      <c r="G78" s="216"/>
      <c r="H78" s="221"/>
      <c r="I78" s="221"/>
      <c r="J78" s="222"/>
      <c r="K78" s="211"/>
      <c r="L78" s="214"/>
      <c r="M78" s="188"/>
    </row>
    <row r="79" spans="1:13" ht="18" customHeight="1" x14ac:dyDescent="0.25">
      <c r="A79" s="188"/>
      <c r="B79" s="221"/>
      <c r="C79" s="221"/>
      <c r="D79" s="222"/>
      <c r="E79" s="211"/>
      <c r="F79" s="214"/>
      <c r="G79" s="216"/>
      <c r="H79" s="221"/>
      <c r="I79" s="221"/>
      <c r="J79" s="222"/>
      <c r="K79" s="211"/>
      <c r="L79" s="214"/>
      <c r="M79" s="188"/>
    </row>
    <row r="80" spans="1:13" ht="18" customHeight="1" x14ac:dyDescent="0.25">
      <c r="A80" s="188"/>
      <c r="B80" s="221"/>
      <c r="C80" s="221"/>
      <c r="D80" s="222"/>
      <c r="E80" s="211"/>
      <c r="F80" s="214"/>
      <c r="G80" s="216"/>
      <c r="H80" s="221"/>
      <c r="I80" s="221"/>
      <c r="J80" s="222"/>
      <c r="K80" s="211"/>
      <c r="L80" s="214"/>
      <c r="M80" s="188"/>
    </row>
    <row r="81" spans="1:13" ht="18" customHeight="1" x14ac:dyDescent="0.25">
      <c r="A81" s="188"/>
      <c r="B81" s="221"/>
      <c r="C81" s="221"/>
      <c r="D81" s="222"/>
      <c r="E81" s="211"/>
      <c r="F81" s="214"/>
      <c r="G81" s="216"/>
      <c r="H81" s="221"/>
      <c r="I81" s="221"/>
      <c r="J81" s="222"/>
      <c r="K81" s="211"/>
      <c r="L81" s="214"/>
      <c r="M81" s="188"/>
    </row>
    <row r="82" spans="1:13" ht="18" customHeight="1" x14ac:dyDescent="0.25">
      <c r="A82" s="188"/>
      <c r="B82" s="221"/>
      <c r="C82" s="221"/>
      <c r="D82" s="222"/>
      <c r="E82" s="211"/>
      <c r="F82" s="214"/>
      <c r="G82" s="216"/>
      <c r="H82" s="221"/>
      <c r="I82" s="221"/>
      <c r="J82" s="222"/>
      <c r="K82" s="211"/>
      <c r="L82" s="214"/>
      <c r="M82" s="188"/>
    </row>
    <row r="83" spans="1:13" ht="18" customHeight="1" x14ac:dyDescent="0.25">
      <c r="A83" s="188"/>
      <c r="B83" s="221"/>
      <c r="C83" s="221"/>
      <c r="D83" s="222"/>
      <c r="E83" s="211"/>
      <c r="F83" s="214"/>
      <c r="G83" s="216"/>
      <c r="H83" s="221"/>
      <c r="I83" s="221"/>
      <c r="J83" s="222"/>
      <c r="K83" s="211"/>
      <c r="L83" s="214"/>
      <c r="M83" s="188"/>
    </row>
    <row r="84" spans="1:13" ht="18" customHeight="1" x14ac:dyDescent="0.25">
      <c r="A84" s="188"/>
      <c r="B84" s="221"/>
      <c r="C84" s="221"/>
      <c r="D84" s="222"/>
      <c r="E84" s="211"/>
      <c r="F84" s="214"/>
      <c r="G84" s="216"/>
      <c r="H84" s="221"/>
      <c r="I84" s="221"/>
      <c r="J84" s="222"/>
      <c r="K84" s="211"/>
      <c r="L84" s="214"/>
      <c r="M84" s="188"/>
    </row>
    <row r="85" spans="1:13" ht="18" customHeight="1" x14ac:dyDescent="0.25">
      <c r="A85" s="188"/>
      <c r="B85" s="221"/>
      <c r="C85" s="221"/>
      <c r="D85" s="222"/>
      <c r="E85" s="211"/>
      <c r="F85" s="214"/>
      <c r="G85" s="216"/>
      <c r="H85" s="221"/>
      <c r="I85" s="221"/>
      <c r="J85" s="222"/>
      <c r="K85" s="211"/>
      <c r="L85" s="214"/>
      <c r="M85" s="188"/>
    </row>
    <row r="86" spans="1:13" ht="18" customHeight="1" x14ac:dyDescent="0.25">
      <c r="A86" s="188"/>
      <c r="B86" s="221"/>
      <c r="C86" s="221"/>
      <c r="D86" s="222"/>
      <c r="E86" s="211"/>
      <c r="F86" s="214"/>
      <c r="G86" s="216"/>
      <c r="H86" s="221"/>
      <c r="I86" s="221"/>
      <c r="J86" s="222"/>
      <c r="K86" s="211"/>
      <c r="L86" s="214"/>
      <c r="M86" s="188"/>
    </row>
    <row r="87" spans="1:13" ht="18" customHeight="1" x14ac:dyDescent="0.25">
      <c r="A87" s="188"/>
      <c r="B87" s="221"/>
      <c r="C87" s="221"/>
      <c r="D87" s="222"/>
      <c r="E87" s="211"/>
      <c r="F87" s="214"/>
      <c r="G87" s="216"/>
      <c r="H87" s="221"/>
      <c r="I87" s="221"/>
      <c r="J87" s="222"/>
      <c r="K87" s="211"/>
      <c r="L87" s="214"/>
      <c r="M87" s="188"/>
    </row>
    <row r="88" spans="1:13" ht="18" customHeight="1" x14ac:dyDescent="0.25">
      <c r="A88" s="188"/>
      <c r="B88" s="221"/>
      <c r="C88" s="221"/>
      <c r="D88" s="222"/>
      <c r="E88" s="211"/>
      <c r="F88" s="214"/>
      <c r="G88" s="216"/>
      <c r="H88" s="221"/>
      <c r="I88" s="221"/>
      <c r="J88" s="222"/>
      <c r="K88" s="211"/>
      <c r="L88" s="214"/>
      <c r="M88" s="188"/>
    </row>
    <row r="89" spans="1:13" ht="18" customHeight="1" x14ac:dyDescent="0.25">
      <c r="A89" s="188"/>
      <c r="B89" s="221"/>
      <c r="C89" s="221"/>
      <c r="D89" s="222"/>
      <c r="E89" s="211"/>
      <c r="F89" s="214"/>
      <c r="G89" s="216"/>
      <c r="H89" s="221"/>
      <c r="I89" s="221"/>
      <c r="J89" s="222"/>
      <c r="K89" s="211"/>
      <c r="L89" s="214"/>
      <c r="M89" s="188"/>
    </row>
    <row r="90" spans="1:13" ht="18" customHeight="1" x14ac:dyDescent="0.25">
      <c r="A90" s="188"/>
      <c r="B90" s="221"/>
      <c r="C90" s="221"/>
      <c r="D90" s="222"/>
      <c r="E90" s="211"/>
      <c r="F90" s="214"/>
      <c r="G90" s="216"/>
      <c r="H90" s="221"/>
      <c r="I90" s="221"/>
      <c r="J90" s="222"/>
      <c r="K90" s="211"/>
      <c r="L90" s="214"/>
      <c r="M90" s="188"/>
    </row>
    <row r="91" spans="1:13" ht="18" customHeight="1" x14ac:dyDescent="0.25">
      <c r="A91" s="188"/>
      <c r="B91" s="221"/>
      <c r="C91" s="221"/>
      <c r="D91" s="222"/>
      <c r="E91" s="211"/>
      <c r="F91" s="214"/>
      <c r="G91" s="216"/>
      <c r="H91" s="221"/>
      <c r="I91" s="221"/>
      <c r="J91" s="222"/>
      <c r="K91" s="211"/>
      <c r="L91" s="214"/>
      <c r="M91" s="188"/>
    </row>
    <row r="92" spans="1:13" ht="18" customHeight="1" x14ac:dyDescent="0.25">
      <c r="A92" s="188"/>
      <c r="B92" s="221"/>
      <c r="C92" s="221"/>
      <c r="D92" s="222"/>
      <c r="E92" s="211"/>
      <c r="F92" s="214"/>
      <c r="G92" s="216"/>
      <c r="H92" s="221"/>
      <c r="I92" s="221"/>
      <c r="J92" s="222"/>
      <c r="K92" s="211"/>
      <c r="L92" s="214"/>
      <c r="M92" s="188"/>
    </row>
    <row r="93" spans="1:13" ht="18" customHeight="1" x14ac:dyDescent="0.25">
      <c r="A93" s="188"/>
      <c r="B93" s="221"/>
      <c r="C93" s="221"/>
      <c r="D93" s="222"/>
      <c r="E93" s="211"/>
      <c r="F93" s="214"/>
      <c r="G93" s="216"/>
      <c r="H93" s="221"/>
      <c r="I93" s="221"/>
      <c r="J93" s="222"/>
      <c r="K93" s="211"/>
      <c r="L93" s="214"/>
      <c r="M93" s="188"/>
    </row>
    <row r="94" spans="1:13" ht="18" customHeight="1" x14ac:dyDescent="0.25">
      <c r="A94" s="188"/>
      <c r="B94" s="221"/>
      <c r="C94" s="221"/>
      <c r="D94" s="222"/>
      <c r="E94" s="211"/>
      <c r="F94" s="214"/>
      <c r="G94" s="216"/>
      <c r="H94" s="221"/>
      <c r="I94" s="221"/>
      <c r="J94" s="222"/>
      <c r="K94" s="211"/>
      <c r="L94" s="214"/>
      <c r="M94" s="188"/>
    </row>
    <row r="95" spans="1:13" ht="18" customHeight="1" x14ac:dyDescent="0.25">
      <c r="A95" s="188"/>
      <c r="B95" s="221"/>
      <c r="C95" s="221"/>
      <c r="D95" s="222"/>
      <c r="E95" s="211"/>
      <c r="F95" s="214"/>
      <c r="G95" s="216"/>
      <c r="H95" s="221"/>
      <c r="I95" s="221"/>
      <c r="J95" s="222"/>
      <c r="K95" s="211"/>
      <c r="L95" s="214"/>
      <c r="M95" s="188"/>
    </row>
    <row r="96" spans="1:13" ht="18" customHeight="1" x14ac:dyDescent="0.25">
      <c r="A96" s="188"/>
      <c r="B96" s="221"/>
      <c r="C96" s="221"/>
      <c r="D96" s="222"/>
      <c r="E96" s="211"/>
      <c r="F96" s="214"/>
      <c r="G96" s="216"/>
      <c r="H96" s="221"/>
      <c r="I96" s="221"/>
      <c r="J96" s="222"/>
      <c r="K96" s="211"/>
      <c r="L96" s="214"/>
      <c r="M96" s="188"/>
    </row>
    <row r="97" spans="1:13" ht="18" customHeight="1" x14ac:dyDescent="0.25">
      <c r="A97" s="188"/>
      <c r="B97" s="221"/>
      <c r="C97" s="221"/>
      <c r="D97" s="222"/>
      <c r="E97" s="211"/>
      <c r="F97" s="214"/>
      <c r="G97" s="216"/>
      <c r="H97" s="221"/>
      <c r="I97" s="221"/>
      <c r="J97" s="222"/>
      <c r="K97" s="211"/>
      <c r="L97" s="214"/>
      <c r="M97" s="188"/>
    </row>
    <row r="98" spans="1:13" ht="18" customHeight="1" x14ac:dyDescent="0.25">
      <c r="A98" s="188"/>
      <c r="B98" s="221"/>
      <c r="C98" s="221"/>
      <c r="D98" s="222"/>
      <c r="E98" s="211"/>
      <c r="F98" s="214"/>
      <c r="G98" s="216"/>
      <c r="H98" s="221"/>
      <c r="I98" s="221"/>
      <c r="J98" s="222"/>
      <c r="K98" s="211"/>
      <c r="L98" s="214"/>
      <c r="M98" s="188"/>
    </row>
    <row r="99" spans="1:13" ht="18" customHeight="1" x14ac:dyDescent="0.25">
      <c r="A99" s="188"/>
      <c r="B99" s="221"/>
      <c r="C99" s="221"/>
      <c r="D99" s="222"/>
      <c r="E99" s="211"/>
      <c r="F99" s="214"/>
      <c r="G99" s="216"/>
      <c r="H99" s="221"/>
      <c r="I99" s="221"/>
      <c r="J99" s="222"/>
      <c r="K99" s="211"/>
      <c r="L99" s="214"/>
      <c r="M99" s="188"/>
    </row>
    <row r="100" spans="1:13" ht="18" customHeight="1" x14ac:dyDescent="0.25">
      <c r="A100" s="188"/>
      <c r="B100" s="221"/>
      <c r="C100" s="221"/>
      <c r="D100" s="222"/>
      <c r="E100" s="211"/>
      <c r="F100" s="214"/>
      <c r="G100" s="216"/>
      <c r="H100" s="221"/>
      <c r="I100" s="221"/>
      <c r="J100" s="222"/>
      <c r="K100" s="211"/>
      <c r="L100" s="214"/>
      <c r="M100" s="188"/>
    </row>
    <row r="101" spans="1:13" ht="18" customHeight="1" x14ac:dyDescent="0.25">
      <c r="A101" s="188"/>
      <c r="B101" s="221"/>
      <c r="C101" s="221"/>
      <c r="D101" s="222"/>
      <c r="E101" s="211"/>
      <c r="F101" s="214"/>
      <c r="G101" s="216"/>
      <c r="H101" s="221"/>
      <c r="I101" s="221"/>
      <c r="J101" s="222"/>
      <c r="K101" s="211"/>
      <c r="L101" s="214"/>
      <c r="M101" s="188"/>
    </row>
    <row r="102" spans="1:13" ht="18" customHeight="1" x14ac:dyDescent="0.25">
      <c r="A102" s="188"/>
      <c r="B102" s="221"/>
      <c r="C102" s="221"/>
      <c r="D102" s="222"/>
      <c r="E102" s="211"/>
      <c r="F102" s="214"/>
      <c r="G102" s="216"/>
      <c r="H102" s="221"/>
      <c r="I102" s="221"/>
      <c r="J102" s="222"/>
      <c r="K102" s="211"/>
      <c r="L102" s="214"/>
      <c r="M102" s="188"/>
    </row>
    <row r="103" spans="1:13" ht="18" customHeight="1" x14ac:dyDescent="0.25">
      <c r="A103" s="188"/>
      <c r="B103" s="221"/>
      <c r="C103" s="221"/>
      <c r="D103" s="222"/>
      <c r="E103" s="211"/>
      <c r="F103" s="214"/>
      <c r="G103" s="216"/>
      <c r="H103" s="221"/>
      <c r="I103" s="221"/>
      <c r="J103" s="222"/>
      <c r="K103" s="211"/>
      <c r="L103" s="214"/>
      <c r="M103" s="188"/>
    </row>
    <row r="104" spans="1:13" ht="18" customHeight="1" x14ac:dyDescent="0.25">
      <c r="A104" s="188"/>
      <c r="B104" s="221"/>
      <c r="C104" s="221"/>
      <c r="D104" s="222"/>
      <c r="E104" s="211"/>
      <c r="F104" s="214"/>
      <c r="G104" s="216"/>
      <c r="H104" s="221"/>
      <c r="I104" s="221"/>
      <c r="J104" s="222"/>
      <c r="K104" s="211"/>
      <c r="L104" s="214"/>
      <c r="M104" s="188"/>
    </row>
    <row r="105" spans="1:13" ht="18" customHeight="1" x14ac:dyDescent="0.25">
      <c r="A105" s="188"/>
      <c r="B105" s="221"/>
      <c r="C105" s="221"/>
      <c r="D105" s="222"/>
      <c r="E105" s="211"/>
      <c r="F105" s="214"/>
      <c r="G105" s="216"/>
      <c r="H105" s="221"/>
      <c r="I105" s="221"/>
      <c r="J105" s="222"/>
      <c r="K105" s="211"/>
      <c r="L105" s="214"/>
      <c r="M105" s="188"/>
    </row>
    <row r="106" spans="1:13" ht="18" customHeight="1" x14ac:dyDescent="0.25">
      <c r="A106" s="188"/>
      <c r="B106" s="221"/>
      <c r="C106" s="221"/>
      <c r="D106" s="222"/>
      <c r="E106" s="211"/>
      <c r="F106" s="214"/>
      <c r="G106" s="216"/>
      <c r="H106" s="221"/>
      <c r="I106" s="221"/>
      <c r="J106" s="222"/>
      <c r="K106" s="211"/>
      <c r="L106" s="214"/>
      <c r="M106" s="188"/>
    </row>
    <row r="107" spans="1:13" ht="18" customHeight="1" x14ac:dyDescent="0.25">
      <c r="A107" s="188"/>
      <c r="B107" s="221"/>
      <c r="C107" s="221"/>
      <c r="D107" s="222"/>
      <c r="E107" s="211"/>
      <c r="F107" s="214"/>
      <c r="G107" s="216"/>
      <c r="H107" s="221"/>
      <c r="I107" s="221"/>
      <c r="J107" s="222"/>
      <c r="K107" s="211"/>
      <c r="L107" s="214"/>
      <c r="M107" s="188"/>
    </row>
    <row r="108" spans="1:13" ht="18" customHeight="1" x14ac:dyDescent="0.25">
      <c r="A108" s="188"/>
      <c r="B108" s="221"/>
      <c r="C108" s="221"/>
      <c r="D108" s="222"/>
      <c r="E108" s="211"/>
      <c r="F108" s="214"/>
      <c r="G108" s="216"/>
      <c r="H108" s="221"/>
      <c r="I108" s="221"/>
      <c r="J108" s="222"/>
      <c r="K108" s="211"/>
      <c r="L108" s="214"/>
      <c r="M108" s="188"/>
    </row>
    <row r="109" spans="1:13" ht="18" customHeight="1" x14ac:dyDescent="0.25">
      <c r="A109" s="188"/>
      <c r="B109" s="221"/>
      <c r="C109" s="221"/>
      <c r="D109" s="222"/>
      <c r="E109" s="211"/>
      <c r="F109" s="214"/>
      <c r="G109" s="216"/>
      <c r="H109" s="221"/>
      <c r="I109" s="221"/>
      <c r="J109" s="222"/>
      <c r="K109" s="211"/>
      <c r="L109" s="214"/>
      <c r="M109" s="188"/>
    </row>
    <row r="110" spans="1:13" ht="18" customHeight="1" x14ac:dyDescent="0.25">
      <c r="A110" s="188"/>
      <c r="B110" s="221"/>
      <c r="C110" s="221"/>
      <c r="D110" s="222"/>
      <c r="E110" s="211"/>
      <c r="F110" s="214"/>
      <c r="G110" s="216"/>
      <c r="H110" s="221"/>
      <c r="I110" s="221"/>
      <c r="J110" s="222"/>
      <c r="K110" s="211"/>
      <c r="L110" s="214"/>
      <c r="M110" s="188"/>
    </row>
    <row r="111" spans="1:13" ht="18" customHeight="1" x14ac:dyDescent="0.25">
      <c r="A111" s="188"/>
      <c r="B111" s="221"/>
      <c r="C111" s="221"/>
      <c r="D111" s="222"/>
      <c r="E111" s="211"/>
      <c r="F111" s="214"/>
      <c r="G111" s="216"/>
      <c r="H111" s="221"/>
      <c r="I111" s="221"/>
      <c r="J111" s="222"/>
      <c r="K111" s="211"/>
      <c r="L111" s="214"/>
      <c r="M111" s="188"/>
    </row>
    <row r="112" spans="1:13" ht="18" customHeight="1" x14ac:dyDescent="0.25">
      <c r="A112" s="188"/>
      <c r="B112" s="221"/>
      <c r="C112" s="221"/>
      <c r="D112" s="222"/>
      <c r="E112" s="211"/>
      <c r="F112" s="214"/>
      <c r="G112" s="216"/>
      <c r="H112" s="221"/>
      <c r="I112" s="221"/>
      <c r="J112" s="222"/>
      <c r="K112" s="211"/>
      <c r="L112" s="214"/>
      <c r="M112" s="188"/>
    </row>
    <row r="113" spans="1:13" ht="18" customHeight="1" x14ac:dyDescent="0.25">
      <c r="A113" s="188"/>
      <c r="B113" s="221"/>
      <c r="C113" s="221"/>
      <c r="D113" s="222"/>
      <c r="E113" s="211"/>
      <c r="F113" s="214"/>
      <c r="G113" s="216"/>
      <c r="H113" s="221"/>
      <c r="I113" s="221"/>
      <c r="J113" s="222"/>
      <c r="K113" s="211"/>
      <c r="L113" s="214"/>
      <c r="M113" s="188"/>
    </row>
    <row r="114" spans="1:13" ht="18" customHeight="1" x14ac:dyDescent="0.25">
      <c r="A114" s="188"/>
      <c r="B114" s="221"/>
      <c r="C114" s="221"/>
      <c r="D114" s="222"/>
      <c r="E114" s="211"/>
      <c r="F114" s="214"/>
      <c r="G114" s="216"/>
      <c r="H114" s="221"/>
      <c r="I114" s="221"/>
      <c r="J114" s="222"/>
      <c r="K114" s="211"/>
      <c r="L114" s="214"/>
      <c r="M114" s="188"/>
    </row>
    <row r="115" spans="1:13" ht="18" customHeight="1" x14ac:dyDescent="0.25">
      <c r="A115" s="188"/>
      <c r="B115" s="221"/>
      <c r="C115" s="221"/>
      <c r="D115" s="222"/>
      <c r="E115" s="211"/>
      <c r="F115" s="214"/>
      <c r="G115" s="216"/>
      <c r="H115" s="221"/>
      <c r="I115" s="221"/>
      <c r="J115" s="222"/>
      <c r="K115" s="211"/>
      <c r="L115" s="214"/>
      <c r="M115" s="188"/>
    </row>
    <row r="116" spans="1:13" ht="18" customHeight="1" x14ac:dyDescent="0.25">
      <c r="A116" s="188"/>
      <c r="B116" s="221"/>
      <c r="C116" s="221"/>
      <c r="D116" s="222"/>
      <c r="E116" s="211"/>
      <c r="F116" s="214"/>
      <c r="G116" s="216"/>
      <c r="H116" s="221"/>
      <c r="I116" s="221"/>
      <c r="J116" s="222"/>
      <c r="K116" s="211"/>
      <c r="L116" s="214"/>
      <c r="M116" s="188"/>
    </row>
    <row r="117" spans="1:13" ht="18" customHeight="1" x14ac:dyDescent="0.25">
      <c r="A117" s="188"/>
      <c r="B117" s="221"/>
      <c r="C117" s="221"/>
      <c r="D117" s="222"/>
      <c r="E117" s="211"/>
      <c r="F117" s="214"/>
      <c r="G117" s="216"/>
      <c r="H117" s="221"/>
      <c r="I117" s="221"/>
      <c r="J117" s="222"/>
      <c r="K117" s="211"/>
      <c r="L117" s="214"/>
      <c r="M117" s="188"/>
    </row>
    <row r="118" spans="1:13" ht="18" customHeight="1" x14ac:dyDescent="0.25">
      <c r="A118" s="188"/>
      <c r="B118" s="221"/>
      <c r="C118" s="221"/>
      <c r="D118" s="222"/>
      <c r="E118" s="211"/>
      <c r="F118" s="214"/>
      <c r="G118" s="216"/>
      <c r="H118" s="221"/>
      <c r="I118" s="221"/>
      <c r="J118" s="222"/>
      <c r="K118" s="211"/>
      <c r="L118" s="214"/>
      <c r="M118" s="188"/>
    </row>
    <row r="119" spans="1:13" ht="18" customHeight="1" x14ac:dyDescent="0.25">
      <c r="A119" s="188"/>
      <c r="B119" s="221"/>
      <c r="C119" s="221"/>
      <c r="D119" s="222"/>
      <c r="E119" s="211"/>
      <c r="F119" s="214"/>
      <c r="G119" s="216"/>
      <c r="H119" s="221"/>
      <c r="I119" s="221"/>
      <c r="J119" s="222"/>
      <c r="K119" s="211"/>
      <c r="L119" s="214"/>
      <c r="M119" s="188"/>
    </row>
    <row r="120" spans="1:13" ht="18" customHeight="1" x14ac:dyDescent="0.25">
      <c r="A120" s="188"/>
      <c r="B120" s="221"/>
      <c r="C120" s="221"/>
      <c r="D120" s="222"/>
      <c r="E120" s="211"/>
      <c r="F120" s="214"/>
      <c r="G120" s="216"/>
      <c r="H120" s="221"/>
      <c r="I120" s="221"/>
      <c r="J120" s="222"/>
      <c r="K120" s="211"/>
      <c r="L120" s="214"/>
      <c r="M120" s="188"/>
    </row>
    <row r="121" spans="1:13" ht="18" customHeight="1" x14ac:dyDescent="0.25">
      <c r="A121" s="188"/>
      <c r="B121" s="221"/>
      <c r="C121" s="221"/>
      <c r="D121" s="222"/>
      <c r="E121" s="211"/>
      <c r="F121" s="214"/>
      <c r="G121" s="216"/>
      <c r="H121" s="221"/>
      <c r="I121" s="221"/>
      <c r="J121" s="222"/>
      <c r="K121" s="211"/>
      <c r="L121" s="214"/>
      <c r="M121" s="188"/>
    </row>
    <row r="122" spans="1:13" ht="18" customHeight="1" x14ac:dyDescent="0.25">
      <c r="A122" s="188"/>
      <c r="B122" s="221"/>
      <c r="C122" s="221"/>
      <c r="D122" s="222"/>
      <c r="E122" s="211"/>
      <c r="F122" s="214"/>
      <c r="G122" s="216"/>
      <c r="H122" s="221"/>
      <c r="I122" s="221"/>
      <c r="J122" s="222"/>
      <c r="K122" s="211"/>
      <c r="L122" s="214"/>
      <c r="M122" s="188"/>
    </row>
    <row r="123" spans="1:13" ht="18" customHeight="1" x14ac:dyDescent="0.25">
      <c r="A123" s="188"/>
      <c r="B123" s="221"/>
      <c r="C123" s="221"/>
      <c r="D123" s="222"/>
      <c r="E123" s="211"/>
      <c r="F123" s="214"/>
      <c r="G123" s="216"/>
      <c r="H123" s="221"/>
      <c r="I123" s="221"/>
      <c r="J123" s="222"/>
      <c r="K123" s="211"/>
      <c r="L123" s="214"/>
      <c r="M123" s="188"/>
    </row>
    <row r="124" spans="1:13" ht="18" customHeight="1" x14ac:dyDescent="0.25">
      <c r="A124" s="188"/>
      <c r="B124" s="221"/>
      <c r="C124" s="221"/>
      <c r="D124" s="222"/>
      <c r="E124" s="211"/>
      <c r="F124" s="214"/>
      <c r="G124" s="216"/>
      <c r="H124" s="221"/>
      <c r="I124" s="221"/>
      <c r="J124" s="222"/>
      <c r="K124" s="211"/>
      <c r="L124" s="214"/>
      <c r="M124" s="188"/>
    </row>
    <row r="125" spans="1:13" ht="18" customHeight="1" x14ac:dyDescent="0.25">
      <c r="A125" s="188"/>
      <c r="B125" s="221"/>
      <c r="C125" s="221"/>
      <c r="D125" s="222"/>
      <c r="E125" s="211"/>
      <c r="F125" s="214"/>
      <c r="G125" s="216"/>
      <c r="H125" s="221"/>
      <c r="I125" s="221"/>
      <c r="J125" s="222"/>
      <c r="K125" s="211"/>
      <c r="L125" s="214"/>
      <c r="M125" s="188"/>
    </row>
    <row r="126" spans="1:13" ht="18" customHeight="1" x14ac:dyDescent="0.25">
      <c r="A126" s="188"/>
      <c r="B126" s="221"/>
      <c r="C126" s="221"/>
      <c r="D126" s="222"/>
      <c r="E126" s="211"/>
      <c r="F126" s="214"/>
      <c r="G126" s="216"/>
      <c r="H126" s="221"/>
      <c r="I126" s="221"/>
      <c r="J126" s="222"/>
      <c r="K126" s="211"/>
      <c r="L126" s="214"/>
      <c r="M126" s="188"/>
    </row>
    <row r="127" spans="1:13" ht="18" customHeight="1" x14ac:dyDescent="0.25">
      <c r="A127" s="188"/>
      <c r="B127" s="221"/>
      <c r="C127" s="221"/>
      <c r="D127" s="222"/>
      <c r="E127" s="211"/>
      <c r="F127" s="214"/>
      <c r="G127" s="216"/>
      <c r="H127" s="221"/>
      <c r="I127" s="221"/>
      <c r="J127" s="222"/>
      <c r="K127" s="211"/>
      <c r="L127" s="214"/>
      <c r="M127" s="188"/>
    </row>
    <row r="128" spans="1:13" ht="18" customHeight="1" x14ac:dyDescent="0.25">
      <c r="A128" s="188"/>
      <c r="B128" s="221"/>
      <c r="C128" s="221"/>
      <c r="D128" s="222"/>
      <c r="E128" s="211"/>
      <c r="F128" s="214"/>
      <c r="G128" s="216"/>
      <c r="H128" s="221"/>
      <c r="I128" s="221"/>
      <c r="J128" s="222"/>
      <c r="K128" s="211"/>
      <c r="L128" s="214"/>
      <c r="M128" s="188"/>
    </row>
    <row r="129" spans="1:13" ht="18" customHeight="1" x14ac:dyDescent="0.25">
      <c r="A129" s="188"/>
      <c r="B129" s="221"/>
      <c r="C129" s="221"/>
      <c r="D129" s="222"/>
      <c r="E129" s="211"/>
      <c r="F129" s="214"/>
      <c r="G129" s="216"/>
      <c r="H129" s="221"/>
      <c r="I129" s="221"/>
      <c r="J129" s="222"/>
      <c r="K129" s="211"/>
      <c r="L129" s="214"/>
      <c r="M129" s="188"/>
    </row>
    <row r="130" spans="1:13" ht="18" customHeight="1" x14ac:dyDescent="0.25">
      <c r="A130" s="188"/>
      <c r="B130" s="221"/>
      <c r="C130" s="221"/>
      <c r="D130" s="222"/>
      <c r="E130" s="211"/>
      <c r="F130" s="214"/>
      <c r="G130" s="216"/>
      <c r="H130" s="221"/>
      <c r="I130" s="221"/>
      <c r="J130" s="222"/>
      <c r="K130" s="211"/>
      <c r="L130" s="214"/>
      <c r="M130" s="188"/>
    </row>
    <row r="131" spans="1:13" ht="18" customHeight="1" x14ac:dyDescent="0.25">
      <c r="A131" s="188"/>
      <c r="B131" s="221"/>
      <c r="C131" s="221"/>
      <c r="D131" s="222"/>
      <c r="E131" s="211"/>
      <c r="F131" s="214"/>
      <c r="G131" s="216"/>
      <c r="H131" s="221"/>
      <c r="I131" s="221"/>
      <c r="J131" s="222"/>
      <c r="K131" s="211"/>
      <c r="L131" s="214"/>
      <c r="M131" s="188"/>
    </row>
    <row r="132" spans="1:13" ht="18" customHeight="1" x14ac:dyDescent="0.25">
      <c r="A132" s="188"/>
      <c r="B132" s="221"/>
      <c r="C132" s="221"/>
      <c r="D132" s="222"/>
      <c r="E132" s="211"/>
      <c r="F132" s="214"/>
      <c r="G132" s="216"/>
      <c r="H132" s="221"/>
      <c r="I132" s="221"/>
      <c r="J132" s="222"/>
      <c r="K132" s="211"/>
      <c r="L132" s="214"/>
      <c r="M132" s="188"/>
    </row>
    <row r="133" spans="1:13" ht="18" customHeight="1" x14ac:dyDescent="0.25">
      <c r="A133" s="188"/>
      <c r="B133" s="221"/>
      <c r="C133" s="221"/>
      <c r="D133" s="222"/>
      <c r="E133" s="211"/>
      <c r="F133" s="214"/>
      <c r="G133" s="216"/>
      <c r="H133" s="221"/>
      <c r="I133" s="221"/>
      <c r="J133" s="222"/>
      <c r="K133" s="211"/>
      <c r="L133" s="214"/>
      <c r="M133" s="188"/>
    </row>
    <row r="134" spans="1:13" ht="18" customHeight="1" x14ac:dyDescent="0.25">
      <c r="A134" s="188"/>
      <c r="B134" s="221"/>
      <c r="C134" s="221"/>
      <c r="D134" s="222"/>
      <c r="E134" s="211"/>
      <c r="F134" s="214"/>
      <c r="G134" s="216"/>
      <c r="H134" s="221"/>
      <c r="I134" s="221"/>
      <c r="J134" s="222"/>
      <c r="K134" s="211"/>
      <c r="L134" s="214"/>
      <c r="M134" s="188"/>
    </row>
    <row r="135" spans="1:13" ht="18" customHeight="1" x14ac:dyDescent="0.25">
      <c r="A135" s="188"/>
      <c r="B135" s="221"/>
      <c r="C135" s="221"/>
      <c r="D135" s="222"/>
      <c r="E135" s="211"/>
      <c r="F135" s="214"/>
      <c r="G135" s="216"/>
      <c r="H135" s="221"/>
      <c r="I135" s="221"/>
      <c r="J135" s="222"/>
      <c r="K135" s="211"/>
      <c r="L135" s="214"/>
      <c r="M135" s="188"/>
    </row>
    <row r="136" spans="1:13" ht="18" customHeight="1" x14ac:dyDescent="0.25">
      <c r="A136" s="188"/>
      <c r="B136" s="221"/>
      <c r="C136" s="221"/>
      <c r="D136" s="222"/>
      <c r="E136" s="211"/>
      <c r="F136" s="214"/>
      <c r="G136" s="216"/>
      <c r="H136" s="221"/>
      <c r="I136" s="221"/>
      <c r="J136" s="222"/>
      <c r="K136" s="211"/>
      <c r="L136" s="214"/>
      <c r="M136" s="188"/>
    </row>
    <row r="137" spans="1:13" ht="18" customHeight="1" x14ac:dyDescent="0.25">
      <c r="A137" s="188"/>
      <c r="B137" s="221"/>
      <c r="C137" s="221"/>
      <c r="D137" s="222"/>
      <c r="E137" s="211"/>
      <c r="F137" s="214"/>
      <c r="G137" s="216"/>
      <c r="H137" s="221"/>
      <c r="I137" s="221"/>
      <c r="J137" s="222"/>
      <c r="K137" s="211"/>
      <c r="L137" s="214"/>
      <c r="M137" s="188"/>
    </row>
    <row r="138" spans="1:13" ht="18" customHeight="1" x14ac:dyDescent="0.25">
      <c r="A138" s="188"/>
      <c r="B138" s="221"/>
      <c r="C138" s="221"/>
      <c r="D138" s="222"/>
      <c r="E138" s="211"/>
      <c r="F138" s="214"/>
      <c r="G138" s="216"/>
      <c r="H138" s="221"/>
      <c r="I138" s="221"/>
      <c r="J138" s="222"/>
      <c r="K138" s="211"/>
      <c r="L138" s="214"/>
      <c r="M138" s="188"/>
    </row>
    <row r="139" spans="1:13" ht="18" customHeight="1" x14ac:dyDescent="0.25">
      <c r="A139" s="188"/>
      <c r="B139" s="221"/>
      <c r="C139" s="221"/>
      <c r="D139" s="222"/>
      <c r="E139" s="211"/>
      <c r="F139" s="214"/>
      <c r="G139" s="216"/>
      <c r="H139" s="221"/>
      <c r="I139" s="221"/>
      <c r="J139" s="222"/>
      <c r="K139" s="211"/>
      <c r="L139" s="214"/>
      <c r="M139" s="188"/>
    </row>
    <row r="140" spans="1:13" ht="18" customHeight="1" x14ac:dyDescent="0.25">
      <c r="A140" s="188"/>
      <c r="B140" s="221"/>
      <c r="C140" s="221"/>
      <c r="D140" s="222"/>
      <c r="E140" s="211"/>
      <c r="F140" s="214"/>
      <c r="G140" s="216"/>
      <c r="H140" s="221"/>
      <c r="I140" s="221"/>
      <c r="J140" s="222"/>
      <c r="K140" s="211"/>
      <c r="L140" s="214"/>
      <c r="M140" s="188"/>
    </row>
    <row r="141" spans="1:13" ht="18" customHeight="1" x14ac:dyDescent="0.25">
      <c r="A141" s="188"/>
      <c r="B141" s="221"/>
      <c r="C141" s="221"/>
      <c r="D141" s="222"/>
      <c r="E141" s="211"/>
      <c r="F141" s="214"/>
      <c r="G141" s="216"/>
      <c r="H141" s="221"/>
      <c r="I141" s="221"/>
      <c r="J141" s="222"/>
      <c r="K141" s="211"/>
      <c r="L141" s="214"/>
      <c r="M141" s="188"/>
    </row>
    <row r="142" spans="1:13" ht="18" customHeight="1" x14ac:dyDescent="0.25">
      <c r="A142" s="188"/>
      <c r="B142" s="221"/>
      <c r="C142" s="221"/>
      <c r="D142" s="222"/>
      <c r="E142" s="211"/>
      <c r="F142" s="214"/>
      <c r="G142" s="216"/>
      <c r="H142" s="221"/>
      <c r="I142" s="221"/>
      <c r="J142" s="222"/>
      <c r="K142" s="211"/>
      <c r="L142" s="214"/>
      <c r="M142" s="188"/>
    </row>
    <row r="143" spans="1:13" ht="18" customHeight="1" x14ac:dyDescent="0.25">
      <c r="A143" s="188"/>
      <c r="B143" s="221"/>
      <c r="C143" s="221"/>
      <c r="D143" s="222"/>
      <c r="E143" s="211"/>
      <c r="F143" s="214"/>
      <c r="G143" s="216"/>
      <c r="H143" s="221"/>
      <c r="I143" s="221"/>
      <c r="J143" s="222"/>
      <c r="K143" s="211"/>
      <c r="L143" s="214"/>
      <c r="M143" s="188"/>
    </row>
    <row r="144" spans="1:13" ht="18" customHeight="1" x14ac:dyDescent="0.25">
      <c r="A144" s="188"/>
      <c r="B144" s="221"/>
      <c r="C144" s="221"/>
      <c r="D144" s="222"/>
      <c r="E144" s="211"/>
      <c r="F144" s="214"/>
      <c r="G144" s="216"/>
      <c r="H144" s="221"/>
      <c r="I144" s="221"/>
      <c r="J144" s="222"/>
      <c r="K144" s="211"/>
      <c r="L144" s="214"/>
      <c r="M144" s="188"/>
    </row>
    <row r="145" spans="1:13" ht="18" customHeight="1" x14ac:dyDescent="0.25">
      <c r="A145" s="188"/>
      <c r="B145" s="221"/>
      <c r="C145" s="221"/>
      <c r="D145" s="222"/>
      <c r="E145" s="211"/>
      <c r="F145" s="214"/>
      <c r="G145" s="216"/>
      <c r="H145" s="221"/>
      <c r="I145" s="221"/>
      <c r="J145" s="222"/>
      <c r="K145" s="211"/>
      <c r="L145" s="214"/>
      <c r="M145" s="188"/>
    </row>
    <row r="146" spans="1:13" ht="18" customHeight="1" x14ac:dyDescent="0.25">
      <c r="A146" s="188"/>
      <c r="B146" s="221"/>
      <c r="C146" s="221"/>
      <c r="D146" s="222"/>
      <c r="E146" s="211"/>
      <c r="F146" s="214"/>
      <c r="G146" s="216"/>
      <c r="H146" s="221"/>
      <c r="I146" s="221"/>
      <c r="J146" s="222"/>
      <c r="K146" s="211"/>
      <c r="L146" s="214"/>
      <c r="M146" s="188"/>
    </row>
    <row r="147" spans="1:13" ht="18" customHeight="1" x14ac:dyDescent="0.25">
      <c r="A147" s="188"/>
      <c r="B147" s="221"/>
      <c r="C147" s="221"/>
      <c r="D147" s="222"/>
      <c r="E147" s="211"/>
      <c r="F147" s="214"/>
      <c r="G147" s="216"/>
      <c r="H147" s="221"/>
      <c r="I147" s="221"/>
      <c r="J147" s="222"/>
      <c r="K147" s="211"/>
      <c r="L147" s="214"/>
      <c r="M147" s="188"/>
    </row>
    <row r="148" spans="1:13" ht="18" customHeight="1" x14ac:dyDescent="0.25">
      <c r="A148" s="188"/>
      <c r="B148" s="221"/>
      <c r="C148" s="221"/>
      <c r="D148" s="222"/>
      <c r="E148" s="211"/>
      <c r="F148" s="214"/>
      <c r="G148" s="216"/>
      <c r="H148" s="221"/>
      <c r="I148" s="221"/>
      <c r="J148" s="222"/>
      <c r="K148" s="211"/>
      <c r="L148" s="214"/>
      <c r="M148" s="188"/>
    </row>
    <row r="149" spans="1:13" ht="18" customHeight="1" x14ac:dyDescent="0.25">
      <c r="A149" s="188"/>
      <c r="B149" s="221"/>
      <c r="C149" s="221"/>
      <c r="D149" s="222"/>
      <c r="E149" s="211"/>
      <c r="F149" s="214"/>
      <c r="G149" s="216"/>
      <c r="H149" s="221"/>
      <c r="I149" s="221"/>
      <c r="J149" s="222"/>
      <c r="K149" s="211"/>
      <c r="L149" s="214"/>
      <c r="M149" s="188"/>
    </row>
    <row r="150" spans="1:13" ht="18" customHeight="1" x14ac:dyDescent="0.25">
      <c r="A150" s="188"/>
      <c r="B150" s="221"/>
      <c r="C150" s="221"/>
      <c r="D150" s="222"/>
      <c r="E150" s="211"/>
      <c r="F150" s="214"/>
      <c r="G150" s="216"/>
      <c r="H150" s="221"/>
      <c r="I150" s="221"/>
      <c r="J150" s="222"/>
      <c r="K150" s="211"/>
      <c r="L150" s="214"/>
      <c r="M150" s="188"/>
    </row>
    <row r="151" spans="1:13" ht="18" customHeight="1" x14ac:dyDescent="0.25">
      <c r="A151" s="188"/>
      <c r="B151" s="221"/>
      <c r="C151" s="221"/>
      <c r="D151" s="222"/>
      <c r="E151" s="211"/>
      <c r="F151" s="214"/>
      <c r="G151" s="216"/>
      <c r="H151" s="221"/>
      <c r="I151" s="221"/>
      <c r="J151" s="222"/>
      <c r="K151" s="211"/>
      <c r="L151" s="214"/>
      <c r="M151" s="188"/>
    </row>
    <row r="152" spans="1:13" ht="18" customHeight="1" x14ac:dyDescent="0.25">
      <c r="A152" s="188"/>
      <c r="B152" s="221"/>
      <c r="C152" s="221"/>
      <c r="D152" s="222"/>
      <c r="E152" s="211"/>
      <c r="F152" s="214"/>
      <c r="G152" s="216"/>
      <c r="H152" s="221"/>
      <c r="I152" s="221"/>
      <c r="J152" s="222"/>
      <c r="K152" s="211"/>
      <c r="L152" s="214"/>
      <c r="M152" s="188"/>
    </row>
    <row r="153" spans="1:13" ht="18" customHeight="1" x14ac:dyDescent="0.25">
      <c r="A153" s="188"/>
      <c r="B153" s="221"/>
      <c r="C153" s="221"/>
      <c r="D153" s="222"/>
      <c r="E153" s="211"/>
      <c r="F153" s="214"/>
      <c r="G153" s="216"/>
      <c r="H153" s="221"/>
      <c r="I153" s="221"/>
      <c r="J153" s="222"/>
      <c r="K153" s="211"/>
      <c r="L153" s="214"/>
      <c r="M153" s="188"/>
    </row>
    <row r="154" spans="1:13" ht="18" customHeight="1" x14ac:dyDescent="0.25">
      <c r="A154" s="188"/>
      <c r="B154" s="221"/>
      <c r="C154" s="221"/>
      <c r="D154" s="222"/>
      <c r="E154" s="211"/>
      <c r="F154" s="214"/>
      <c r="G154" s="216"/>
      <c r="H154" s="221"/>
      <c r="I154" s="221"/>
      <c r="J154" s="222"/>
      <c r="K154" s="211"/>
      <c r="L154" s="214"/>
      <c r="M154" s="188"/>
    </row>
    <row r="155" spans="1:13" ht="18" customHeight="1" x14ac:dyDescent="0.25">
      <c r="A155" s="188"/>
      <c r="B155" s="221"/>
      <c r="C155" s="221"/>
      <c r="D155" s="222"/>
      <c r="E155" s="211"/>
      <c r="F155" s="214"/>
      <c r="G155" s="216"/>
      <c r="H155" s="221"/>
      <c r="I155" s="221"/>
      <c r="J155" s="222"/>
      <c r="K155" s="211"/>
      <c r="L155" s="214"/>
      <c r="M155" s="188"/>
    </row>
    <row r="156" spans="1:13" ht="18" customHeight="1" x14ac:dyDescent="0.25">
      <c r="A156" s="188"/>
      <c r="B156" s="221"/>
      <c r="C156" s="221"/>
      <c r="D156" s="222"/>
      <c r="E156" s="211"/>
      <c r="F156" s="214"/>
      <c r="G156" s="216"/>
      <c r="H156" s="221"/>
      <c r="I156" s="221"/>
      <c r="J156" s="222"/>
      <c r="K156" s="211"/>
      <c r="L156" s="214"/>
      <c r="M156" s="188"/>
    </row>
    <row r="157" spans="1:13" ht="18" customHeight="1" x14ac:dyDescent="0.25">
      <c r="A157" s="188"/>
      <c r="B157" s="221"/>
      <c r="C157" s="221"/>
      <c r="D157" s="222"/>
      <c r="E157" s="211"/>
      <c r="F157" s="214"/>
      <c r="G157" s="216"/>
      <c r="H157" s="221"/>
      <c r="I157" s="221"/>
      <c r="J157" s="222"/>
      <c r="K157" s="211"/>
      <c r="L157" s="214"/>
      <c r="M157" s="188"/>
    </row>
    <row r="158" spans="1:13" ht="18" customHeight="1" x14ac:dyDescent="0.25">
      <c r="A158" s="188"/>
      <c r="B158" s="221"/>
      <c r="C158" s="221"/>
      <c r="D158" s="222"/>
      <c r="E158" s="211"/>
      <c r="F158" s="214"/>
      <c r="G158" s="216"/>
      <c r="H158" s="221"/>
      <c r="I158" s="221"/>
      <c r="J158" s="222"/>
      <c r="K158" s="211"/>
      <c r="L158" s="214"/>
      <c r="M158" s="188"/>
    </row>
    <row r="159" spans="1:13" ht="18" customHeight="1" x14ac:dyDescent="0.25">
      <c r="A159" s="188"/>
      <c r="B159" s="221"/>
      <c r="C159" s="221"/>
      <c r="D159" s="222"/>
      <c r="E159" s="211"/>
      <c r="F159" s="214"/>
      <c r="G159" s="216"/>
      <c r="H159" s="221"/>
      <c r="I159" s="221"/>
      <c r="J159" s="222"/>
      <c r="K159" s="211"/>
      <c r="L159" s="214"/>
      <c r="M159" s="188"/>
    </row>
    <row r="160" spans="1:13" ht="18" customHeight="1" x14ac:dyDescent="0.25">
      <c r="A160" s="188"/>
      <c r="B160" s="221"/>
      <c r="C160" s="221"/>
      <c r="D160" s="222"/>
      <c r="E160" s="211"/>
      <c r="F160" s="214"/>
      <c r="G160" s="216"/>
      <c r="H160" s="221"/>
      <c r="I160" s="221"/>
      <c r="J160" s="222"/>
      <c r="K160" s="211"/>
      <c r="L160" s="214"/>
      <c r="M160" s="188"/>
    </row>
    <row r="161" spans="1:13" ht="18" customHeight="1" x14ac:dyDescent="0.25">
      <c r="A161" s="188"/>
      <c r="B161" s="221"/>
      <c r="C161" s="221"/>
      <c r="D161" s="222"/>
      <c r="E161" s="211"/>
      <c r="F161" s="214"/>
      <c r="G161" s="216"/>
      <c r="H161" s="221"/>
      <c r="I161" s="221"/>
      <c r="J161" s="222"/>
      <c r="K161" s="211"/>
      <c r="L161" s="214"/>
      <c r="M161" s="188"/>
    </row>
    <row r="162" spans="1:13" ht="18" customHeight="1" x14ac:dyDescent="0.25">
      <c r="A162" s="188"/>
      <c r="B162" s="221"/>
      <c r="C162" s="221"/>
      <c r="D162" s="222"/>
      <c r="E162" s="211"/>
      <c r="F162" s="214"/>
      <c r="G162" s="216"/>
      <c r="H162" s="221"/>
      <c r="I162" s="221"/>
      <c r="J162" s="222"/>
      <c r="K162" s="211"/>
      <c r="L162" s="214"/>
      <c r="M162" s="188"/>
    </row>
    <row r="163" spans="1:13" ht="18" customHeight="1" x14ac:dyDescent="0.25">
      <c r="A163" s="188"/>
      <c r="B163" s="221"/>
      <c r="C163" s="221"/>
      <c r="D163" s="222"/>
      <c r="E163" s="211"/>
      <c r="F163" s="214"/>
      <c r="G163" s="216"/>
      <c r="H163" s="221"/>
      <c r="I163" s="221"/>
      <c r="J163" s="222"/>
      <c r="K163" s="211"/>
      <c r="L163" s="214"/>
      <c r="M163" s="188"/>
    </row>
    <row r="164" spans="1:13" ht="18" customHeight="1" x14ac:dyDescent="0.25">
      <c r="A164" s="188"/>
      <c r="B164" s="221"/>
      <c r="C164" s="221"/>
      <c r="D164" s="222"/>
      <c r="E164" s="211"/>
      <c r="F164" s="214"/>
      <c r="G164" s="216"/>
      <c r="H164" s="221"/>
      <c r="I164" s="221"/>
      <c r="J164" s="222"/>
      <c r="K164" s="211"/>
      <c r="L164" s="214"/>
      <c r="M164" s="188"/>
    </row>
    <row r="165" spans="1:13" ht="18" customHeight="1" x14ac:dyDescent="0.25">
      <c r="A165" s="188"/>
      <c r="B165" s="221"/>
      <c r="C165" s="221"/>
      <c r="D165" s="222"/>
      <c r="E165" s="211"/>
      <c r="F165" s="214"/>
      <c r="G165" s="216"/>
      <c r="H165" s="221"/>
      <c r="I165" s="221"/>
      <c r="J165" s="222"/>
      <c r="K165" s="211"/>
      <c r="L165" s="214"/>
      <c r="M165" s="188"/>
    </row>
    <row r="166" spans="1:13" ht="18" customHeight="1" x14ac:dyDescent="0.25">
      <c r="A166" s="188"/>
      <c r="B166" s="221"/>
      <c r="C166" s="221"/>
      <c r="D166" s="222"/>
      <c r="E166" s="211"/>
      <c r="F166" s="214"/>
      <c r="G166" s="216"/>
      <c r="H166" s="221"/>
      <c r="I166" s="221"/>
      <c r="J166" s="222"/>
      <c r="K166" s="211"/>
      <c r="L166" s="214"/>
      <c r="M166" s="188"/>
    </row>
    <row r="167" spans="1:13" ht="18" customHeight="1" x14ac:dyDescent="0.25">
      <c r="A167" s="188"/>
      <c r="B167" s="221"/>
      <c r="C167" s="221"/>
      <c r="D167" s="222"/>
      <c r="E167" s="211"/>
      <c r="F167" s="214"/>
      <c r="G167" s="216"/>
      <c r="H167" s="221"/>
      <c r="I167" s="221"/>
      <c r="J167" s="222"/>
      <c r="K167" s="211"/>
      <c r="L167" s="214"/>
      <c r="M167" s="188"/>
    </row>
    <row r="168" spans="1:13" ht="18" customHeight="1" x14ac:dyDescent="0.25">
      <c r="A168" s="188"/>
      <c r="B168" s="221"/>
      <c r="C168" s="221"/>
      <c r="D168" s="222"/>
      <c r="E168" s="211"/>
      <c r="F168" s="214"/>
      <c r="G168" s="216"/>
      <c r="H168" s="221"/>
      <c r="I168" s="221"/>
      <c r="J168" s="222"/>
      <c r="K168" s="211"/>
      <c r="L168" s="214"/>
      <c r="M168" s="188"/>
    </row>
    <row r="169" spans="1:13" ht="18" customHeight="1" x14ac:dyDescent="0.25">
      <c r="A169" s="188"/>
      <c r="B169" s="221"/>
      <c r="C169" s="221"/>
      <c r="D169" s="222"/>
      <c r="E169" s="211"/>
      <c r="F169" s="214"/>
      <c r="G169" s="216"/>
      <c r="H169" s="221"/>
      <c r="I169" s="221"/>
      <c r="J169" s="222"/>
      <c r="K169" s="211"/>
      <c r="L169" s="214"/>
      <c r="M169" s="188"/>
    </row>
    <row r="170" spans="1:13" ht="18" customHeight="1" x14ac:dyDescent="0.25">
      <c r="A170" s="188"/>
      <c r="B170" s="221"/>
      <c r="C170" s="221"/>
      <c r="D170" s="222"/>
      <c r="E170" s="211"/>
      <c r="F170" s="214"/>
      <c r="G170" s="216"/>
      <c r="H170" s="221"/>
      <c r="I170" s="221"/>
      <c r="J170" s="222"/>
      <c r="K170" s="211"/>
      <c r="L170" s="214"/>
      <c r="M170" s="188"/>
    </row>
    <row r="171" spans="1:13" ht="18" customHeight="1" x14ac:dyDescent="0.25">
      <c r="A171" s="188"/>
      <c r="B171" s="221"/>
      <c r="C171" s="221"/>
      <c r="D171" s="222"/>
      <c r="E171" s="211"/>
      <c r="F171" s="214"/>
      <c r="G171" s="216"/>
      <c r="H171" s="221"/>
      <c r="I171" s="221"/>
      <c r="J171" s="222"/>
      <c r="K171" s="211"/>
      <c r="L171" s="214"/>
      <c r="M171" s="188"/>
    </row>
    <row r="172" spans="1:13" ht="18" customHeight="1" x14ac:dyDescent="0.25">
      <c r="A172" s="188"/>
      <c r="B172" s="221"/>
      <c r="C172" s="221"/>
      <c r="D172" s="222"/>
      <c r="E172" s="211"/>
      <c r="F172" s="214"/>
      <c r="G172" s="216"/>
      <c r="H172" s="221"/>
      <c r="I172" s="221"/>
      <c r="J172" s="222"/>
      <c r="K172" s="211"/>
      <c r="L172" s="214"/>
      <c r="M172" s="188"/>
    </row>
    <row r="173" spans="1:13" ht="18" customHeight="1" x14ac:dyDescent="0.25">
      <c r="A173" s="188"/>
      <c r="B173" s="221"/>
      <c r="C173" s="221"/>
      <c r="D173" s="222"/>
      <c r="E173" s="211"/>
      <c r="F173" s="214"/>
      <c r="G173" s="216"/>
      <c r="H173" s="221"/>
      <c r="I173" s="221"/>
      <c r="J173" s="222"/>
      <c r="K173" s="211"/>
      <c r="L173" s="214"/>
      <c r="M173" s="188"/>
    </row>
    <row r="174" spans="1:13" ht="18" customHeight="1" x14ac:dyDescent="0.25">
      <c r="A174" s="188"/>
      <c r="B174" s="221"/>
      <c r="C174" s="221"/>
      <c r="D174" s="222"/>
      <c r="E174" s="211"/>
      <c r="F174" s="214"/>
      <c r="G174" s="216"/>
      <c r="H174" s="221"/>
      <c r="I174" s="221"/>
      <c r="J174" s="222"/>
      <c r="K174" s="211"/>
      <c r="L174" s="214"/>
      <c r="M174" s="188"/>
    </row>
    <row r="175" spans="1:13" ht="18" customHeight="1" x14ac:dyDescent="0.25">
      <c r="A175" s="188"/>
      <c r="B175" s="221"/>
      <c r="C175" s="221"/>
      <c r="D175" s="222"/>
      <c r="E175" s="211"/>
      <c r="F175" s="214"/>
      <c r="G175" s="216"/>
      <c r="H175" s="221"/>
      <c r="I175" s="221"/>
      <c r="J175" s="222"/>
      <c r="K175" s="211"/>
      <c r="L175" s="214"/>
      <c r="M175" s="188"/>
    </row>
    <row r="176" spans="1:13" ht="18" customHeight="1" x14ac:dyDescent="0.25">
      <c r="A176" s="188"/>
      <c r="B176" s="221"/>
      <c r="C176" s="221"/>
      <c r="D176" s="222"/>
      <c r="E176" s="211"/>
      <c r="F176" s="214"/>
      <c r="G176" s="216"/>
      <c r="H176" s="221"/>
      <c r="I176" s="221"/>
      <c r="J176" s="222"/>
      <c r="K176" s="211"/>
      <c r="L176" s="214"/>
      <c r="M176" s="188"/>
    </row>
    <row r="177" spans="1:13" ht="18" customHeight="1" x14ac:dyDescent="0.25">
      <c r="A177" s="188"/>
      <c r="B177" s="221"/>
      <c r="C177" s="221"/>
      <c r="D177" s="222"/>
      <c r="E177" s="211"/>
      <c r="F177" s="214"/>
      <c r="G177" s="216"/>
      <c r="H177" s="221"/>
      <c r="I177" s="221"/>
      <c r="J177" s="222"/>
      <c r="K177" s="211"/>
      <c r="L177" s="214"/>
      <c r="M177" s="188"/>
    </row>
    <row r="178" spans="1:13" ht="18" customHeight="1" x14ac:dyDescent="0.25">
      <c r="A178" s="188"/>
      <c r="B178" s="221"/>
      <c r="C178" s="221"/>
      <c r="D178" s="222"/>
      <c r="E178" s="211"/>
      <c r="F178" s="214"/>
      <c r="G178" s="216"/>
      <c r="H178" s="221"/>
      <c r="I178" s="221"/>
      <c r="J178" s="222"/>
      <c r="K178" s="211"/>
      <c r="L178" s="214"/>
      <c r="M178" s="188"/>
    </row>
    <row r="179" spans="1:13" ht="18" customHeight="1" x14ac:dyDescent="0.25">
      <c r="A179" s="188"/>
      <c r="B179" s="221"/>
      <c r="C179" s="221"/>
      <c r="D179" s="222"/>
      <c r="E179" s="211"/>
      <c r="F179" s="214"/>
      <c r="G179" s="216"/>
      <c r="H179" s="221"/>
      <c r="I179" s="221"/>
      <c r="J179" s="222"/>
      <c r="K179" s="211"/>
      <c r="L179" s="214"/>
      <c r="M179" s="188"/>
    </row>
    <row r="180" spans="1:13" ht="18" customHeight="1" x14ac:dyDescent="0.25">
      <c r="A180" s="188"/>
      <c r="B180" s="221"/>
      <c r="C180" s="221"/>
      <c r="D180" s="222"/>
      <c r="E180" s="211"/>
      <c r="F180" s="214"/>
      <c r="G180" s="216"/>
      <c r="H180" s="221"/>
      <c r="I180" s="221"/>
      <c r="J180" s="222"/>
      <c r="K180" s="211"/>
      <c r="L180" s="214"/>
      <c r="M180" s="188"/>
    </row>
    <row r="181" spans="1:13" ht="18" customHeight="1" x14ac:dyDescent="0.25">
      <c r="A181" s="188"/>
      <c r="B181" s="221"/>
      <c r="C181" s="221"/>
      <c r="D181" s="222"/>
      <c r="E181" s="211"/>
      <c r="F181" s="214"/>
      <c r="G181" s="216"/>
      <c r="H181" s="221"/>
      <c r="I181" s="221"/>
      <c r="J181" s="222"/>
      <c r="K181" s="211"/>
      <c r="L181" s="214"/>
      <c r="M181" s="188"/>
    </row>
    <row r="182" spans="1:13" ht="18" customHeight="1" x14ac:dyDescent="0.25">
      <c r="A182" s="188"/>
      <c r="B182" s="221"/>
      <c r="C182" s="221"/>
      <c r="D182" s="222"/>
      <c r="E182" s="211"/>
      <c r="F182" s="214"/>
      <c r="G182" s="216"/>
      <c r="H182" s="221"/>
      <c r="I182" s="221"/>
      <c r="J182" s="222"/>
      <c r="K182" s="211"/>
      <c r="L182" s="214"/>
      <c r="M182" s="188"/>
    </row>
    <row r="183" spans="1:13" ht="18" customHeight="1" x14ac:dyDescent="0.25">
      <c r="A183" s="188"/>
      <c r="B183" s="221"/>
      <c r="C183" s="221"/>
      <c r="D183" s="222"/>
      <c r="E183" s="211"/>
      <c r="F183" s="214"/>
      <c r="G183" s="216"/>
      <c r="H183" s="221"/>
      <c r="I183" s="221"/>
      <c r="J183" s="222"/>
      <c r="K183" s="211"/>
      <c r="L183" s="214"/>
      <c r="M183" s="188"/>
    </row>
    <row r="184" spans="1:13" ht="18" customHeight="1" x14ac:dyDescent="0.25">
      <c r="A184" s="188"/>
      <c r="B184" s="221"/>
      <c r="C184" s="221"/>
      <c r="D184" s="222"/>
      <c r="E184" s="211"/>
      <c r="F184" s="214"/>
      <c r="G184" s="216"/>
      <c r="H184" s="221"/>
      <c r="I184" s="221"/>
      <c r="J184" s="222"/>
      <c r="K184" s="211"/>
      <c r="L184" s="214"/>
      <c r="M184" s="188"/>
    </row>
    <row r="185" spans="1:13" ht="18" customHeight="1" x14ac:dyDescent="0.25">
      <c r="A185" s="188"/>
      <c r="B185" s="221"/>
      <c r="C185" s="221"/>
      <c r="D185" s="222"/>
      <c r="E185" s="211"/>
      <c r="F185" s="214"/>
      <c r="G185" s="216"/>
      <c r="H185" s="221"/>
      <c r="I185" s="221"/>
      <c r="J185" s="222"/>
      <c r="K185" s="211"/>
      <c r="L185" s="214"/>
      <c r="M185" s="188"/>
    </row>
    <row r="186" spans="1:13" ht="18" customHeight="1" x14ac:dyDescent="0.25">
      <c r="A186" s="188"/>
      <c r="B186" s="221"/>
      <c r="C186" s="221"/>
      <c r="D186" s="222"/>
      <c r="E186" s="211"/>
      <c r="F186" s="214"/>
      <c r="G186" s="216"/>
      <c r="H186" s="221"/>
      <c r="I186" s="221"/>
      <c r="J186" s="222"/>
      <c r="K186" s="211"/>
      <c r="L186" s="214"/>
      <c r="M186" s="188"/>
    </row>
    <row r="187" spans="1:13" ht="18" customHeight="1" x14ac:dyDescent="0.25">
      <c r="A187" s="188"/>
      <c r="B187" s="221"/>
      <c r="C187" s="221"/>
      <c r="D187" s="222"/>
      <c r="E187" s="211"/>
      <c r="F187" s="214"/>
      <c r="G187" s="216"/>
      <c r="H187" s="221"/>
      <c r="I187" s="221"/>
      <c r="J187" s="222"/>
      <c r="K187" s="211"/>
      <c r="L187" s="214"/>
      <c r="M187" s="188"/>
    </row>
    <row r="188" spans="1:13" ht="18" customHeight="1" x14ac:dyDescent="0.25">
      <c r="A188" s="188"/>
      <c r="B188" s="221"/>
      <c r="C188" s="221"/>
      <c r="D188" s="222"/>
      <c r="E188" s="211"/>
      <c r="F188" s="214"/>
      <c r="G188" s="216"/>
      <c r="H188" s="221"/>
      <c r="I188" s="221"/>
      <c r="J188" s="222"/>
      <c r="K188" s="211"/>
      <c r="L188" s="214"/>
      <c r="M188" s="188"/>
    </row>
    <row r="189" spans="1:13" ht="18" customHeight="1" x14ac:dyDescent="0.25">
      <c r="A189" s="188"/>
      <c r="B189" s="221"/>
      <c r="C189" s="221"/>
      <c r="D189" s="222"/>
      <c r="E189" s="211"/>
      <c r="F189" s="214"/>
      <c r="G189" s="216"/>
      <c r="H189" s="221"/>
      <c r="I189" s="221"/>
      <c r="J189" s="222"/>
      <c r="K189" s="211"/>
      <c r="L189" s="214"/>
      <c r="M189" s="188"/>
    </row>
    <row r="190" spans="1:13" ht="18" customHeight="1" x14ac:dyDescent="0.25">
      <c r="A190" s="188"/>
      <c r="B190" s="221"/>
      <c r="C190" s="221"/>
      <c r="D190" s="222"/>
      <c r="E190" s="211"/>
      <c r="F190" s="214"/>
      <c r="G190" s="216"/>
      <c r="H190" s="221"/>
      <c r="I190" s="221"/>
      <c r="J190" s="222"/>
      <c r="K190" s="211"/>
      <c r="L190" s="214"/>
      <c r="M190" s="188"/>
    </row>
    <row r="191" spans="1:13" ht="18" customHeight="1" x14ac:dyDescent="0.25">
      <c r="A191" s="188"/>
      <c r="B191" s="221"/>
      <c r="C191" s="221"/>
      <c r="D191" s="222"/>
      <c r="E191" s="211"/>
      <c r="F191" s="214"/>
      <c r="G191" s="216"/>
      <c r="H191" s="221"/>
      <c r="I191" s="221"/>
      <c r="J191" s="222"/>
      <c r="K191" s="211"/>
      <c r="L191" s="214"/>
      <c r="M191" s="188"/>
    </row>
    <row r="192" spans="1:13" ht="18" customHeight="1" x14ac:dyDescent="0.25">
      <c r="A192" s="188"/>
      <c r="B192" s="221"/>
      <c r="C192" s="221"/>
      <c r="D192" s="222"/>
      <c r="E192" s="211"/>
      <c r="F192" s="214"/>
      <c r="G192" s="216"/>
      <c r="H192" s="221"/>
      <c r="I192" s="221"/>
      <c r="J192" s="222"/>
      <c r="K192" s="211"/>
      <c r="L192" s="214"/>
      <c r="M192" s="188"/>
    </row>
    <row r="193" spans="1:13" ht="18" customHeight="1" x14ac:dyDescent="0.25">
      <c r="A193" s="188"/>
      <c r="B193" s="221"/>
      <c r="C193" s="221"/>
      <c r="D193" s="222"/>
      <c r="E193" s="211"/>
      <c r="F193" s="214"/>
      <c r="G193" s="216"/>
      <c r="H193" s="221"/>
      <c r="I193" s="221"/>
      <c r="J193" s="222"/>
      <c r="K193" s="211"/>
      <c r="L193" s="214"/>
      <c r="M193" s="188"/>
    </row>
    <row r="194" spans="1:13" ht="18" customHeight="1" x14ac:dyDescent="0.25">
      <c r="A194" s="188"/>
      <c r="B194" s="221"/>
      <c r="C194" s="221"/>
      <c r="D194" s="222"/>
      <c r="E194" s="211"/>
      <c r="F194" s="214"/>
      <c r="G194" s="216"/>
      <c r="H194" s="221"/>
      <c r="I194" s="221"/>
      <c r="J194" s="222"/>
      <c r="K194" s="211"/>
      <c r="L194" s="214"/>
      <c r="M194" s="188"/>
    </row>
    <row r="195" spans="1:13" ht="18" customHeight="1" x14ac:dyDescent="0.25">
      <c r="A195" s="188"/>
      <c r="B195" s="221"/>
      <c r="C195" s="221"/>
      <c r="D195" s="222"/>
      <c r="E195" s="211"/>
      <c r="F195" s="214"/>
      <c r="G195" s="216"/>
      <c r="H195" s="221"/>
      <c r="I195" s="221"/>
      <c r="J195" s="222"/>
      <c r="K195" s="211"/>
      <c r="L195" s="214"/>
      <c r="M195" s="188"/>
    </row>
    <row r="196" spans="1:13" ht="18" customHeight="1" x14ac:dyDescent="0.25">
      <c r="A196" s="188"/>
      <c r="B196" s="221"/>
      <c r="C196" s="221"/>
      <c r="D196" s="222"/>
      <c r="E196" s="211"/>
      <c r="F196" s="214"/>
      <c r="G196" s="216"/>
      <c r="H196" s="221"/>
      <c r="I196" s="221"/>
      <c r="J196" s="222"/>
      <c r="K196" s="211"/>
      <c r="L196" s="214"/>
      <c r="M196" s="188"/>
    </row>
    <row r="197" spans="1:13" ht="18" customHeight="1" x14ac:dyDescent="0.25">
      <c r="A197" s="188"/>
      <c r="B197" s="221"/>
      <c r="C197" s="221"/>
      <c r="D197" s="222"/>
      <c r="E197" s="211"/>
      <c r="F197" s="214"/>
      <c r="G197" s="216"/>
      <c r="H197" s="221"/>
      <c r="I197" s="221"/>
      <c r="J197" s="222"/>
      <c r="K197" s="211"/>
      <c r="L197" s="214"/>
      <c r="M197" s="188"/>
    </row>
    <row r="198" spans="1:13" ht="18" customHeight="1" x14ac:dyDescent="0.25">
      <c r="A198" s="188"/>
      <c r="B198" s="221"/>
      <c r="C198" s="221"/>
      <c r="D198" s="222"/>
      <c r="E198" s="211"/>
      <c r="F198" s="214"/>
      <c r="G198" s="216"/>
      <c r="H198" s="221"/>
      <c r="I198" s="221"/>
      <c r="J198" s="222"/>
      <c r="K198" s="211"/>
      <c r="L198" s="214"/>
      <c r="M198" s="188"/>
    </row>
    <row r="199" spans="1:13" ht="18" customHeight="1" x14ac:dyDescent="0.25">
      <c r="A199" s="188"/>
      <c r="B199" s="221"/>
      <c r="C199" s="221"/>
      <c r="D199" s="222"/>
      <c r="E199" s="211"/>
      <c r="F199" s="214"/>
      <c r="G199" s="216"/>
      <c r="H199" s="221"/>
      <c r="I199" s="221"/>
      <c r="J199" s="222"/>
      <c r="K199" s="211"/>
      <c r="L199" s="214"/>
      <c r="M199" s="188"/>
    </row>
    <row r="200" spans="1:13" ht="18" customHeight="1" x14ac:dyDescent="0.25">
      <c r="A200" s="188"/>
      <c r="B200" s="221"/>
      <c r="C200" s="221"/>
      <c r="D200" s="222"/>
      <c r="E200" s="211"/>
      <c r="F200" s="214"/>
      <c r="G200" s="216"/>
      <c r="H200" s="221"/>
      <c r="I200" s="221"/>
      <c r="J200" s="222"/>
      <c r="K200" s="211"/>
      <c r="L200" s="214"/>
      <c r="M200" s="188"/>
    </row>
    <row r="201" spans="1:13" ht="18" customHeight="1" x14ac:dyDescent="0.25">
      <c r="A201" s="188"/>
      <c r="B201" s="221"/>
      <c r="C201" s="221"/>
      <c r="D201" s="222"/>
      <c r="E201" s="211"/>
      <c r="F201" s="214"/>
      <c r="G201" s="216"/>
      <c r="H201" s="221"/>
      <c r="I201" s="221"/>
      <c r="J201" s="222"/>
      <c r="K201" s="211"/>
      <c r="L201" s="214"/>
      <c r="M201" s="188"/>
    </row>
    <row r="202" spans="1:13" ht="18" customHeight="1" x14ac:dyDescent="0.25">
      <c r="A202" s="188"/>
      <c r="B202" s="221"/>
      <c r="C202" s="221"/>
      <c r="D202" s="222"/>
      <c r="E202" s="211"/>
      <c r="F202" s="214"/>
      <c r="G202" s="216"/>
      <c r="H202" s="221"/>
      <c r="I202" s="221"/>
      <c r="J202" s="222"/>
      <c r="K202" s="211"/>
      <c r="L202" s="214"/>
      <c r="M202" s="188"/>
    </row>
    <row r="203" spans="1:13" ht="18" customHeight="1" x14ac:dyDescent="0.25">
      <c r="A203" s="188"/>
      <c r="B203" s="221"/>
      <c r="C203" s="221"/>
      <c r="D203" s="222"/>
      <c r="E203" s="211"/>
      <c r="F203" s="214"/>
      <c r="G203" s="216"/>
      <c r="H203" s="221"/>
      <c r="I203" s="221"/>
      <c r="J203" s="222"/>
      <c r="K203" s="211"/>
      <c r="L203" s="214"/>
      <c r="M203" s="188"/>
    </row>
    <row r="204" spans="1:13" ht="18" customHeight="1" x14ac:dyDescent="0.25">
      <c r="A204" s="188"/>
      <c r="B204" s="221"/>
      <c r="C204" s="221"/>
      <c r="D204" s="222"/>
      <c r="E204" s="211"/>
      <c r="F204" s="214"/>
      <c r="G204" s="216"/>
      <c r="H204" s="221"/>
      <c r="I204" s="221"/>
      <c r="J204" s="222"/>
      <c r="K204" s="211"/>
      <c r="L204" s="214"/>
      <c r="M204" s="188"/>
    </row>
    <row r="205" spans="1:13" ht="18" customHeight="1" x14ac:dyDescent="0.25">
      <c r="A205" s="188"/>
      <c r="B205" s="221"/>
      <c r="C205" s="221"/>
      <c r="D205" s="222"/>
      <c r="E205" s="211"/>
      <c r="F205" s="214"/>
      <c r="G205" s="216"/>
      <c r="H205" s="221"/>
      <c r="I205" s="221"/>
      <c r="J205" s="222"/>
      <c r="K205" s="211"/>
      <c r="L205" s="214"/>
      <c r="M205" s="188"/>
    </row>
    <row r="206" spans="1:13" ht="18" customHeight="1" x14ac:dyDescent="0.25">
      <c r="A206" s="188"/>
      <c r="B206" s="221"/>
      <c r="C206" s="221"/>
      <c r="D206" s="222"/>
      <c r="E206" s="211"/>
      <c r="F206" s="214"/>
      <c r="G206" s="216"/>
      <c r="H206" s="221"/>
      <c r="I206" s="221"/>
      <c r="J206" s="222"/>
      <c r="K206" s="211"/>
      <c r="L206" s="214"/>
      <c r="M206" s="188"/>
    </row>
    <row r="207" spans="1:13" ht="18" customHeight="1" x14ac:dyDescent="0.25">
      <c r="A207" s="188"/>
      <c r="B207" s="221"/>
      <c r="C207" s="221"/>
      <c r="D207" s="222"/>
      <c r="E207" s="211"/>
      <c r="F207" s="214"/>
      <c r="G207" s="216"/>
      <c r="H207" s="221"/>
      <c r="I207" s="221"/>
      <c r="J207" s="222"/>
      <c r="K207" s="211"/>
      <c r="L207" s="214"/>
      <c r="M207" s="188"/>
    </row>
    <row r="208" spans="1:13" ht="18" customHeight="1" x14ac:dyDescent="0.25">
      <c r="A208" s="188"/>
      <c r="B208" s="221"/>
      <c r="C208" s="221"/>
      <c r="D208" s="222"/>
      <c r="E208" s="211"/>
      <c r="F208" s="214"/>
      <c r="G208" s="216"/>
      <c r="H208" s="221"/>
      <c r="I208" s="221"/>
      <c r="J208" s="222"/>
      <c r="K208" s="211"/>
      <c r="L208" s="214"/>
      <c r="M208" s="188"/>
    </row>
    <row r="209" spans="1:13" ht="18" customHeight="1" x14ac:dyDescent="0.25">
      <c r="A209" s="188"/>
      <c r="B209" s="221"/>
      <c r="C209" s="221"/>
      <c r="D209" s="222"/>
      <c r="E209" s="211"/>
      <c r="F209" s="214"/>
      <c r="G209" s="216"/>
      <c r="H209" s="221"/>
      <c r="I209" s="221"/>
      <c r="J209" s="222"/>
      <c r="K209" s="211"/>
      <c r="L209" s="214"/>
      <c r="M209" s="188"/>
    </row>
    <row r="210" spans="1:13" ht="18" customHeight="1" x14ac:dyDescent="0.25">
      <c r="A210" s="188"/>
      <c r="B210" s="221"/>
      <c r="C210" s="221"/>
      <c r="D210" s="222"/>
      <c r="E210" s="211"/>
      <c r="F210" s="214"/>
      <c r="G210" s="216"/>
      <c r="H210" s="221"/>
      <c r="I210" s="221"/>
      <c r="J210" s="222"/>
      <c r="K210" s="211"/>
      <c r="L210" s="214"/>
      <c r="M210" s="188"/>
    </row>
    <row r="211" spans="1:13" ht="18" customHeight="1" x14ac:dyDescent="0.25">
      <c r="A211" s="188"/>
      <c r="B211" s="221"/>
      <c r="C211" s="221"/>
      <c r="D211" s="222"/>
      <c r="E211" s="211"/>
      <c r="F211" s="214"/>
      <c r="G211" s="216"/>
      <c r="H211" s="221"/>
      <c r="I211" s="221"/>
      <c r="J211" s="222"/>
      <c r="K211" s="211"/>
      <c r="L211" s="214"/>
      <c r="M211" s="188"/>
    </row>
    <row r="212" spans="1:13" ht="18" customHeight="1" x14ac:dyDescent="0.25">
      <c r="A212" s="188"/>
      <c r="B212" s="221"/>
      <c r="C212" s="221"/>
      <c r="D212" s="222"/>
      <c r="E212" s="211"/>
      <c r="F212" s="214"/>
      <c r="G212" s="216"/>
      <c r="H212" s="221"/>
      <c r="I212" s="221"/>
      <c r="J212" s="222"/>
      <c r="K212" s="211"/>
      <c r="L212" s="214"/>
      <c r="M212" s="188"/>
    </row>
    <row r="213" spans="1:13" ht="18" customHeight="1" x14ac:dyDescent="0.25">
      <c r="A213" s="188"/>
      <c r="B213" s="221"/>
      <c r="C213" s="221"/>
      <c r="D213" s="222"/>
      <c r="E213" s="211"/>
      <c r="F213" s="214"/>
      <c r="G213" s="216"/>
      <c r="H213" s="221"/>
      <c r="I213" s="221"/>
      <c r="J213" s="222"/>
      <c r="K213" s="211"/>
      <c r="L213" s="214"/>
      <c r="M213" s="188"/>
    </row>
    <row r="214" spans="1:13" ht="18" customHeight="1" x14ac:dyDescent="0.25">
      <c r="A214" s="188"/>
      <c r="B214" s="221"/>
      <c r="C214" s="221"/>
      <c r="D214" s="222"/>
      <c r="E214" s="211"/>
      <c r="F214" s="214"/>
      <c r="G214" s="216"/>
      <c r="H214" s="221"/>
      <c r="I214" s="221"/>
      <c r="J214" s="222"/>
      <c r="K214" s="211"/>
      <c r="L214" s="214"/>
      <c r="M214" s="188"/>
    </row>
    <row r="215" spans="1:13" ht="18" customHeight="1" x14ac:dyDescent="0.25">
      <c r="A215" s="188"/>
      <c r="B215" s="221"/>
      <c r="C215" s="221"/>
      <c r="D215" s="222"/>
      <c r="E215" s="211"/>
      <c r="F215" s="214"/>
      <c r="G215" s="216"/>
      <c r="H215" s="221"/>
      <c r="I215" s="221"/>
      <c r="J215" s="222"/>
      <c r="K215" s="211"/>
      <c r="L215" s="214"/>
      <c r="M215" s="188"/>
    </row>
    <row r="216" spans="1:13" ht="18" customHeight="1" x14ac:dyDescent="0.25">
      <c r="A216" s="188"/>
      <c r="B216" s="221"/>
      <c r="C216" s="221"/>
      <c r="D216" s="222"/>
      <c r="E216" s="211"/>
      <c r="F216" s="214"/>
      <c r="G216" s="216"/>
      <c r="H216" s="221"/>
      <c r="I216" s="221"/>
      <c r="J216" s="222"/>
      <c r="K216" s="211"/>
      <c r="L216" s="214"/>
      <c r="M216" s="188"/>
    </row>
    <row r="217" spans="1:13" ht="18" customHeight="1" x14ac:dyDescent="0.25">
      <c r="A217" s="188"/>
      <c r="B217" s="221"/>
      <c r="C217" s="221"/>
      <c r="D217" s="222"/>
      <c r="E217" s="211"/>
      <c r="F217" s="214"/>
      <c r="G217" s="216"/>
      <c r="H217" s="221"/>
      <c r="I217" s="221"/>
      <c r="J217" s="222"/>
      <c r="K217" s="211"/>
      <c r="L217" s="214"/>
      <c r="M217" s="188"/>
    </row>
    <row r="218" spans="1:13" ht="18" customHeight="1" x14ac:dyDescent="0.25">
      <c r="A218" s="188"/>
      <c r="B218" s="221"/>
      <c r="C218" s="221"/>
      <c r="D218" s="222"/>
      <c r="E218" s="211"/>
      <c r="F218" s="214"/>
      <c r="G218" s="216"/>
      <c r="H218" s="221"/>
      <c r="I218" s="221"/>
      <c r="J218" s="222"/>
      <c r="K218" s="211"/>
      <c r="L218" s="214"/>
      <c r="M218" s="188"/>
    </row>
    <row r="219" spans="1:13" ht="18" customHeight="1" x14ac:dyDescent="0.25">
      <c r="A219" s="188"/>
      <c r="B219" s="221"/>
      <c r="C219" s="221"/>
      <c r="D219" s="222"/>
      <c r="E219" s="211"/>
      <c r="F219" s="214"/>
      <c r="G219" s="216"/>
      <c r="H219" s="221"/>
      <c r="I219" s="221"/>
      <c r="J219" s="222"/>
      <c r="K219" s="211"/>
      <c r="L219" s="214"/>
      <c r="M219" s="188"/>
    </row>
    <row r="220" spans="1:13" ht="18" customHeight="1" x14ac:dyDescent="0.25">
      <c r="A220" s="188"/>
      <c r="B220" s="221"/>
      <c r="C220" s="221"/>
      <c r="D220" s="222"/>
      <c r="E220" s="211"/>
      <c r="F220" s="214"/>
      <c r="G220" s="216"/>
      <c r="H220" s="221"/>
      <c r="I220" s="221"/>
      <c r="J220" s="222"/>
      <c r="K220" s="211"/>
      <c r="L220" s="214"/>
      <c r="M220" s="188"/>
    </row>
    <row r="221" spans="1:13" ht="18" customHeight="1" x14ac:dyDescent="0.25">
      <c r="A221" s="188"/>
      <c r="B221" s="221"/>
      <c r="C221" s="221"/>
      <c r="D221" s="222"/>
      <c r="E221" s="211"/>
      <c r="F221" s="214"/>
      <c r="G221" s="216"/>
      <c r="H221" s="221"/>
      <c r="I221" s="221"/>
      <c r="J221" s="222"/>
      <c r="K221" s="211"/>
      <c r="L221" s="214"/>
      <c r="M221" s="188"/>
    </row>
    <row r="222" spans="1:13" ht="18" customHeight="1" x14ac:dyDescent="0.25">
      <c r="A222" s="188"/>
      <c r="B222" s="221"/>
      <c r="C222" s="221"/>
      <c r="D222" s="222"/>
      <c r="E222" s="211"/>
      <c r="F222" s="214"/>
      <c r="G222" s="216"/>
      <c r="H222" s="221"/>
      <c r="I222" s="221"/>
      <c r="J222" s="222"/>
      <c r="K222" s="211"/>
      <c r="L222" s="214"/>
      <c r="M222" s="188"/>
    </row>
    <row r="223" spans="1:13" ht="18" customHeight="1" x14ac:dyDescent="0.25">
      <c r="A223" s="188"/>
      <c r="B223" s="221"/>
      <c r="C223" s="221"/>
      <c r="D223" s="222"/>
      <c r="E223" s="211"/>
      <c r="F223" s="214"/>
      <c r="G223" s="216"/>
      <c r="H223" s="221"/>
      <c r="I223" s="221"/>
      <c r="J223" s="222"/>
      <c r="K223" s="211"/>
      <c r="L223" s="214"/>
      <c r="M223" s="188"/>
    </row>
    <row r="224" spans="1:13" ht="18" customHeight="1" x14ac:dyDescent="0.25">
      <c r="A224" s="188"/>
      <c r="B224" s="221"/>
      <c r="C224" s="221"/>
      <c r="D224" s="222"/>
      <c r="E224" s="211"/>
      <c r="F224" s="214"/>
      <c r="G224" s="216"/>
      <c r="H224" s="221"/>
      <c r="I224" s="221"/>
      <c r="J224" s="222"/>
      <c r="K224" s="211"/>
      <c r="L224" s="214"/>
      <c r="M224" s="188"/>
    </row>
    <row r="225" spans="1:13" ht="18" customHeight="1" x14ac:dyDescent="0.25">
      <c r="A225" s="188"/>
      <c r="B225" s="221"/>
      <c r="C225" s="221"/>
      <c r="D225" s="222"/>
      <c r="E225" s="211"/>
      <c r="F225" s="214"/>
      <c r="G225" s="216"/>
      <c r="H225" s="221"/>
      <c r="I225" s="221"/>
      <c r="J225" s="222"/>
      <c r="K225" s="211"/>
      <c r="L225" s="214"/>
      <c r="M225" s="188"/>
    </row>
    <row r="226" spans="1:13" ht="18" customHeight="1" x14ac:dyDescent="0.25">
      <c r="A226" s="188"/>
      <c r="B226" s="221"/>
      <c r="C226" s="221"/>
      <c r="D226" s="222"/>
      <c r="E226" s="211"/>
      <c r="F226" s="214"/>
      <c r="G226" s="216"/>
      <c r="H226" s="221"/>
      <c r="I226" s="221"/>
      <c r="J226" s="222"/>
      <c r="K226" s="211"/>
      <c r="L226" s="214"/>
      <c r="M226" s="188"/>
    </row>
    <row r="227" spans="1:13" ht="18" customHeight="1" x14ac:dyDescent="0.25">
      <c r="A227" s="188"/>
      <c r="B227" s="221"/>
      <c r="C227" s="221"/>
      <c r="D227" s="222"/>
      <c r="E227" s="211"/>
      <c r="F227" s="214"/>
      <c r="G227" s="216"/>
      <c r="H227" s="221"/>
      <c r="I227" s="221"/>
      <c r="J227" s="222"/>
      <c r="K227" s="211"/>
      <c r="L227" s="214"/>
      <c r="M227" s="188"/>
    </row>
    <row r="228" spans="1:13" ht="18" customHeight="1" x14ac:dyDescent="0.25">
      <c r="A228" s="188"/>
      <c r="B228" s="221"/>
      <c r="C228" s="221"/>
      <c r="D228" s="222"/>
      <c r="E228" s="211"/>
      <c r="F228" s="214"/>
      <c r="G228" s="216"/>
      <c r="H228" s="221"/>
      <c r="I228" s="221"/>
      <c r="J228" s="222"/>
      <c r="K228" s="211"/>
      <c r="L228" s="214"/>
      <c r="M228" s="188"/>
    </row>
    <row r="229" spans="1:13" ht="18" customHeight="1" x14ac:dyDescent="0.25">
      <c r="A229" s="188"/>
      <c r="B229" s="221"/>
      <c r="C229" s="221"/>
      <c r="D229" s="222"/>
      <c r="E229" s="211"/>
      <c r="F229" s="214"/>
      <c r="G229" s="216"/>
      <c r="H229" s="221"/>
      <c r="I229" s="221"/>
      <c r="J229" s="222"/>
      <c r="K229" s="211"/>
      <c r="L229" s="214"/>
      <c r="M229" s="188"/>
    </row>
    <row r="230" spans="1:13" ht="18" customHeight="1" x14ac:dyDescent="0.25">
      <c r="A230" s="188"/>
      <c r="B230" s="221"/>
      <c r="C230" s="221"/>
      <c r="D230" s="222"/>
      <c r="E230" s="211"/>
      <c r="F230" s="214"/>
      <c r="G230" s="216"/>
      <c r="H230" s="221"/>
      <c r="I230" s="221"/>
      <c r="J230" s="222"/>
      <c r="K230" s="211"/>
      <c r="L230" s="214"/>
      <c r="M230" s="188"/>
    </row>
    <row r="231" spans="1:13" ht="18" customHeight="1" x14ac:dyDescent="0.25">
      <c r="A231" s="188"/>
      <c r="B231" s="221"/>
      <c r="C231" s="221"/>
      <c r="D231" s="222"/>
      <c r="E231" s="211"/>
      <c r="F231" s="214"/>
      <c r="G231" s="216"/>
      <c r="H231" s="221"/>
      <c r="I231" s="221"/>
      <c r="J231" s="222"/>
      <c r="K231" s="211"/>
      <c r="L231" s="214"/>
      <c r="M231" s="188"/>
    </row>
    <row r="232" spans="1:13" ht="18" customHeight="1" x14ac:dyDescent="0.25">
      <c r="A232" s="188"/>
      <c r="B232" s="221"/>
      <c r="C232" s="221"/>
      <c r="D232" s="222"/>
      <c r="E232" s="211"/>
      <c r="F232" s="214"/>
      <c r="G232" s="216"/>
      <c r="H232" s="221"/>
      <c r="I232" s="221"/>
      <c r="J232" s="222"/>
      <c r="K232" s="211"/>
      <c r="L232" s="214"/>
      <c r="M232" s="188"/>
    </row>
    <row r="233" spans="1:13" ht="18" customHeight="1" x14ac:dyDescent="0.25">
      <c r="A233" s="188"/>
      <c r="B233" s="221"/>
      <c r="C233" s="221"/>
      <c r="D233" s="222"/>
      <c r="E233" s="211"/>
      <c r="F233" s="214"/>
      <c r="G233" s="216"/>
      <c r="H233" s="221"/>
      <c r="I233" s="221"/>
      <c r="J233" s="222"/>
      <c r="K233" s="211"/>
      <c r="L233" s="214"/>
      <c r="M233" s="188"/>
    </row>
    <row r="234" spans="1:13" ht="18" customHeight="1" x14ac:dyDescent="0.25">
      <c r="A234" s="188"/>
      <c r="B234" s="221"/>
      <c r="C234" s="221"/>
      <c r="D234" s="222"/>
      <c r="E234" s="211"/>
      <c r="F234" s="214"/>
      <c r="G234" s="216"/>
      <c r="H234" s="221"/>
      <c r="I234" s="221"/>
      <c r="J234" s="222"/>
      <c r="K234" s="211"/>
      <c r="L234" s="214"/>
      <c r="M234" s="188"/>
    </row>
    <row r="235" spans="1:13" ht="18" customHeight="1" x14ac:dyDescent="0.25">
      <c r="A235" s="188"/>
      <c r="B235" s="221"/>
      <c r="C235" s="221"/>
      <c r="D235" s="222"/>
      <c r="E235" s="211"/>
      <c r="F235" s="214"/>
      <c r="G235" s="216"/>
      <c r="H235" s="221"/>
      <c r="I235" s="221"/>
      <c r="J235" s="222"/>
      <c r="K235" s="211"/>
      <c r="L235" s="214"/>
      <c r="M235" s="188"/>
    </row>
    <row r="236" spans="1:13" ht="18" customHeight="1" x14ac:dyDescent="0.25">
      <c r="A236" s="188"/>
      <c r="B236" s="221"/>
      <c r="C236" s="221"/>
      <c r="D236" s="222"/>
      <c r="E236" s="211"/>
      <c r="F236" s="214"/>
      <c r="G236" s="216"/>
      <c r="H236" s="221"/>
      <c r="I236" s="221"/>
      <c r="J236" s="222"/>
      <c r="K236" s="211"/>
      <c r="L236" s="214"/>
      <c r="M236" s="188"/>
    </row>
    <row r="237" spans="1:13" ht="18" customHeight="1" x14ac:dyDescent="0.25">
      <c r="A237" s="188"/>
      <c r="B237" s="221"/>
      <c r="C237" s="221"/>
      <c r="D237" s="222"/>
      <c r="E237" s="211"/>
      <c r="F237" s="214"/>
      <c r="G237" s="216"/>
      <c r="H237" s="221"/>
      <c r="I237" s="221"/>
      <c r="J237" s="222"/>
      <c r="K237" s="211"/>
      <c r="L237" s="214"/>
      <c r="M237" s="188"/>
    </row>
    <row r="238" spans="1:13" ht="18" customHeight="1" x14ac:dyDescent="0.25">
      <c r="A238" s="188"/>
      <c r="B238" s="221"/>
      <c r="C238" s="221"/>
      <c r="D238" s="222"/>
      <c r="E238" s="211"/>
      <c r="F238" s="214"/>
      <c r="G238" s="216"/>
      <c r="H238" s="221"/>
      <c r="I238" s="221"/>
      <c r="J238" s="222"/>
      <c r="K238" s="211"/>
      <c r="L238" s="214"/>
      <c r="M238" s="188"/>
    </row>
    <row r="239" spans="1:13" ht="18" customHeight="1" x14ac:dyDescent="0.25">
      <c r="A239" s="188"/>
      <c r="B239" s="221"/>
      <c r="C239" s="221"/>
      <c r="D239" s="222"/>
      <c r="E239" s="211"/>
      <c r="F239" s="214"/>
      <c r="G239" s="216"/>
      <c r="H239" s="221"/>
      <c r="I239" s="221"/>
      <c r="J239" s="222"/>
      <c r="K239" s="211"/>
      <c r="L239" s="214"/>
      <c r="M239" s="188"/>
    </row>
    <row r="240" spans="1:13" ht="18" customHeight="1" x14ac:dyDescent="0.25">
      <c r="A240" s="188"/>
      <c r="B240" s="221"/>
      <c r="C240" s="221"/>
      <c r="D240" s="222"/>
      <c r="E240" s="211"/>
      <c r="F240" s="214"/>
      <c r="G240" s="216"/>
      <c r="H240" s="221"/>
      <c r="I240" s="221"/>
      <c r="J240" s="222"/>
      <c r="K240" s="211"/>
      <c r="L240" s="214"/>
      <c r="M240" s="188"/>
    </row>
    <row r="241" spans="1:13" ht="18" customHeight="1" x14ac:dyDescent="0.25">
      <c r="A241" s="188"/>
      <c r="B241" s="221"/>
      <c r="C241" s="221"/>
      <c r="D241" s="222"/>
      <c r="E241" s="211"/>
      <c r="F241" s="214"/>
      <c r="G241" s="216"/>
      <c r="H241" s="221"/>
      <c r="I241" s="221"/>
      <c r="J241" s="222"/>
      <c r="K241" s="211"/>
      <c r="L241" s="214"/>
      <c r="M241" s="188"/>
    </row>
    <row r="242" spans="1:13" ht="18" customHeight="1" x14ac:dyDescent="0.25">
      <c r="A242" s="188"/>
      <c r="B242" s="221"/>
      <c r="C242" s="221"/>
      <c r="D242" s="222"/>
      <c r="E242" s="211"/>
      <c r="F242" s="214"/>
      <c r="G242" s="216"/>
      <c r="H242" s="221"/>
      <c r="I242" s="221"/>
      <c r="J242" s="222"/>
      <c r="K242" s="211"/>
      <c r="L242" s="214"/>
      <c r="M242" s="188"/>
    </row>
    <row r="243" spans="1:13" ht="18" customHeight="1" x14ac:dyDescent="0.25">
      <c r="A243" s="188"/>
      <c r="B243" s="221"/>
      <c r="C243" s="221"/>
      <c r="D243" s="222"/>
      <c r="E243" s="211"/>
      <c r="F243" s="214"/>
      <c r="G243" s="216"/>
      <c r="H243" s="221"/>
      <c r="I243" s="221"/>
      <c r="J243" s="222"/>
      <c r="K243" s="211"/>
      <c r="L243" s="214"/>
      <c r="M243" s="188"/>
    </row>
    <row r="244" spans="1:13" ht="18" customHeight="1" x14ac:dyDescent="0.25">
      <c r="A244" s="188"/>
      <c r="B244" s="221"/>
      <c r="C244" s="221"/>
      <c r="D244" s="222"/>
      <c r="E244" s="211"/>
      <c r="F244" s="214"/>
      <c r="G244" s="216"/>
      <c r="H244" s="221"/>
      <c r="I244" s="221"/>
      <c r="J244" s="222"/>
      <c r="K244" s="211"/>
      <c r="L244" s="214"/>
      <c r="M244" s="188"/>
    </row>
    <row r="245" spans="1:13" ht="15.75" customHeight="1" x14ac:dyDescent="0.25"/>
    <row r="246" spans="1:13" ht="15.75" customHeight="1" x14ac:dyDescent="0.25"/>
    <row r="247" spans="1:13" ht="15.75" customHeight="1" x14ac:dyDescent="0.25"/>
    <row r="248" spans="1:13" ht="15.75" customHeight="1" x14ac:dyDescent="0.25"/>
    <row r="249" spans="1:13" ht="15.75" customHeight="1" x14ac:dyDescent="0.25"/>
    <row r="250" spans="1:13" ht="15.75" customHeight="1" x14ac:dyDescent="0.25"/>
    <row r="251" spans="1:13" ht="15.75" customHeight="1" x14ac:dyDescent="0.25"/>
    <row r="252" spans="1:13" ht="15.75" customHeight="1" x14ac:dyDescent="0.25"/>
    <row r="253" spans="1:13" ht="15.75" customHeight="1" x14ac:dyDescent="0.25"/>
    <row r="254" spans="1:13" ht="15.75" customHeight="1" x14ac:dyDescent="0.25"/>
    <row r="255" spans="1:13" ht="15.75" customHeight="1" x14ac:dyDescent="0.25"/>
    <row r="256" spans="1:1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9">
    <mergeCell ref="H41:I41"/>
    <mergeCell ref="H42:I42"/>
    <mergeCell ref="H43:I43"/>
    <mergeCell ref="H44:I44"/>
    <mergeCell ref="H30:I30"/>
    <mergeCell ref="H31:I31"/>
    <mergeCell ref="H32:I32"/>
    <mergeCell ref="H33:I33"/>
    <mergeCell ref="H34:I34"/>
    <mergeCell ref="H35:I35"/>
    <mergeCell ref="H36:I36"/>
    <mergeCell ref="B35:C35"/>
    <mergeCell ref="H37:I37"/>
    <mergeCell ref="H38:I38"/>
    <mergeCell ref="H39:I39"/>
    <mergeCell ref="H40:I40"/>
    <mergeCell ref="B30:C30"/>
    <mergeCell ref="B31:C31"/>
    <mergeCell ref="B32:C32"/>
    <mergeCell ref="B33:C33"/>
    <mergeCell ref="B34:C34"/>
    <mergeCell ref="B27:C27"/>
    <mergeCell ref="H27:I27"/>
    <mergeCell ref="B28:C28"/>
    <mergeCell ref="H28:I28"/>
    <mergeCell ref="H29:I29"/>
    <mergeCell ref="B29:C29"/>
    <mergeCell ref="D22:F22"/>
    <mergeCell ref="J22:L22"/>
    <mergeCell ref="J23:L23"/>
    <mergeCell ref="D23:F23"/>
    <mergeCell ref="B24:C24"/>
    <mergeCell ref="I16:K16"/>
    <mergeCell ref="I17:K17"/>
    <mergeCell ref="B20:F20"/>
    <mergeCell ref="D21:F21"/>
    <mergeCell ref="J21:L21"/>
    <mergeCell ref="J8:K8"/>
    <mergeCell ref="B8:E9"/>
    <mergeCell ref="D12:D15"/>
    <mergeCell ref="E12:E15"/>
    <mergeCell ref="I13:K13"/>
    <mergeCell ref="I14:K14"/>
    <mergeCell ref="I15:K15"/>
    <mergeCell ref="B2:H2"/>
    <mergeCell ref="I2:L2"/>
    <mergeCell ref="B3:G4"/>
    <mergeCell ref="I3:L3"/>
    <mergeCell ref="I4:M5"/>
    <mergeCell ref="B5:G6"/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</mergeCells>
  <conditionalFormatting sqref="B27:C1000 H27:H1000">
    <cfRule type="notContainsBlanks" dxfId="14" priority="1">
      <formula>LEN(TRIM(B27))&gt;0</formula>
    </cfRule>
  </conditionalFormatting>
  <conditionalFormatting sqref="D27:D1000">
    <cfRule type="expression" dxfId="13" priority="2">
      <formula>NOT(ISBLANK(B27))</formula>
    </cfRule>
  </conditionalFormatting>
  <conditionalFormatting sqref="F26:F1000 L26:L1000 E28:E42">
    <cfRule type="cellIs" dxfId="12" priority="4" operator="lessThan">
      <formula>0</formula>
    </cfRule>
  </conditionalFormatting>
  <conditionalFormatting sqref="F27:F1000 L27:L1000 E28:E42">
    <cfRule type="cellIs" dxfId="11" priority="5" operator="equal">
      <formula>0</formula>
    </cfRule>
  </conditionalFormatting>
  <conditionalFormatting sqref="J27:J1000">
    <cfRule type="expression" dxfId="10" priority="3">
      <formula>NOT(ISBLANK(H27))</formula>
    </cfRule>
  </conditionalFormatting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FF"/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5.109375" customWidth="1"/>
    <col min="2" max="2" width="10.44140625" customWidth="1"/>
    <col min="3" max="3" width="14.77734375" customWidth="1"/>
    <col min="4" max="4" width="15.88671875" customWidth="1"/>
    <col min="5" max="5" width="19.44140625" customWidth="1"/>
    <col min="6" max="6" width="5.109375" customWidth="1"/>
    <col min="9" max="9" width="13.21875" customWidth="1"/>
    <col min="11" max="11" width="5.109375" customWidth="1"/>
  </cols>
  <sheetData>
    <row r="1" spans="1:11" ht="33" customHeight="1" x14ac:dyDescent="0.25">
      <c r="A1" s="223"/>
      <c r="B1" s="294" t="s">
        <v>60</v>
      </c>
      <c r="C1" s="266"/>
      <c r="D1" s="266"/>
      <c r="E1" s="266"/>
      <c r="F1" s="266"/>
      <c r="G1" s="266"/>
      <c r="H1" s="266"/>
      <c r="I1" s="266"/>
      <c r="J1" s="266"/>
      <c r="K1" s="223"/>
    </row>
    <row r="2" spans="1:11" ht="48" customHeight="1" x14ac:dyDescent="0.45">
      <c r="A2" s="224"/>
      <c r="B2" s="225" t="s">
        <v>10</v>
      </c>
      <c r="C2" s="226"/>
      <c r="D2" s="227"/>
      <c r="E2" s="227"/>
      <c r="F2" s="227"/>
      <c r="G2" s="225" t="s">
        <v>9</v>
      </c>
      <c r="H2" s="228"/>
      <c r="I2" s="224"/>
      <c r="J2" s="224"/>
      <c r="K2" s="224"/>
    </row>
    <row r="3" spans="1:11" ht="12" customHeight="1" x14ac:dyDescent="0.3">
      <c r="A3" s="13"/>
      <c r="B3" s="229"/>
      <c r="C3" s="230"/>
      <c r="D3" s="229"/>
      <c r="E3" s="229"/>
      <c r="F3" s="13"/>
      <c r="G3" s="229"/>
      <c r="H3" s="231"/>
      <c r="I3" s="229"/>
      <c r="J3" s="229"/>
      <c r="K3" s="13"/>
    </row>
    <row r="4" spans="1:11" ht="24" customHeight="1" x14ac:dyDescent="0.25">
      <c r="A4" s="19"/>
      <c r="B4" s="232" t="s">
        <v>61</v>
      </c>
      <c r="C4" s="232" t="s">
        <v>62</v>
      </c>
      <c r="D4" s="232" t="s">
        <v>63</v>
      </c>
      <c r="E4" s="232" t="s">
        <v>64</v>
      </c>
      <c r="F4" s="19"/>
      <c r="G4" s="232" t="s">
        <v>61</v>
      </c>
      <c r="H4" s="232" t="s">
        <v>62</v>
      </c>
      <c r="I4" s="232" t="s">
        <v>63</v>
      </c>
      <c r="J4" s="232" t="s">
        <v>64</v>
      </c>
      <c r="K4" s="19"/>
    </row>
    <row r="5" spans="1:11" ht="19.5" customHeight="1" x14ac:dyDescent="0.3">
      <c r="A5" s="19"/>
      <c r="B5" s="233"/>
      <c r="C5" s="238"/>
      <c r="D5" s="253"/>
      <c r="E5" s="240"/>
      <c r="F5" s="19"/>
      <c r="G5" s="233"/>
      <c r="H5" s="234"/>
      <c r="I5" s="237"/>
      <c r="J5" s="236"/>
      <c r="K5" s="19"/>
    </row>
    <row r="6" spans="1:11" ht="19.5" customHeight="1" x14ac:dyDescent="0.25">
      <c r="A6" s="19"/>
      <c r="B6" s="233"/>
      <c r="C6" s="238"/>
      <c r="D6" s="239"/>
      <c r="E6" s="240"/>
      <c r="F6" s="19"/>
      <c r="G6" s="233"/>
      <c r="H6" s="238"/>
      <c r="I6" s="237"/>
      <c r="J6" s="236"/>
      <c r="K6" s="19"/>
    </row>
    <row r="7" spans="1:11" ht="19.5" customHeight="1" x14ac:dyDescent="0.25">
      <c r="A7" s="19"/>
      <c r="B7" s="233"/>
      <c r="C7" s="238"/>
      <c r="D7" s="239"/>
      <c r="E7" s="240"/>
      <c r="F7" s="19"/>
      <c r="G7" s="233"/>
      <c r="H7" s="238"/>
      <c r="I7" s="237"/>
      <c r="J7" s="236"/>
      <c r="K7" s="19"/>
    </row>
    <row r="8" spans="1:11" ht="19.5" customHeight="1" x14ac:dyDescent="0.25">
      <c r="A8" s="19"/>
      <c r="B8" s="233"/>
      <c r="C8" s="238"/>
      <c r="D8" s="239"/>
      <c r="E8" s="240"/>
      <c r="F8" s="19"/>
      <c r="G8" s="233"/>
      <c r="H8" s="238"/>
      <c r="I8" s="237"/>
      <c r="J8" s="236"/>
      <c r="K8" s="19"/>
    </row>
    <row r="9" spans="1:11" ht="19.5" customHeight="1" x14ac:dyDescent="0.25">
      <c r="A9" s="19"/>
      <c r="B9" s="233"/>
      <c r="C9" s="254"/>
      <c r="D9" s="255"/>
      <c r="E9" s="240"/>
      <c r="F9" s="19"/>
      <c r="G9" s="233"/>
      <c r="H9" s="238"/>
      <c r="I9" s="237"/>
      <c r="J9" s="236"/>
      <c r="K9" s="19"/>
    </row>
    <row r="10" spans="1:11" ht="19.5" customHeight="1" x14ac:dyDescent="0.25">
      <c r="A10" s="19"/>
      <c r="B10" s="233"/>
      <c r="C10" s="254"/>
      <c r="D10" s="255"/>
      <c r="E10" s="240"/>
      <c r="F10" s="19"/>
      <c r="G10" s="233"/>
      <c r="H10" s="238"/>
      <c r="I10" s="237"/>
      <c r="J10" s="236"/>
      <c r="K10" s="19"/>
    </row>
    <row r="11" spans="1:11" ht="19.5" customHeight="1" x14ac:dyDescent="0.25">
      <c r="A11" s="19"/>
      <c r="B11" s="233"/>
      <c r="C11" s="254"/>
      <c r="D11" s="255"/>
      <c r="E11" s="240"/>
      <c r="F11" s="19"/>
      <c r="G11" s="233"/>
      <c r="H11" s="238"/>
      <c r="I11" s="237"/>
      <c r="J11" s="236"/>
      <c r="K11" s="19"/>
    </row>
    <row r="12" spans="1:11" ht="19.5" customHeight="1" x14ac:dyDescent="0.25">
      <c r="A12" s="19"/>
      <c r="B12" s="233"/>
      <c r="C12" s="254"/>
      <c r="D12" s="255"/>
      <c r="E12" s="240"/>
      <c r="F12" s="19"/>
      <c r="G12" s="233"/>
      <c r="H12" s="238"/>
      <c r="I12" s="237"/>
      <c r="J12" s="236"/>
      <c r="K12" s="19"/>
    </row>
    <row r="13" spans="1:11" ht="19.5" customHeight="1" x14ac:dyDescent="0.25">
      <c r="A13" s="19"/>
      <c r="B13" s="233"/>
      <c r="C13" s="238"/>
      <c r="D13" s="239"/>
      <c r="E13" s="240"/>
      <c r="F13" s="19"/>
      <c r="G13" s="233"/>
      <c r="H13" s="238"/>
      <c r="I13" s="237"/>
      <c r="J13" s="236"/>
      <c r="K13" s="19"/>
    </row>
    <row r="14" spans="1:11" ht="19.5" customHeight="1" x14ac:dyDescent="0.25">
      <c r="A14" s="19"/>
      <c r="B14" s="233"/>
      <c r="C14" s="254"/>
      <c r="D14" s="255"/>
      <c r="E14" s="240"/>
      <c r="F14" s="19"/>
      <c r="G14" s="233"/>
      <c r="H14" s="238"/>
      <c r="I14" s="237"/>
      <c r="J14" s="236"/>
      <c r="K14" s="19"/>
    </row>
    <row r="15" spans="1:11" ht="19.5" customHeight="1" x14ac:dyDescent="0.25">
      <c r="A15" s="19"/>
      <c r="B15" s="233"/>
      <c r="C15" s="238"/>
      <c r="D15" s="239"/>
      <c r="E15" s="240"/>
      <c r="F15" s="19"/>
      <c r="G15" s="233"/>
      <c r="H15" s="238"/>
      <c r="I15" s="237"/>
      <c r="J15" s="236"/>
      <c r="K15" s="19"/>
    </row>
    <row r="16" spans="1:11" ht="19.5" customHeight="1" x14ac:dyDescent="0.25">
      <c r="A16" s="19"/>
      <c r="B16" s="233"/>
      <c r="C16" s="238"/>
      <c r="D16" s="239"/>
      <c r="E16" s="240"/>
      <c r="F16" s="19"/>
      <c r="G16" s="233"/>
      <c r="H16" s="238"/>
      <c r="I16" s="237"/>
      <c r="J16" s="236"/>
      <c r="K16" s="19"/>
    </row>
    <row r="17" spans="1:11" ht="19.5" customHeight="1" x14ac:dyDescent="0.25">
      <c r="A17" s="19"/>
      <c r="B17" s="233"/>
      <c r="C17" s="238"/>
      <c r="D17" s="239"/>
      <c r="E17" s="240"/>
      <c r="F17" s="19"/>
      <c r="G17" s="242"/>
      <c r="H17" s="238"/>
      <c r="I17" s="237"/>
      <c r="J17" s="236"/>
      <c r="K17" s="19"/>
    </row>
    <row r="18" spans="1:11" ht="19.5" customHeight="1" x14ac:dyDescent="0.25">
      <c r="A18" s="19"/>
      <c r="B18" s="233"/>
      <c r="C18" s="254"/>
      <c r="D18" s="255"/>
      <c r="E18" s="240"/>
      <c r="F18" s="19"/>
      <c r="G18" s="242"/>
      <c r="H18" s="238"/>
      <c r="I18" s="237"/>
      <c r="J18" s="236"/>
      <c r="K18" s="19"/>
    </row>
    <row r="19" spans="1:11" ht="19.5" customHeight="1" x14ac:dyDescent="0.25">
      <c r="A19" s="19"/>
      <c r="B19" s="233"/>
      <c r="C19" s="238"/>
      <c r="D19" s="239"/>
      <c r="E19" s="240"/>
      <c r="F19" s="19"/>
      <c r="G19" s="242"/>
      <c r="H19" s="238"/>
      <c r="I19" s="237"/>
      <c r="J19" s="236"/>
      <c r="K19" s="19"/>
    </row>
    <row r="20" spans="1:11" ht="19.5" customHeight="1" x14ac:dyDescent="0.25">
      <c r="A20" s="19"/>
      <c r="B20" s="233"/>
      <c r="C20" s="254"/>
      <c r="D20" s="255"/>
      <c r="E20" s="240"/>
      <c r="F20" s="19"/>
      <c r="G20" s="242"/>
      <c r="H20" s="238"/>
      <c r="I20" s="237"/>
      <c r="J20" s="236"/>
      <c r="K20" s="19"/>
    </row>
    <row r="21" spans="1:11" ht="19.5" customHeight="1" x14ac:dyDescent="0.25">
      <c r="A21" s="19"/>
      <c r="B21" s="233"/>
      <c r="C21" s="254"/>
      <c r="D21" s="255"/>
      <c r="E21" s="240"/>
      <c r="F21" s="19"/>
      <c r="G21" s="242"/>
      <c r="H21" s="238"/>
      <c r="I21" s="237"/>
      <c r="J21" s="236"/>
      <c r="K21" s="19"/>
    </row>
    <row r="22" spans="1:11" ht="19.5" customHeight="1" x14ac:dyDescent="0.25">
      <c r="A22" s="19"/>
      <c r="B22" s="233"/>
      <c r="C22" s="238"/>
      <c r="D22" s="239"/>
      <c r="E22" s="240"/>
      <c r="F22" s="19"/>
      <c r="G22" s="242"/>
      <c r="H22" s="238"/>
      <c r="I22" s="237"/>
      <c r="J22" s="236"/>
      <c r="K22" s="19"/>
    </row>
    <row r="23" spans="1:11" ht="19.5" customHeight="1" x14ac:dyDescent="0.3">
      <c r="A23" s="19"/>
      <c r="B23" s="242"/>
      <c r="C23" s="238"/>
      <c r="D23" s="253"/>
      <c r="E23" s="240"/>
      <c r="F23" s="19"/>
      <c r="G23" s="242"/>
      <c r="H23" s="238"/>
      <c r="I23" s="237"/>
      <c r="J23" s="236"/>
      <c r="K23" s="19"/>
    </row>
    <row r="24" spans="1:11" ht="19.5" customHeight="1" x14ac:dyDescent="0.25">
      <c r="A24" s="19"/>
      <c r="B24" s="242"/>
      <c r="C24" s="238"/>
      <c r="D24" s="256"/>
      <c r="E24" s="240"/>
      <c r="F24" s="19"/>
      <c r="G24" s="242"/>
      <c r="H24" s="238"/>
      <c r="I24" s="237"/>
      <c r="J24" s="236"/>
      <c r="K24" s="19"/>
    </row>
    <row r="25" spans="1:11" ht="19.5" customHeight="1" x14ac:dyDescent="0.25">
      <c r="A25" s="19"/>
      <c r="B25" s="242"/>
      <c r="C25" s="254"/>
      <c r="D25" s="255"/>
      <c r="E25" s="240"/>
      <c r="F25" s="19"/>
      <c r="G25" s="242"/>
      <c r="H25" s="238"/>
      <c r="I25" s="237"/>
      <c r="J25" s="236"/>
      <c r="K25" s="19"/>
    </row>
    <row r="26" spans="1:11" ht="19.5" customHeight="1" x14ac:dyDescent="0.25">
      <c r="A26" s="19"/>
      <c r="B26" s="233"/>
      <c r="C26" s="238"/>
      <c r="D26" s="239"/>
      <c r="E26" s="240"/>
      <c r="F26" s="19"/>
      <c r="G26" s="242"/>
      <c r="H26" s="238"/>
      <c r="I26" s="237"/>
      <c r="J26" s="236"/>
      <c r="K26" s="19"/>
    </row>
    <row r="27" spans="1:11" ht="19.5" customHeight="1" x14ac:dyDescent="0.25">
      <c r="A27" s="19"/>
      <c r="B27" s="242"/>
      <c r="C27" s="238"/>
      <c r="D27" s="239"/>
      <c r="E27" s="240"/>
      <c r="F27" s="19"/>
      <c r="G27" s="242"/>
      <c r="H27" s="238"/>
      <c r="I27" s="237"/>
      <c r="J27" s="236"/>
      <c r="K27" s="19"/>
    </row>
    <row r="28" spans="1:11" ht="19.5" customHeight="1" x14ac:dyDescent="0.25">
      <c r="A28" s="19"/>
      <c r="B28" s="242"/>
      <c r="C28" s="254"/>
      <c r="D28" s="255"/>
      <c r="E28" s="240"/>
      <c r="F28" s="19"/>
      <c r="G28" s="242"/>
      <c r="H28" s="238"/>
      <c r="I28" s="237"/>
      <c r="J28" s="236"/>
      <c r="K28" s="19"/>
    </row>
    <row r="29" spans="1:11" ht="19.5" customHeight="1" x14ac:dyDescent="0.25">
      <c r="A29" s="19"/>
      <c r="B29" s="242"/>
      <c r="C29" s="254"/>
      <c r="D29" s="255"/>
      <c r="E29" s="240"/>
      <c r="F29" s="19"/>
      <c r="G29" s="233"/>
      <c r="H29" s="238"/>
      <c r="I29" s="237"/>
      <c r="J29" s="236"/>
      <c r="K29" s="19"/>
    </row>
    <row r="30" spans="1:11" ht="19.5" customHeight="1" x14ac:dyDescent="0.25">
      <c r="A30" s="19"/>
      <c r="B30" s="242"/>
      <c r="C30" s="254"/>
      <c r="D30" s="255"/>
      <c r="E30" s="240"/>
      <c r="F30" s="19"/>
      <c r="G30" s="233"/>
      <c r="H30" s="238"/>
      <c r="I30" s="237"/>
      <c r="J30" s="236"/>
      <c r="K30" s="19"/>
    </row>
    <row r="31" spans="1:11" ht="19.5" customHeight="1" x14ac:dyDescent="0.25">
      <c r="A31" s="19"/>
      <c r="B31" s="242"/>
      <c r="C31" s="238"/>
      <c r="D31" s="239"/>
      <c r="E31" s="240"/>
      <c r="F31" s="19"/>
      <c r="G31" s="233"/>
      <c r="H31" s="238"/>
      <c r="I31" s="237"/>
      <c r="J31" s="236"/>
      <c r="K31" s="19"/>
    </row>
    <row r="32" spans="1:11" ht="19.5" customHeight="1" x14ac:dyDescent="0.25">
      <c r="A32" s="19"/>
      <c r="B32" s="242"/>
      <c r="C32" s="254"/>
      <c r="D32" s="255"/>
      <c r="E32" s="240"/>
      <c r="F32" s="19"/>
      <c r="G32" s="233"/>
      <c r="H32" s="238"/>
      <c r="I32" s="237"/>
      <c r="J32" s="236"/>
      <c r="K32" s="19"/>
    </row>
    <row r="33" spans="1:11" ht="19.5" customHeight="1" x14ac:dyDescent="0.25">
      <c r="A33" s="19"/>
      <c r="B33" s="242"/>
      <c r="C33" s="238"/>
      <c r="D33" s="239"/>
      <c r="E33" s="240"/>
      <c r="F33" s="19"/>
      <c r="G33" s="233"/>
      <c r="H33" s="238"/>
      <c r="I33" s="237"/>
      <c r="J33" s="236"/>
      <c r="K33" s="19"/>
    </row>
    <row r="34" spans="1:11" ht="19.5" customHeight="1" x14ac:dyDescent="0.25">
      <c r="A34" s="19"/>
      <c r="B34" s="242"/>
      <c r="C34" s="238"/>
      <c r="D34" s="239"/>
      <c r="E34" s="240"/>
      <c r="F34" s="19"/>
      <c r="G34" s="242"/>
      <c r="H34" s="238"/>
      <c r="I34" s="237"/>
      <c r="J34" s="236"/>
      <c r="K34" s="19"/>
    </row>
    <row r="35" spans="1:11" ht="19.5" customHeight="1" x14ac:dyDescent="0.25">
      <c r="A35" s="19"/>
      <c r="B35" s="242"/>
      <c r="C35" s="254"/>
      <c r="D35" s="255"/>
      <c r="E35" s="240"/>
      <c r="F35" s="19"/>
      <c r="G35" s="242"/>
      <c r="H35" s="238"/>
      <c r="I35" s="237"/>
      <c r="J35" s="236"/>
      <c r="K35" s="19"/>
    </row>
    <row r="36" spans="1:11" ht="19.5" customHeight="1" x14ac:dyDescent="0.25">
      <c r="A36" s="19"/>
      <c r="B36" s="242"/>
      <c r="C36" s="257"/>
      <c r="D36" s="256"/>
      <c r="E36" s="240"/>
      <c r="F36" s="19"/>
      <c r="G36" s="242"/>
      <c r="H36" s="238"/>
      <c r="I36" s="237"/>
      <c r="J36" s="236"/>
      <c r="K36" s="19"/>
    </row>
    <row r="37" spans="1:11" ht="19.5" customHeight="1" x14ac:dyDescent="0.25">
      <c r="A37" s="19"/>
      <c r="B37" s="233"/>
      <c r="C37" s="254"/>
      <c r="D37" s="255"/>
      <c r="E37" s="240"/>
      <c r="F37" s="19"/>
      <c r="G37" s="242"/>
      <c r="H37" s="238"/>
      <c r="I37" s="237"/>
      <c r="J37" s="236"/>
      <c r="K37" s="19"/>
    </row>
    <row r="38" spans="1:11" ht="19.5" customHeight="1" x14ac:dyDescent="0.25">
      <c r="A38" s="19"/>
      <c r="B38" s="233"/>
      <c r="C38" s="238"/>
      <c r="D38" s="239"/>
      <c r="E38" s="240"/>
      <c r="F38" s="19"/>
      <c r="G38" s="242"/>
      <c r="H38" s="238"/>
      <c r="I38" s="237"/>
      <c r="J38" s="236"/>
      <c r="K38" s="19"/>
    </row>
    <row r="39" spans="1:11" ht="19.5" customHeight="1" x14ac:dyDescent="0.25">
      <c r="A39" s="19"/>
      <c r="B39" s="233"/>
      <c r="C39" s="254"/>
      <c r="D39" s="255"/>
      <c r="E39" s="240"/>
      <c r="F39" s="19"/>
      <c r="G39" s="242"/>
      <c r="H39" s="238"/>
      <c r="I39" s="237"/>
      <c r="J39" s="236"/>
      <c r="K39" s="19"/>
    </row>
    <row r="40" spans="1:11" ht="19.5" customHeight="1" x14ac:dyDescent="0.25">
      <c r="A40" s="19"/>
      <c r="B40" s="233"/>
      <c r="C40" s="238"/>
      <c r="D40" s="239"/>
      <c r="E40" s="240"/>
      <c r="F40" s="19"/>
      <c r="G40" s="242"/>
      <c r="H40" s="238"/>
      <c r="I40" s="237"/>
      <c r="J40" s="236"/>
      <c r="K40" s="19"/>
    </row>
    <row r="41" spans="1:11" ht="19.5" customHeight="1" x14ac:dyDescent="0.25">
      <c r="A41" s="19"/>
      <c r="B41" s="233"/>
      <c r="C41" s="238"/>
      <c r="D41" s="239"/>
      <c r="E41" s="240"/>
      <c r="F41" s="19"/>
      <c r="G41" s="242"/>
      <c r="H41" s="238"/>
      <c r="I41" s="237"/>
      <c r="J41" s="236"/>
      <c r="K41" s="19"/>
    </row>
    <row r="42" spans="1:11" ht="19.5" customHeight="1" x14ac:dyDescent="0.25">
      <c r="A42" s="19"/>
      <c r="B42" s="233"/>
      <c r="C42" s="238"/>
      <c r="D42" s="239"/>
      <c r="E42" s="240"/>
      <c r="F42" s="19"/>
      <c r="G42" s="242"/>
      <c r="H42" s="238"/>
      <c r="I42" s="237"/>
      <c r="J42" s="236"/>
      <c r="K42" s="19"/>
    </row>
    <row r="43" spans="1:11" ht="19.5" customHeight="1" x14ac:dyDescent="0.25">
      <c r="A43" s="19"/>
      <c r="B43" s="233"/>
      <c r="C43" s="238"/>
      <c r="D43" s="239"/>
      <c r="E43" s="240"/>
      <c r="F43" s="19"/>
      <c r="G43" s="242"/>
      <c r="H43" s="238"/>
      <c r="I43" s="237"/>
      <c r="J43" s="236"/>
      <c r="K43" s="19"/>
    </row>
    <row r="44" spans="1:11" ht="19.5" customHeight="1" x14ac:dyDescent="0.25">
      <c r="A44" s="19"/>
      <c r="B44" s="233"/>
      <c r="C44" s="238"/>
      <c r="D44" s="239"/>
      <c r="E44" s="240"/>
      <c r="F44" s="19"/>
      <c r="G44" s="242"/>
      <c r="H44" s="238"/>
      <c r="I44" s="237"/>
      <c r="J44" s="236"/>
      <c r="K44" s="19"/>
    </row>
    <row r="45" spans="1:11" ht="19.5" customHeight="1" x14ac:dyDescent="0.25">
      <c r="A45" s="19"/>
      <c r="B45" s="233"/>
      <c r="C45" s="238"/>
      <c r="D45" s="239"/>
      <c r="E45" s="240"/>
      <c r="F45" s="19"/>
      <c r="G45" s="242"/>
      <c r="H45" s="238"/>
      <c r="I45" s="237"/>
      <c r="J45" s="236"/>
      <c r="K45" s="19"/>
    </row>
    <row r="46" spans="1:11" ht="19.5" customHeight="1" x14ac:dyDescent="0.25">
      <c r="A46" s="19"/>
      <c r="B46" s="233"/>
      <c r="C46" s="238"/>
      <c r="D46" s="239"/>
      <c r="E46" s="240"/>
      <c r="F46" s="19"/>
      <c r="G46" s="242"/>
      <c r="H46" s="238"/>
      <c r="I46" s="237"/>
      <c r="J46" s="236"/>
      <c r="K46" s="19"/>
    </row>
    <row r="47" spans="1:11" ht="19.5" customHeight="1" x14ac:dyDescent="0.25">
      <c r="A47" s="19"/>
      <c r="B47" s="233"/>
      <c r="C47" s="238"/>
      <c r="D47" s="239"/>
      <c r="E47" s="240"/>
      <c r="F47" s="19"/>
      <c r="G47" s="242"/>
      <c r="H47" s="238"/>
      <c r="I47" s="237"/>
      <c r="J47" s="236"/>
      <c r="K47" s="19"/>
    </row>
    <row r="48" spans="1:11" ht="19.5" customHeight="1" x14ac:dyDescent="0.25">
      <c r="A48" s="19"/>
      <c r="B48" s="233"/>
      <c r="C48" s="238"/>
      <c r="D48" s="239"/>
      <c r="E48" s="240"/>
      <c r="F48" s="19"/>
      <c r="G48" s="242"/>
      <c r="H48" s="238"/>
      <c r="I48" s="237"/>
      <c r="J48" s="236"/>
      <c r="K48" s="19"/>
    </row>
    <row r="49" spans="1:11" ht="19.5" customHeight="1" x14ac:dyDescent="0.25">
      <c r="A49" s="19"/>
      <c r="B49" s="233"/>
      <c r="C49" s="238"/>
      <c r="D49" s="239"/>
      <c r="E49" s="240"/>
      <c r="F49" s="19"/>
      <c r="G49" s="242"/>
      <c r="H49" s="238"/>
      <c r="I49" s="237"/>
      <c r="J49" s="236"/>
      <c r="K49" s="19"/>
    </row>
    <row r="50" spans="1:11" ht="19.5" customHeight="1" x14ac:dyDescent="0.25">
      <c r="A50" s="19"/>
      <c r="B50" s="233"/>
      <c r="C50" s="238"/>
      <c r="D50" s="239"/>
      <c r="E50" s="240"/>
      <c r="F50" s="19"/>
      <c r="G50" s="242"/>
      <c r="H50" s="238"/>
      <c r="I50" s="241"/>
      <c r="J50" s="240"/>
      <c r="K50" s="19"/>
    </row>
    <row r="51" spans="1:11" ht="19.5" customHeight="1" x14ac:dyDescent="0.25">
      <c r="A51" s="19"/>
      <c r="B51" s="233"/>
      <c r="C51" s="238"/>
      <c r="D51" s="239"/>
      <c r="E51" s="240"/>
      <c r="F51" s="19"/>
      <c r="G51" s="242"/>
      <c r="H51" s="238"/>
      <c r="I51" s="241"/>
      <c r="J51" s="240"/>
      <c r="K51" s="19"/>
    </row>
    <row r="52" spans="1:11" ht="19.5" customHeight="1" x14ac:dyDescent="0.25">
      <c r="A52" s="19"/>
      <c r="B52" s="233"/>
      <c r="C52" s="238"/>
      <c r="D52" s="239"/>
      <c r="E52" s="240"/>
      <c r="F52" s="19"/>
      <c r="G52" s="242"/>
      <c r="H52" s="238"/>
      <c r="I52" s="241"/>
      <c r="J52" s="240"/>
      <c r="K52" s="19"/>
    </row>
    <row r="53" spans="1:11" ht="19.5" customHeight="1" x14ac:dyDescent="0.25">
      <c r="A53" s="19"/>
      <c r="B53" s="233"/>
      <c r="C53" s="238"/>
      <c r="D53" s="239"/>
      <c r="E53" s="240"/>
      <c r="F53" s="19"/>
      <c r="G53" s="242"/>
      <c r="H53" s="238"/>
      <c r="I53" s="241"/>
      <c r="J53" s="240"/>
      <c r="K53" s="19"/>
    </row>
    <row r="54" spans="1:11" ht="19.5" customHeight="1" x14ac:dyDescent="0.25">
      <c r="A54" s="19"/>
      <c r="B54" s="233"/>
      <c r="C54" s="238"/>
      <c r="D54" s="239"/>
      <c r="E54" s="240"/>
      <c r="F54" s="19"/>
      <c r="G54" s="242"/>
      <c r="H54" s="238"/>
      <c r="I54" s="241"/>
      <c r="J54" s="240"/>
      <c r="K54" s="19"/>
    </row>
    <row r="55" spans="1:11" ht="19.5" customHeight="1" x14ac:dyDescent="0.25">
      <c r="A55" s="19"/>
      <c r="B55" s="233"/>
      <c r="C55" s="238"/>
      <c r="D55" s="239"/>
      <c r="E55" s="240"/>
      <c r="F55" s="19"/>
      <c r="G55" s="242"/>
      <c r="H55" s="238"/>
      <c r="I55" s="241"/>
      <c r="J55" s="240"/>
      <c r="K55" s="19"/>
    </row>
    <row r="56" spans="1:11" ht="19.5" customHeight="1" x14ac:dyDescent="0.25">
      <c r="A56" s="19"/>
      <c r="B56" s="233"/>
      <c r="C56" s="238"/>
      <c r="D56" s="239"/>
      <c r="E56" s="240"/>
      <c r="F56" s="19"/>
      <c r="G56" s="242"/>
      <c r="H56" s="238"/>
      <c r="I56" s="241"/>
      <c r="J56" s="240"/>
      <c r="K56" s="19"/>
    </row>
    <row r="57" spans="1:11" ht="19.5" customHeight="1" x14ac:dyDescent="0.25">
      <c r="A57" s="19"/>
      <c r="B57" s="233"/>
      <c r="C57" s="238"/>
      <c r="D57" s="239"/>
      <c r="E57" s="240"/>
      <c r="F57" s="19"/>
      <c r="G57" s="242"/>
      <c r="H57" s="238"/>
      <c r="I57" s="241"/>
      <c r="J57" s="240"/>
      <c r="K57" s="19"/>
    </row>
    <row r="58" spans="1:11" ht="19.5" customHeight="1" x14ac:dyDescent="0.25">
      <c r="A58" s="19"/>
      <c r="B58" s="233"/>
      <c r="C58" s="238"/>
      <c r="D58" s="239"/>
      <c r="E58" s="240"/>
      <c r="F58" s="19"/>
      <c r="G58" s="242"/>
      <c r="H58" s="238"/>
      <c r="I58" s="241"/>
      <c r="J58" s="240"/>
      <c r="K58" s="19"/>
    </row>
    <row r="59" spans="1:11" ht="19.5" customHeight="1" x14ac:dyDescent="0.25">
      <c r="A59" s="19"/>
      <c r="B59" s="233"/>
      <c r="C59" s="238"/>
      <c r="D59" s="239"/>
      <c r="E59" s="240"/>
      <c r="F59" s="19"/>
      <c r="G59" s="242"/>
      <c r="H59" s="238"/>
      <c r="I59" s="241"/>
      <c r="J59" s="240"/>
      <c r="K59" s="19"/>
    </row>
    <row r="60" spans="1:11" ht="19.5" customHeight="1" x14ac:dyDescent="0.25">
      <c r="A60" s="19"/>
      <c r="B60" s="233"/>
      <c r="C60" s="238"/>
      <c r="D60" s="239"/>
      <c r="E60" s="240"/>
      <c r="F60" s="19"/>
      <c r="G60" s="242"/>
      <c r="H60" s="238"/>
      <c r="I60" s="241"/>
      <c r="J60" s="240"/>
      <c r="K60" s="19"/>
    </row>
    <row r="61" spans="1:11" ht="19.5" customHeight="1" x14ac:dyDescent="0.25">
      <c r="A61" s="19"/>
      <c r="B61" s="233"/>
      <c r="C61" s="238"/>
      <c r="D61" s="239"/>
      <c r="E61" s="240"/>
      <c r="F61" s="19"/>
      <c r="G61" s="242"/>
      <c r="H61" s="238"/>
      <c r="I61" s="241"/>
      <c r="J61" s="240"/>
      <c r="K61" s="19"/>
    </row>
    <row r="62" spans="1:11" ht="19.5" customHeight="1" x14ac:dyDescent="0.25">
      <c r="A62" s="19"/>
      <c r="B62" s="233"/>
      <c r="C62" s="238"/>
      <c r="D62" s="239"/>
      <c r="E62" s="240"/>
      <c r="F62" s="19"/>
      <c r="G62" s="242"/>
      <c r="H62" s="238"/>
      <c r="I62" s="241"/>
      <c r="J62" s="240"/>
      <c r="K62" s="19"/>
    </row>
    <row r="63" spans="1:11" ht="19.5" customHeight="1" x14ac:dyDescent="0.25">
      <c r="A63" s="19"/>
      <c r="B63" s="233"/>
      <c r="C63" s="238"/>
      <c r="D63" s="239"/>
      <c r="E63" s="240"/>
      <c r="F63" s="19"/>
      <c r="G63" s="242"/>
      <c r="H63" s="238"/>
      <c r="I63" s="241"/>
      <c r="J63" s="240"/>
      <c r="K63" s="19"/>
    </row>
    <row r="64" spans="1:11" ht="19.5" customHeight="1" x14ac:dyDescent="0.25">
      <c r="A64" s="19"/>
      <c r="B64" s="233"/>
      <c r="C64" s="238"/>
      <c r="D64" s="239"/>
      <c r="E64" s="240"/>
      <c r="F64" s="19"/>
      <c r="G64" s="242"/>
      <c r="H64" s="238"/>
      <c r="I64" s="241"/>
      <c r="J64" s="240"/>
      <c r="K64" s="19"/>
    </row>
    <row r="65" spans="1:11" ht="19.5" customHeight="1" x14ac:dyDescent="0.25">
      <c r="A65" s="19"/>
      <c r="B65" s="233"/>
      <c r="C65" s="238"/>
      <c r="D65" s="239"/>
      <c r="E65" s="240"/>
      <c r="F65" s="19"/>
      <c r="G65" s="242"/>
      <c r="H65" s="238"/>
      <c r="I65" s="241"/>
      <c r="J65" s="240"/>
      <c r="K65" s="19"/>
    </row>
    <row r="66" spans="1:11" ht="19.5" customHeight="1" x14ac:dyDescent="0.25">
      <c r="A66" s="19"/>
      <c r="B66" s="233"/>
      <c r="C66" s="238"/>
      <c r="D66" s="239"/>
      <c r="E66" s="240"/>
      <c r="F66" s="19"/>
      <c r="G66" s="242"/>
      <c r="H66" s="238"/>
      <c r="I66" s="241"/>
      <c r="J66" s="240"/>
      <c r="K66" s="19"/>
    </row>
    <row r="67" spans="1:11" ht="19.5" customHeight="1" x14ac:dyDescent="0.25">
      <c r="A67" s="19"/>
      <c r="B67" s="233"/>
      <c r="C67" s="238"/>
      <c r="D67" s="239"/>
      <c r="E67" s="240"/>
      <c r="F67" s="19"/>
      <c r="G67" s="242"/>
      <c r="H67" s="238"/>
      <c r="I67" s="241"/>
      <c r="J67" s="240"/>
      <c r="K67" s="19"/>
    </row>
    <row r="68" spans="1:11" ht="19.5" customHeight="1" x14ac:dyDescent="0.25">
      <c r="A68" s="19"/>
      <c r="B68" s="233"/>
      <c r="C68" s="238"/>
      <c r="D68" s="239"/>
      <c r="E68" s="240"/>
      <c r="F68" s="19"/>
      <c r="G68" s="242"/>
      <c r="H68" s="238"/>
      <c r="I68" s="241"/>
      <c r="J68" s="240"/>
      <c r="K68" s="19"/>
    </row>
    <row r="69" spans="1:11" ht="19.5" customHeight="1" x14ac:dyDescent="0.25">
      <c r="A69" s="19"/>
      <c r="B69" s="233"/>
      <c r="C69" s="238"/>
      <c r="D69" s="239"/>
      <c r="E69" s="240"/>
      <c r="F69" s="19"/>
      <c r="G69" s="242"/>
      <c r="H69" s="238"/>
      <c r="I69" s="241"/>
      <c r="J69" s="240"/>
      <c r="K69" s="19"/>
    </row>
    <row r="70" spans="1:11" ht="19.5" customHeight="1" x14ac:dyDescent="0.25">
      <c r="A70" s="19"/>
      <c r="B70" s="233"/>
      <c r="C70" s="238"/>
      <c r="D70" s="239"/>
      <c r="E70" s="240"/>
      <c r="F70" s="19"/>
      <c r="G70" s="242"/>
      <c r="H70" s="238"/>
      <c r="I70" s="241"/>
      <c r="J70" s="240"/>
      <c r="K70" s="19"/>
    </row>
    <row r="71" spans="1:11" ht="19.5" customHeight="1" x14ac:dyDescent="0.25">
      <c r="A71" s="19"/>
      <c r="B71" s="233"/>
      <c r="C71" s="238"/>
      <c r="D71" s="239"/>
      <c r="E71" s="240"/>
      <c r="F71" s="19"/>
      <c r="G71" s="242"/>
      <c r="H71" s="238"/>
      <c r="I71" s="241"/>
      <c r="J71" s="240"/>
      <c r="K71" s="19"/>
    </row>
    <row r="72" spans="1:11" ht="19.5" customHeight="1" x14ac:dyDescent="0.25">
      <c r="A72" s="19"/>
      <c r="B72" s="244"/>
      <c r="C72" s="238"/>
      <c r="D72" s="239"/>
      <c r="E72" s="240"/>
      <c r="F72" s="19"/>
      <c r="G72" s="242"/>
      <c r="H72" s="238"/>
      <c r="I72" s="241"/>
      <c r="J72" s="240"/>
      <c r="K72" s="19"/>
    </row>
    <row r="73" spans="1:11" ht="19.5" customHeight="1" x14ac:dyDescent="0.25">
      <c r="A73" s="19"/>
      <c r="B73" s="233"/>
      <c r="C73" s="238"/>
      <c r="D73" s="239"/>
      <c r="E73" s="240"/>
      <c r="F73" s="19"/>
      <c r="G73" s="242"/>
      <c r="H73" s="238"/>
      <c r="I73" s="241"/>
      <c r="J73" s="240"/>
      <c r="K73" s="19"/>
    </row>
    <row r="74" spans="1:11" ht="19.5" customHeight="1" x14ac:dyDescent="0.25">
      <c r="A74" s="19"/>
      <c r="B74" s="233"/>
      <c r="C74" s="238"/>
      <c r="D74" s="239"/>
      <c r="E74" s="240"/>
      <c r="F74" s="19"/>
      <c r="G74" s="242"/>
      <c r="H74" s="238"/>
      <c r="I74" s="241"/>
      <c r="J74" s="240"/>
      <c r="K74" s="19"/>
    </row>
    <row r="75" spans="1:11" ht="19.5" customHeight="1" x14ac:dyDescent="0.25">
      <c r="A75" s="19"/>
      <c r="B75" s="233"/>
      <c r="C75" s="238"/>
      <c r="D75" s="239"/>
      <c r="E75" s="240"/>
      <c r="F75" s="19"/>
      <c r="G75" s="242"/>
      <c r="H75" s="238"/>
      <c r="I75" s="241"/>
      <c r="J75" s="240"/>
      <c r="K75" s="19"/>
    </row>
    <row r="76" spans="1:11" ht="19.5" customHeight="1" x14ac:dyDescent="0.25">
      <c r="A76" s="19"/>
      <c r="B76" s="233"/>
      <c r="C76" s="238"/>
      <c r="D76" s="239"/>
      <c r="E76" s="240"/>
      <c r="F76" s="19"/>
      <c r="G76" s="242"/>
      <c r="H76" s="238"/>
      <c r="I76" s="241"/>
      <c r="J76" s="240"/>
      <c r="K76" s="19"/>
    </row>
    <row r="77" spans="1:11" ht="19.5" customHeight="1" x14ac:dyDescent="0.25">
      <c r="A77" s="19"/>
      <c r="B77" s="233"/>
      <c r="C77" s="238"/>
      <c r="D77" s="239"/>
      <c r="E77" s="240"/>
      <c r="F77" s="19"/>
      <c r="G77" s="242"/>
      <c r="H77" s="238"/>
      <c r="I77" s="241"/>
      <c r="J77" s="240"/>
      <c r="K77" s="19"/>
    </row>
    <row r="78" spans="1:11" ht="19.5" customHeight="1" x14ac:dyDescent="0.25">
      <c r="A78" s="19"/>
      <c r="B78" s="233"/>
      <c r="C78" s="238"/>
      <c r="D78" s="239"/>
      <c r="E78" s="240"/>
      <c r="F78" s="19"/>
      <c r="G78" s="242"/>
      <c r="H78" s="238"/>
      <c r="I78" s="241"/>
      <c r="J78" s="240"/>
      <c r="K78" s="19"/>
    </row>
    <row r="79" spans="1:11" ht="19.5" customHeight="1" x14ac:dyDescent="0.25">
      <c r="A79" s="19"/>
      <c r="B79" s="233"/>
      <c r="C79" s="238"/>
      <c r="D79" s="239"/>
      <c r="E79" s="240"/>
      <c r="F79" s="19"/>
      <c r="G79" s="242"/>
      <c r="H79" s="238"/>
      <c r="I79" s="241"/>
      <c r="J79" s="240"/>
      <c r="K79" s="19"/>
    </row>
    <row r="80" spans="1:11" ht="19.5" customHeight="1" x14ac:dyDescent="0.25">
      <c r="A80" s="19"/>
      <c r="B80" s="233"/>
      <c r="C80" s="238"/>
      <c r="D80" s="239"/>
      <c r="E80" s="240"/>
      <c r="F80" s="19"/>
      <c r="G80" s="242"/>
      <c r="H80" s="238"/>
      <c r="I80" s="241"/>
      <c r="J80" s="240"/>
      <c r="K80" s="19"/>
    </row>
    <row r="81" spans="1:11" ht="19.5" customHeight="1" x14ac:dyDescent="0.25">
      <c r="A81" s="19"/>
      <c r="B81" s="233"/>
      <c r="C81" s="238"/>
      <c r="D81" s="239"/>
      <c r="E81" s="240"/>
      <c r="F81" s="19"/>
      <c r="G81" s="242"/>
      <c r="H81" s="238"/>
      <c r="I81" s="241"/>
      <c r="J81" s="240"/>
      <c r="K81" s="19"/>
    </row>
    <row r="82" spans="1:11" ht="19.5" customHeight="1" x14ac:dyDescent="0.25">
      <c r="A82" s="19"/>
      <c r="B82" s="233"/>
      <c r="C82" s="238"/>
      <c r="D82" s="239"/>
      <c r="E82" s="240"/>
      <c r="F82" s="19"/>
      <c r="G82" s="242"/>
      <c r="H82" s="238"/>
      <c r="I82" s="241"/>
      <c r="J82" s="240"/>
      <c r="K82" s="19"/>
    </row>
    <row r="83" spans="1:11" ht="19.5" customHeight="1" x14ac:dyDescent="0.25">
      <c r="A83" s="19"/>
      <c r="B83" s="233"/>
      <c r="C83" s="238"/>
      <c r="D83" s="239"/>
      <c r="E83" s="240"/>
      <c r="F83" s="19"/>
      <c r="G83" s="242"/>
      <c r="H83" s="238"/>
      <c r="I83" s="241"/>
      <c r="J83" s="240"/>
      <c r="K83" s="19"/>
    </row>
    <row r="84" spans="1:11" ht="19.5" customHeight="1" x14ac:dyDescent="0.25">
      <c r="A84" s="19"/>
      <c r="B84" s="233"/>
      <c r="C84" s="238"/>
      <c r="D84" s="239"/>
      <c r="E84" s="240"/>
      <c r="F84" s="19"/>
      <c r="G84" s="242"/>
      <c r="H84" s="238"/>
      <c r="I84" s="241"/>
      <c r="J84" s="240"/>
      <c r="K84" s="19"/>
    </row>
    <row r="85" spans="1:11" ht="19.5" customHeight="1" x14ac:dyDescent="0.25">
      <c r="A85" s="19"/>
      <c r="B85" s="233"/>
      <c r="C85" s="238"/>
      <c r="D85" s="239"/>
      <c r="E85" s="240"/>
      <c r="F85" s="19"/>
      <c r="G85" s="242"/>
      <c r="H85" s="238"/>
      <c r="I85" s="241"/>
      <c r="J85" s="240"/>
      <c r="K85" s="19"/>
    </row>
    <row r="86" spans="1:11" ht="19.5" customHeight="1" x14ac:dyDescent="0.25">
      <c r="A86" s="19"/>
      <c r="B86" s="233"/>
      <c r="C86" s="238"/>
      <c r="D86" s="239"/>
      <c r="E86" s="240"/>
      <c r="F86" s="19"/>
      <c r="G86" s="242"/>
      <c r="H86" s="238"/>
      <c r="I86" s="241"/>
      <c r="J86" s="240"/>
      <c r="K86" s="19"/>
    </row>
    <row r="87" spans="1:11" ht="19.5" customHeight="1" x14ac:dyDescent="0.25">
      <c r="A87" s="19"/>
      <c r="B87" s="233"/>
      <c r="C87" s="238"/>
      <c r="D87" s="239"/>
      <c r="E87" s="240"/>
      <c r="F87" s="19"/>
      <c r="G87" s="242"/>
      <c r="H87" s="238"/>
      <c r="I87" s="241"/>
      <c r="J87" s="240"/>
      <c r="K87" s="19"/>
    </row>
    <row r="88" spans="1:11" ht="19.5" customHeight="1" x14ac:dyDescent="0.25">
      <c r="A88" s="19"/>
      <c r="B88" s="233"/>
      <c r="C88" s="238"/>
      <c r="D88" s="239"/>
      <c r="E88" s="240"/>
      <c r="F88" s="19"/>
      <c r="G88" s="242"/>
      <c r="H88" s="238"/>
      <c r="I88" s="241"/>
      <c r="J88" s="240"/>
      <c r="K88" s="19"/>
    </row>
    <row r="89" spans="1:11" ht="19.5" customHeight="1" x14ac:dyDescent="0.25">
      <c r="A89" s="19"/>
      <c r="B89" s="233"/>
      <c r="C89" s="238"/>
      <c r="D89" s="239"/>
      <c r="E89" s="240"/>
      <c r="F89" s="19"/>
      <c r="G89" s="242"/>
      <c r="H89" s="238"/>
      <c r="I89" s="241"/>
      <c r="J89" s="240"/>
      <c r="K89" s="19"/>
    </row>
    <row r="90" spans="1:11" ht="19.5" customHeight="1" x14ac:dyDescent="0.25">
      <c r="A90" s="19"/>
      <c r="B90" s="233"/>
      <c r="C90" s="238"/>
      <c r="D90" s="239"/>
      <c r="E90" s="240"/>
      <c r="F90" s="19"/>
      <c r="G90" s="242"/>
      <c r="H90" s="238"/>
      <c r="I90" s="241"/>
      <c r="J90" s="240"/>
      <c r="K90" s="19"/>
    </row>
    <row r="91" spans="1:11" ht="19.5" customHeight="1" x14ac:dyDescent="0.25">
      <c r="A91" s="19"/>
      <c r="B91" s="233"/>
      <c r="C91" s="238"/>
      <c r="D91" s="239"/>
      <c r="E91" s="240"/>
      <c r="F91" s="19"/>
      <c r="G91" s="242"/>
      <c r="H91" s="238"/>
      <c r="I91" s="241"/>
      <c r="J91" s="240"/>
      <c r="K91" s="19"/>
    </row>
    <row r="92" spans="1:11" ht="19.5" customHeight="1" x14ac:dyDescent="0.25">
      <c r="A92" s="19"/>
      <c r="B92" s="233"/>
      <c r="C92" s="238"/>
      <c r="D92" s="239"/>
      <c r="E92" s="240"/>
      <c r="F92" s="19"/>
      <c r="G92" s="242"/>
      <c r="H92" s="238"/>
      <c r="I92" s="241"/>
      <c r="J92" s="240"/>
      <c r="K92" s="19"/>
    </row>
    <row r="93" spans="1:11" ht="19.5" customHeight="1" x14ac:dyDescent="0.25">
      <c r="A93" s="19"/>
      <c r="B93" s="233"/>
      <c r="C93" s="238"/>
      <c r="D93" s="239"/>
      <c r="E93" s="240"/>
      <c r="F93" s="19"/>
      <c r="G93" s="242"/>
      <c r="H93" s="238"/>
      <c r="I93" s="241"/>
      <c r="J93" s="240"/>
      <c r="K93" s="19"/>
    </row>
    <row r="94" spans="1:11" ht="19.5" customHeight="1" x14ac:dyDescent="0.25">
      <c r="A94" s="19"/>
      <c r="B94" s="233"/>
      <c r="C94" s="238"/>
      <c r="D94" s="239"/>
      <c r="E94" s="240"/>
      <c r="F94" s="19"/>
      <c r="G94" s="242"/>
      <c r="H94" s="238"/>
      <c r="I94" s="241"/>
      <c r="J94" s="240"/>
      <c r="K94" s="19"/>
    </row>
    <row r="95" spans="1:11" ht="19.5" customHeight="1" x14ac:dyDescent="0.25">
      <c r="A95" s="19"/>
      <c r="B95" s="233"/>
      <c r="C95" s="238"/>
      <c r="D95" s="239"/>
      <c r="E95" s="240"/>
      <c r="F95" s="19"/>
      <c r="G95" s="242"/>
      <c r="H95" s="238"/>
      <c r="I95" s="241"/>
      <c r="J95" s="240"/>
      <c r="K95" s="19"/>
    </row>
    <row r="96" spans="1:11" ht="19.5" customHeight="1" x14ac:dyDescent="0.25">
      <c r="A96" s="19"/>
      <c r="B96" s="233"/>
      <c r="C96" s="238"/>
      <c r="D96" s="239"/>
      <c r="E96" s="240"/>
      <c r="F96" s="19"/>
      <c r="G96" s="242"/>
      <c r="H96" s="238"/>
      <c r="I96" s="241"/>
      <c r="J96" s="240"/>
      <c r="K96" s="19"/>
    </row>
    <row r="97" spans="1:11" ht="19.5" customHeight="1" x14ac:dyDescent="0.25">
      <c r="A97" s="19"/>
      <c r="B97" s="233"/>
      <c r="C97" s="238"/>
      <c r="D97" s="239"/>
      <c r="E97" s="240"/>
      <c r="F97" s="19"/>
      <c r="G97" s="242"/>
      <c r="H97" s="238"/>
      <c r="I97" s="241"/>
      <c r="J97" s="240"/>
      <c r="K97" s="19"/>
    </row>
    <row r="98" spans="1:11" ht="19.5" customHeight="1" x14ac:dyDescent="0.25">
      <c r="A98" s="19"/>
      <c r="B98" s="233"/>
      <c r="C98" s="238"/>
      <c r="D98" s="239"/>
      <c r="E98" s="240"/>
      <c r="F98" s="19"/>
      <c r="G98" s="242"/>
      <c r="H98" s="238"/>
      <c r="I98" s="241"/>
      <c r="J98" s="240"/>
      <c r="K98" s="19"/>
    </row>
    <row r="99" spans="1:11" ht="19.5" customHeight="1" x14ac:dyDescent="0.25">
      <c r="A99" s="19"/>
      <c r="B99" s="233"/>
      <c r="C99" s="238"/>
      <c r="D99" s="239"/>
      <c r="E99" s="240"/>
      <c r="F99" s="19"/>
      <c r="G99" s="242"/>
      <c r="H99" s="238"/>
      <c r="I99" s="241"/>
      <c r="J99" s="240"/>
      <c r="K99" s="19"/>
    </row>
    <row r="100" spans="1:11" ht="19.5" customHeight="1" x14ac:dyDescent="0.25">
      <c r="A100" s="19"/>
      <c r="B100" s="233"/>
      <c r="C100" s="238"/>
      <c r="D100" s="239"/>
      <c r="E100" s="240"/>
      <c r="F100" s="19"/>
      <c r="G100" s="242"/>
      <c r="H100" s="238"/>
      <c r="I100" s="241"/>
      <c r="J100" s="240"/>
      <c r="K100" s="19"/>
    </row>
    <row r="101" spans="1:11" ht="19.5" customHeight="1" x14ac:dyDescent="0.25">
      <c r="A101" s="19"/>
      <c r="B101" s="233"/>
      <c r="C101" s="238"/>
      <c r="D101" s="239"/>
      <c r="E101" s="240"/>
      <c r="F101" s="19"/>
      <c r="G101" s="242"/>
      <c r="H101" s="238"/>
      <c r="I101" s="241"/>
      <c r="J101" s="240"/>
      <c r="K101" s="19"/>
    </row>
    <row r="102" spans="1:11" ht="19.5" customHeight="1" x14ac:dyDescent="0.25">
      <c r="A102" s="19"/>
      <c r="B102" s="233"/>
      <c r="C102" s="238"/>
      <c r="D102" s="239"/>
      <c r="E102" s="240"/>
      <c r="F102" s="19"/>
      <c r="G102" s="242"/>
      <c r="H102" s="238"/>
      <c r="I102" s="241"/>
      <c r="J102" s="240"/>
      <c r="K102" s="19"/>
    </row>
    <row r="103" spans="1:11" ht="19.5" customHeight="1" x14ac:dyDescent="0.25">
      <c r="A103" s="19"/>
      <c r="B103" s="233"/>
      <c r="C103" s="238"/>
      <c r="D103" s="239"/>
      <c r="E103" s="240"/>
      <c r="F103" s="19"/>
      <c r="G103" s="242"/>
      <c r="H103" s="238"/>
      <c r="I103" s="241"/>
      <c r="J103" s="240"/>
      <c r="K103" s="19"/>
    </row>
    <row r="104" spans="1:11" ht="19.5" customHeight="1" x14ac:dyDescent="0.25">
      <c r="A104" s="19"/>
      <c r="B104" s="233"/>
      <c r="C104" s="238"/>
      <c r="D104" s="239"/>
      <c r="E104" s="240"/>
      <c r="F104" s="19"/>
      <c r="G104" s="242"/>
      <c r="H104" s="238"/>
      <c r="I104" s="241"/>
      <c r="J104" s="240"/>
      <c r="K104" s="19"/>
    </row>
    <row r="105" spans="1:11" ht="19.5" customHeight="1" x14ac:dyDescent="0.25">
      <c r="A105" s="19"/>
      <c r="B105" s="233"/>
      <c r="C105" s="238"/>
      <c r="D105" s="239"/>
      <c r="E105" s="240"/>
      <c r="F105" s="19"/>
      <c r="G105" s="242"/>
      <c r="H105" s="238"/>
      <c r="I105" s="241"/>
      <c r="J105" s="240"/>
      <c r="K105" s="19"/>
    </row>
    <row r="106" spans="1:11" ht="19.5" customHeight="1" x14ac:dyDescent="0.25">
      <c r="A106" s="19"/>
      <c r="B106" s="233"/>
      <c r="C106" s="238"/>
      <c r="D106" s="239"/>
      <c r="E106" s="240"/>
      <c r="F106" s="19"/>
      <c r="G106" s="242"/>
      <c r="H106" s="238"/>
      <c r="I106" s="241"/>
      <c r="J106" s="240"/>
      <c r="K106" s="19"/>
    </row>
    <row r="107" spans="1:11" ht="19.5" customHeight="1" x14ac:dyDescent="0.25">
      <c r="A107" s="19"/>
      <c r="B107" s="233"/>
      <c r="C107" s="238"/>
      <c r="D107" s="239"/>
      <c r="E107" s="240"/>
      <c r="F107" s="19"/>
      <c r="G107" s="242"/>
      <c r="H107" s="238"/>
      <c r="I107" s="241"/>
      <c r="J107" s="240"/>
      <c r="K107" s="19"/>
    </row>
    <row r="108" spans="1:11" ht="19.5" customHeight="1" x14ac:dyDescent="0.25">
      <c r="A108" s="19"/>
      <c r="B108" s="233"/>
      <c r="C108" s="238"/>
      <c r="D108" s="239"/>
      <c r="E108" s="240"/>
      <c r="F108" s="19"/>
      <c r="G108" s="242"/>
      <c r="H108" s="238"/>
      <c r="I108" s="241"/>
      <c r="J108" s="240"/>
      <c r="K108" s="19"/>
    </row>
    <row r="109" spans="1:11" ht="19.5" customHeight="1" x14ac:dyDescent="0.25">
      <c r="A109" s="19"/>
      <c r="B109" s="233"/>
      <c r="C109" s="238"/>
      <c r="D109" s="239"/>
      <c r="E109" s="240"/>
      <c r="F109" s="19"/>
      <c r="G109" s="242"/>
      <c r="H109" s="238"/>
      <c r="I109" s="241"/>
      <c r="J109" s="240"/>
      <c r="K109" s="19"/>
    </row>
    <row r="110" spans="1:11" ht="19.5" customHeight="1" x14ac:dyDescent="0.25">
      <c r="A110" s="19"/>
      <c r="B110" s="233"/>
      <c r="C110" s="238"/>
      <c r="D110" s="239"/>
      <c r="E110" s="240"/>
      <c r="F110" s="19"/>
      <c r="G110" s="242"/>
      <c r="H110" s="238"/>
      <c r="I110" s="241"/>
      <c r="J110" s="240"/>
      <c r="K110" s="19"/>
    </row>
    <row r="111" spans="1:11" ht="19.5" customHeight="1" x14ac:dyDescent="0.25">
      <c r="A111" s="19"/>
      <c r="B111" s="233"/>
      <c r="C111" s="238"/>
      <c r="D111" s="239"/>
      <c r="E111" s="240"/>
      <c r="F111" s="19"/>
      <c r="G111" s="242"/>
      <c r="H111" s="238"/>
      <c r="I111" s="241"/>
      <c r="J111" s="240"/>
      <c r="K111" s="19"/>
    </row>
    <row r="112" spans="1:11" ht="19.5" customHeight="1" x14ac:dyDescent="0.25">
      <c r="A112" s="19"/>
      <c r="B112" s="233"/>
      <c r="C112" s="238"/>
      <c r="D112" s="239"/>
      <c r="E112" s="240"/>
      <c r="F112" s="19"/>
      <c r="G112" s="242"/>
      <c r="H112" s="238"/>
      <c r="I112" s="241"/>
      <c r="J112" s="240"/>
      <c r="K112" s="19"/>
    </row>
    <row r="113" spans="1:11" ht="19.5" customHeight="1" x14ac:dyDescent="0.25">
      <c r="A113" s="19"/>
      <c r="B113" s="233"/>
      <c r="C113" s="238"/>
      <c r="D113" s="239"/>
      <c r="E113" s="240"/>
      <c r="F113" s="19"/>
      <c r="G113" s="242"/>
      <c r="H113" s="238"/>
      <c r="I113" s="241"/>
      <c r="J113" s="240"/>
      <c r="K113" s="19"/>
    </row>
    <row r="114" spans="1:11" ht="19.5" customHeight="1" x14ac:dyDescent="0.25">
      <c r="A114" s="19"/>
      <c r="B114" s="233"/>
      <c r="C114" s="238"/>
      <c r="D114" s="239"/>
      <c r="E114" s="240"/>
      <c r="F114" s="19"/>
      <c r="G114" s="242"/>
      <c r="H114" s="238"/>
      <c r="I114" s="241"/>
      <c r="J114" s="240"/>
      <c r="K114" s="19"/>
    </row>
    <row r="115" spans="1:11" ht="19.5" customHeight="1" x14ac:dyDescent="0.25">
      <c r="A115" s="19"/>
      <c r="B115" s="233"/>
      <c r="C115" s="238"/>
      <c r="D115" s="239"/>
      <c r="E115" s="240"/>
      <c r="F115" s="19"/>
      <c r="G115" s="242"/>
      <c r="H115" s="238"/>
      <c r="I115" s="241"/>
      <c r="J115" s="240"/>
      <c r="K115" s="19"/>
    </row>
    <row r="116" spans="1:11" ht="19.5" customHeight="1" x14ac:dyDescent="0.25">
      <c r="A116" s="19"/>
      <c r="B116" s="233"/>
      <c r="C116" s="238"/>
      <c r="D116" s="239"/>
      <c r="E116" s="240"/>
      <c r="F116" s="19"/>
      <c r="G116" s="242"/>
      <c r="H116" s="238"/>
      <c r="I116" s="241"/>
      <c r="J116" s="240"/>
      <c r="K116" s="19"/>
    </row>
    <row r="117" spans="1:11" ht="19.5" customHeight="1" x14ac:dyDescent="0.25">
      <c r="A117" s="19"/>
      <c r="B117" s="233"/>
      <c r="C117" s="238"/>
      <c r="D117" s="239"/>
      <c r="E117" s="240"/>
      <c r="F117" s="19"/>
      <c r="G117" s="242"/>
      <c r="H117" s="238"/>
      <c r="I117" s="241"/>
      <c r="J117" s="240"/>
      <c r="K117" s="19"/>
    </row>
    <row r="118" spans="1:11" ht="19.5" customHeight="1" x14ac:dyDescent="0.25">
      <c r="A118" s="19"/>
      <c r="B118" s="233"/>
      <c r="C118" s="238"/>
      <c r="D118" s="239"/>
      <c r="E118" s="240"/>
      <c r="F118" s="19"/>
      <c r="G118" s="242"/>
      <c r="H118" s="238"/>
      <c r="I118" s="241"/>
      <c r="J118" s="240"/>
      <c r="K118" s="19"/>
    </row>
    <row r="119" spans="1:11" ht="19.5" customHeight="1" x14ac:dyDescent="0.25">
      <c r="A119" s="19"/>
      <c r="B119" s="233"/>
      <c r="C119" s="238"/>
      <c r="D119" s="239"/>
      <c r="E119" s="240"/>
      <c r="F119" s="19"/>
      <c r="G119" s="242"/>
      <c r="H119" s="238"/>
      <c r="I119" s="241"/>
      <c r="J119" s="240"/>
      <c r="K119" s="19"/>
    </row>
    <row r="120" spans="1:11" ht="19.5" customHeight="1" x14ac:dyDescent="0.25">
      <c r="A120" s="19"/>
      <c r="B120" s="233"/>
      <c r="C120" s="238"/>
      <c r="D120" s="239"/>
      <c r="E120" s="240"/>
      <c r="F120" s="19"/>
      <c r="G120" s="242"/>
      <c r="H120" s="238"/>
      <c r="I120" s="241"/>
      <c r="J120" s="240"/>
      <c r="K120" s="19"/>
    </row>
    <row r="121" spans="1:11" ht="19.5" customHeight="1" x14ac:dyDescent="0.25">
      <c r="A121" s="19"/>
      <c r="B121" s="233"/>
      <c r="C121" s="238"/>
      <c r="D121" s="239"/>
      <c r="E121" s="240"/>
      <c r="F121" s="19"/>
      <c r="G121" s="242"/>
      <c r="H121" s="238"/>
      <c r="I121" s="241"/>
      <c r="J121" s="240"/>
      <c r="K121" s="19"/>
    </row>
    <row r="122" spans="1:11" ht="19.5" customHeight="1" x14ac:dyDescent="0.25">
      <c r="A122" s="19"/>
      <c r="B122" s="233"/>
      <c r="C122" s="238"/>
      <c r="D122" s="239"/>
      <c r="E122" s="240"/>
      <c r="F122" s="19"/>
      <c r="G122" s="242"/>
      <c r="H122" s="238"/>
      <c r="I122" s="241"/>
      <c r="J122" s="240"/>
      <c r="K122" s="19"/>
    </row>
    <row r="123" spans="1:11" ht="19.5" customHeight="1" x14ac:dyDescent="0.25">
      <c r="A123" s="19"/>
      <c r="B123" s="233"/>
      <c r="C123" s="238"/>
      <c r="D123" s="239"/>
      <c r="E123" s="240"/>
      <c r="F123" s="19"/>
      <c r="G123" s="242"/>
      <c r="H123" s="238"/>
      <c r="I123" s="241"/>
      <c r="J123" s="240"/>
      <c r="K123" s="19"/>
    </row>
    <row r="124" spans="1:11" ht="19.5" customHeight="1" x14ac:dyDescent="0.25">
      <c r="A124" s="19"/>
      <c r="B124" s="233"/>
      <c r="C124" s="238"/>
      <c r="D124" s="239"/>
      <c r="E124" s="240"/>
      <c r="F124" s="19"/>
      <c r="G124" s="242"/>
      <c r="H124" s="238"/>
      <c r="I124" s="241"/>
      <c r="J124" s="240"/>
      <c r="K124" s="19"/>
    </row>
    <row r="125" spans="1:11" ht="19.5" customHeight="1" x14ac:dyDescent="0.25">
      <c r="A125" s="19"/>
      <c r="B125" s="233"/>
      <c r="C125" s="238"/>
      <c r="D125" s="239"/>
      <c r="E125" s="240"/>
      <c r="F125" s="19"/>
      <c r="G125" s="242"/>
      <c r="H125" s="238"/>
      <c r="I125" s="241"/>
      <c r="J125" s="240"/>
      <c r="K125" s="19"/>
    </row>
    <row r="126" spans="1:11" ht="19.5" customHeight="1" x14ac:dyDescent="0.25">
      <c r="A126" s="19"/>
      <c r="B126" s="233"/>
      <c r="C126" s="238"/>
      <c r="D126" s="239"/>
      <c r="E126" s="240"/>
      <c r="F126" s="19"/>
      <c r="G126" s="242"/>
      <c r="H126" s="238"/>
      <c r="I126" s="241"/>
      <c r="J126" s="240"/>
      <c r="K126" s="19"/>
    </row>
    <row r="127" spans="1:11" ht="19.5" customHeight="1" x14ac:dyDescent="0.25">
      <c r="A127" s="19"/>
      <c r="B127" s="233"/>
      <c r="C127" s="238"/>
      <c r="D127" s="239"/>
      <c r="E127" s="240"/>
      <c r="F127" s="19"/>
      <c r="G127" s="242"/>
      <c r="H127" s="238"/>
      <c r="I127" s="241"/>
      <c r="J127" s="240"/>
      <c r="K127" s="19"/>
    </row>
    <row r="128" spans="1:11" ht="19.5" customHeight="1" x14ac:dyDescent="0.25">
      <c r="A128" s="19"/>
      <c r="B128" s="233"/>
      <c r="C128" s="238"/>
      <c r="D128" s="239"/>
      <c r="E128" s="240"/>
      <c r="F128" s="19"/>
      <c r="G128" s="242"/>
      <c r="H128" s="238"/>
      <c r="I128" s="241"/>
      <c r="J128" s="240"/>
      <c r="K128" s="19"/>
    </row>
    <row r="129" spans="1:11" ht="19.5" customHeight="1" x14ac:dyDescent="0.25">
      <c r="A129" s="19"/>
      <c r="B129" s="233"/>
      <c r="C129" s="238"/>
      <c r="D129" s="239"/>
      <c r="E129" s="240"/>
      <c r="F129" s="19"/>
      <c r="G129" s="242"/>
      <c r="H129" s="238"/>
      <c r="I129" s="241"/>
      <c r="J129" s="240"/>
      <c r="K129" s="19"/>
    </row>
    <row r="130" spans="1:11" ht="19.5" customHeight="1" x14ac:dyDescent="0.25">
      <c r="A130" s="19"/>
      <c r="B130" s="233"/>
      <c r="C130" s="238"/>
      <c r="D130" s="239"/>
      <c r="E130" s="240"/>
      <c r="F130" s="19"/>
      <c r="G130" s="242"/>
      <c r="H130" s="238"/>
      <c r="I130" s="241"/>
      <c r="J130" s="240"/>
      <c r="K130" s="19"/>
    </row>
    <row r="131" spans="1:11" ht="19.5" customHeight="1" x14ac:dyDescent="0.25">
      <c r="A131" s="19"/>
      <c r="B131" s="233"/>
      <c r="C131" s="238"/>
      <c r="D131" s="239"/>
      <c r="E131" s="240"/>
      <c r="F131" s="19"/>
      <c r="G131" s="242"/>
      <c r="H131" s="238"/>
      <c r="I131" s="241"/>
      <c r="J131" s="240"/>
      <c r="K131" s="19"/>
    </row>
    <row r="132" spans="1:11" ht="19.5" customHeight="1" x14ac:dyDescent="0.25">
      <c r="A132" s="19"/>
      <c r="B132" s="233"/>
      <c r="C132" s="238"/>
      <c r="D132" s="239"/>
      <c r="E132" s="240"/>
      <c r="F132" s="19"/>
      <c r="G132" s="242"/>
      <c r="H132" s="238"/>
      <c r="I132" s="241"/>
      <c r="J132" s="240"/>
      <c r="K132" s="19"/>
    </row>
    <row r="133" spans="1:11" ht="19.5" customHeight="1" x14ac:dyDescent="0.25">
      <c r="A133" s="19"/>
      <c r="B133" s="244"/>
      <c r="C133" s="238"/>
      <c r="D133" s="239"/>
      <c r="E133" s="240"/>
      <c r="F133" s="19"/>
      <c r="G133" s="242"/>
      <c r="H133" s="238"/>
      <c r="I133" s="241"/>
      <c r="J133" s="240"/>
      <c r="K133" s="19"/>
    </row>
    <row r="134" spans="1:11" ht="19.5" customHeight="1" x14ac:dyDescent="0.25">
      <c r="A134" s="19"/>
      <c r="B134" s="233"/>
      <c r="C134" s="238"/>
      <c r="D134" s="239"/>
      <c r="E134" s="240"/>
      <c r="F134" s="19"/>
      <c r="G134" s="242"/>
      <c r="H134" s="238"/>
      <c r="I134" s="241"/>
      <c r="J134" s="240"/>
      <c r="K134" s="19"/>
    </row>
    <row r="135" spans="1:11" ht="19.5" customHeight="1" x14ac:dyDescent="0.25">
      <c r="A135" s="19"/>
      <c r="B135" s="244"/>
      <c r="C135" s="238"/>
      <c r="D135" s="239"/>
      <c r="E135" s="240"/>
      <c r="F135" s="19"/>
      <c r="G135" s="242"/>
      <c r="H135" s="238"/>
      <c r="I135" s="241"/>
      <c r="J135" s="240"/>
      <c r="K135" s="19"/>
    </row>
    <row r="136" spans="1:11" ht="19.5" customHeight="1" x14ac:dyDescent="0.25">
      <c r="A136" s="19"/>
      <c r="B136" s="233"/>
      <c r="C136" s="238"/>
      <c r="D136" s="239"/>
      <c r="E136" s="240"/>
      <c r="F136" s="19"/>
      <c r="G136" s="242"/>
      <c r="H136" s="238"/>
      <c r="I136" s="241"/>
      <c r="J136" s="240"/>
      <c r="K136" s="19"/>
    </row>
    <row r="137" spans="1:11" ht="19.5" customHeight="1" x14ac:dyDescent="0.25">
      <c r="A137" s="19"/>
      <c r="B137" s="244"/>
      <c r="C137" s="238"/>
      <c r="D137" s="239"/>
      <c r="E137" s="240"/>
      <c r="F137" s="19"/>
      <c r="G137" s="242"/>
      <c r="H137" s="238"/>
      <c r="I137" s="241"/>
      <c r="J137" s="240"/>
      <c r="K137" s="19"/>
    </row>
    <row r="138" spans="1:11" ht="19.5" customHeight="1" x14ac:dyDescent="0.25">
      <c r="A138" s="19"/>
      <c r="B138" s="233"/>
      <c r="C138" s="238"/>
      <c r="D138" s="239"/>
      <c r="E138" s="240"/>
      <c r="F138" s="19"/>
      <c r="G138" s="242"/>
      <c r="H138" s="238"/>
      <c r="I138" s="241"/>
      <c r="J138" s="240"/>
      <c r="K138" s="19"/>
    </row>
    <row r="139" spans="1:11" ht="19.5" customHeight="1" x14ac:dyDescent="0.25">
      <c r="A139" s="19"/>
      <c r="B139" s="233"/>
      <c r="C139" s="238"/>
      <c r="D139" s="239"/>
      <c r="E139" s="240"/>
      <c r="F139" s="19"/>
      <c r="G139" s="242"/>
      <c r="H139" s="238"/>
      <c r="I139" s="241"/>
      <c r="J139" s="240"/>
      <c r="K139" s="19"/>
    </row>
    <row r="140" spans="1:11" ht="19.5" customHeight="1" x14ac:dyDescent="0.25">
      <c r="A140" s="19"/>
      <c r="B140" s="244"/>
      <c r="C140" s="238"/>
      <c r="D140" s="239"/>
      <c r="E140" s="240"/>
      <c r="F140" s="19"/>
      <c r="G140" s="242"/>
      <c r="H140" s="238"/>
      <c r="I140" s="241"/>
      <c r="J140" s="240"/>
      <c r="K140" s="19"/>
    </row>
    <row r="141" spans="1:11" ht="19.5" customHeight="1" x14ac:dyDescent="0.25">
      <c r="A141" s="19"/>
      <c r="B141" s="233"/>
      <c r="C141" s="238"/>
      <c r="D141" s="239"/>
      <c r="E141" s="240"/>
      <c r="F141" s="19"/>
      <c r="G141" s="242"/>
      <c r="H141" s="238"/>
      <c r="I141" s="241"/>
      <c r="J141" s="240"/>
      <c r="K141" s="19"/>
    </row>
    <row r="142" spans="1:11" ht="19.5" customHeight="1" x14ac:dyDescent="0.25">
      <c r="A142" s="19"/>
      <c r="B142" s="244"/>
      <c r="C142" s="238"/>
      <c r="D142" s="239"/>
      <c r="E142" s="240"/>
      <c r="F142" s="19"/>
      <c r="G142" s="242"/>
      <c r="H142" s="238"/>
      <c r="I142" s="241"/>
      <c r="J142" s="240"/>
      <c r="K142" s="19"/>
    </row>
    <row r="143" spans="1:11" ht="19.5" customHeight="1" x14ac:dyDescent="0.25">
      <c r="A143" s="19"/>
      <c r="B143" s="244"/>
      <c r="C143" s="238"/>
      <c r="D143" s="239"/>
      <c r="E143" s="240"/>
      <c r="F143" s="19"/>
      <c r="G143" s="242"/>
      <c r="H143" s="238"/>
      <c r="I143" s="241"/>
      <c r="J143" s="240"/>
      <c r="K143" s="19"/>
    </row>
    <row r="144" spans="1:11" ht="19.5" customHeight="1" x14ac:dyDescent="0.25">
      <c r="A144" s="19"/>
      <c r="B144" s="244"/>
      <c r="C144" s="238"/>
      <c r="D144" s="239"/>
      <c r="E144" s="240"/>
      <c r="F144" s="19"/>
      <c r="G144" s="242"/>
      <c r="H144" s="238"/>
      <c r="I144" s="241"/>
      <c r="J144" s="240"/>
      <c r="K144" s="19"/>
    </row>
    <row r="145" spans="1:11" ht="19.5" customHeight="1" x14ac:dyDescent="0.25">
      <c r="A145" s="19"/>
      <c r="B145" s="244"/>
      <c r="C145" s="238"/>
      <c r="D145" s="239"/>
      <c r="E145" s="240"/>
      <c r="F145" s="19"/>
      <c r="G145" s="242"/>
      <c r="H145" s="238"/>
      <c r="I145" s="241"/>
      <c r="J145" s="240"/>
      <c r="K145" s="19"/>
    </row>
    <row r="146" spans="1:11" ht="19.5" customHeight="1" x14ac:dyDescent="0.25">
      <c r="A146" s="19"/>
      <c r="B146" s="233"/>
      <c r="C146" s="238"/>
      <c r="D146" s="239"/>
      <c r="E146" s="240"/>
      <c r="F146" s="19"/>
      <c r="G146" s="242"/>
      <c r="H146" s="238"/>
      <c r="I146" s="241"/>
      <c r="J146" s="240"/>
      <c r="K146" s="19"/>
    </row>
    <row r="147" spans="1:11" ht="19.5" customHeight="1" x14ac:dyDescent="0.25">
      <c r="A147" s="19"/>
      <c r="B147" s="244"/>
      <c r="C147" s="238"/>
      <c r="D147" s="239"/>
      <c r="E147" s="240"/>
      <c r="F147" s="19"/>
      <c r="G147" s="242"/>
      <c r="H147" s="238"/>
      <c r="I147" s="241"/>
      <c r="J147" s="240"/>
      <c r="K147" s="19"/>
    </row>
    <row r="148" spans="1:11" ht="19.5" customHeight="1" x14ac:dyDescent="0.25">
      <c r="A148" s="19"/>
      <c r="B148" s="244"/>
      <c r="C148" s="238"/>
      <c r="D148" s="239"/>
      <c r="E148" s="240"/>
      <c r="F148" s="19"/>
      <c r="G148" s="242"/>
      <c r="H148" s="238"/>
      <c r="I148" s="241"/>
      <c r="J148" s="240"/>
      <c r="K148" s="19"/>
    </row>
    <row r="149" spans="1:11" ht="19.5" customHeight="1" x14ac:dyDescent="0.25">
      <c r="A149" s="19"/>
      <c r="B149" s="233"/>
      <c r="C149" s="238"/>
      <c r="D149" s="239"/>
      <c r="E149" s="240"/>
      <c r="F149" s="19"/>
      <c r="G149" s="242"/>
      <c r="H149" s="238"/>
      <c r="I149" s="241"/>
      <c r="J149" s="240"/>
      <c r="K149" s="19"/>
    </row>
    <row r="150" spans="1:11" ht="19.5" customHeight="1" x14ac:dyDescent="0.25">
      <c r="A150" s="19"/>
      <c r="B150" s="244"/>
      <c r="C150" s="238"/>
      <c r="D150" s="239"/>
      <c r="E150" s="240"/>
      <c r="F150" s="19"/>
      <c r="G150" s="242"/>
      <c r="H150" s="238"/>
      <c r="I150" s="241"/>
      <c r="J150" s="240"/>
      <c r="K150" s="19"/>
    </row>
    <row r="151" spans="1:11" ht="19.5" customHeight="1" x14ac:dyDescent="0.25">
      <c r="A151" s="19"/>
      <c r="B151" s="233"/>
      <c r="C151" s="238"/>
      <c r="D151" s="239"/>
      <c r="E151" s="240"/>
      <c r="F151" s="19"/>
      <c r="G151" s="242"/>
      <c r="H151" s="238"/>
      <c r="I151" s="241"/>
      <c r="J151" s="240"/>
      <c r="K151" s="19"/>
    </row>
    <row r="152" spans="1:11" ht="19.5" customHeight="1" x14ac:dyDescent="0.25">
      <c r="A152" s="19"/>
      <c r="B152" s="233"/>
      <c r="C152" s="238"/>
      <c r="D152" s="239"/>
      <c r="E152" s="240"/>
      <c r="F152" s="19"/>
      <c r="G152" s="242"/>
      <c r="H152" s="238"/>
      <c r="I152" s="241"/>
      <c r="J152" s="240"/>
      <c r="K152" s="19"/>
    </row>
    <row r="153" spans="1:11" ht="19.5" customHeight="1" x14ac:dyDescent="0.25">
      <c r="A153" s="19"/>
      <c r="B153" s="233"/>
      <c r="C153" s="238"/>
      <c r="D153" s="239"/>
      <c r="E153" s="240"/>
      <c r="F153" s="19"/>
      <c r="G153" s="242"/>
      <c r="H153" s="238"/>
      <c r="I153" s="241"/>
      <c r="J153" s="240"/>
      <c r="K153" s="19"/>
    </row>
    <row r="154" spans="1:11" ht="19.5" customHeight="1" x14ac:dyDescent="0.25">
      <c r="A154" s="19"/>
      <c r="B154" s="233"/>
      <c r="C154" s="238"/>
      <c r="D154" s="239"/>
      <c r="E154" s="240"/>
      <c r="F154" s="19"/>
      <c r="G154" s="242"/>
      <c r="H154" s="238"/>
      <c r="I154" s="241"/>
      <c r="J154" s="240"/>
      <c r="K154" s="19"/>
    </row>
    <row r="155" spans="1:11" ht="19.5" customHeight="1" x14ac:dyDescent="0.25">
      <c r="A155" s="19"/>
      <c r="B155" s="233"/>
      <c r="C155" s="238"/>
      <c r="D155" s="239"/>
      <c r="E155" s="240"/>
      <c r="F155" s="19"/>
      <c r="G155" s="242"/>
      <c r="H155" s="238"/>
      <c r="I155" s="241"/>
      <c r="J155" s="240"/>
      <c r="K155" s="19"/>
    </row>
    <row r="156" spans="1:11" ht="19.5" customHeight="1" x14ac:dyDescent="0.25">
      <c r="A156" s="19"/>
      <c r="B156" s="233"/>
      <c r="C156" s="238"/>
      <c r="D156" s="239"/>
      <c r="E156" s="240"/>
      <c r="F156" s="19"/>
      <c r="G156" s="242"/>
      <c r="H156" s="238"/>
      <c r="I156" s="241"/>
      <c r="J156" s="240"/>
      <c r="K156" s="19"/>
    </row>
    <row r="157" spans="1:11" ht="19.5" customHeight="1" x14ac:dyDescent="0.25">
      <c r="A157" s="19"/>
      <c r="B157" s="233"/>
      <c r="C157" s="238"/>
      <c r="D157" s="239"/>
      <c r="E157" s="240"/>
      <c r="F157" s="19"/>
      <c r="G157" s="242"/>
      <c r="H157" s="238"/>
      <c r="I157" s="241"/>
      <c r="J157" s="240"/>
      <c r="K157" s="19"/>
    </row>
    <row r="158" spans="1:11" ht="19.5" customHeight="1" x14ac:dyDescent="0.25">
      <c r="A158" s="19"/>
      <c r="B158" s="233"/>
      <c r="C158" s="238"/>
      <c r="D158" s="239"/>
      <c r="E158" s="240"/>
      <c r="F158" s="19"/>
      <c r="G158" s="242"/>
      <c r="H158" s="238"/>
      <c r="I158" s="241"/>
      <c r="J158" s="240"/>
      <c r="K158" s="19"/>
    </row>
    <row r="159" spans="1:11" ht="19.5" customHeight="1" x14ac:dyDescent="0.25">
      <c r="A159" s="19"/>
      <c r="B159" s="233"/>
      <c r="C159" s="238"/>
      <c r="D159" s="239"/>
      <c r="E159" s="240"/>
      <c r="F159" s="19"/>
      <c r="G159" s="242"/>
      <c r="H159" s="238"/>
      <c r="I159" s="241"/>
      <c r="J159" s="240"/>
      <c r="K159" s="19"/>
    </row>
    <row r="160" spans="1:11" ht="19.5" customHeight="1" x14ac:dyDescent="0.25">
      <c r="A160" s="19"/>
      <c r="B160" s="233"/>
      <c r="C160" s="238"/>
      <c r="D160" s="239"/>
      <c r="E160" s="240"/>
      <c r="F160" s="19"/>
      <c r="G160" s="242"/>
      <c r="H160" s="238"/>
      <c r="I160" s="241"/>
      <c r="J160" s="240"/>
      <c r="K160" s="19"/>
    </row>
    <row r="161" spans="1:11" ht="19.5" customHeight="1" x14ac:dyDescent="0.25">
      <c r="A161" s="19"/>
      <c r="B161" s="233"/>
      <c r="C161" s="238"/>
      <c r="D161" s="239"/>
      <c r="E161" s="240"/>
      <c r="F161" s="19"/>
      <c r="G161" s="242"/>
      <c r="H161" s="238"/>
      <c r="I161" s="241"/>
      <c r="J161" s="240"/>
      <c r="K161" s="19"/>
    </row>
    <row r="162" spans="1:11" ht="19.5" customHeight="1" x14ac:dyDescent="0.25">
      <c r="A162" s="19"/>
      <c r="B162" s="233"/>
      <c r="C162" s="238"/>
      <c r="D162" s="239"/>
      <c r="E162" s="240"/>
      <c r="F162" s="19"/>
      <c r="G162" s="242"/>
      <c r="H162" s="238"/>
      <c r="I162" s="241"/>
      <c r="J162" s="240"/>
      <c r="K162" s="19"/>
    </row>
    <row r="163" spans="1:11" ht="19.5" customHeight="1" x14ac:dyDescent="0.25">
      <c r="A163" s="19"/>
      <c r="B163" s="233"/>
      <c r="C163" s="238"/>
      <c r="D163" s="239"/>
      <c r="E163" s="240"/>
      <c r="F163" s="19"/>
      <c r="G163" s="242"/>
      <c r="H163" s="238"/>
      <c r="I163" s="241"/>
      <c r="J163" s="240"/>
      <c r="K163" s="19"/>
    </row>
    <row r="164" spans="1:11" ht="19.5" customHeight="1" x14ac:dyDescent="0.25">
      <c r="A164" s="19"/>
      <c r="B164" s="233"/>
      <c r="C164" s="238"/>
      <c r="D164" s="239"/>
      <c r="E164" s="240"/>
      <c r="F164" s="19"/>
      <c r="G164" s="242"/>
      <c r="H164" s="238"/>
      <c r="I164" s="241"/>
      <c r="J164" s="240"/>
      <c r="K164" s="19"/>
    </row>
    <row r="165" spans="1:11" ht="19.5" customHeight="1" x14ac:dyDescent="0.25">
      <c r="A165" s="19"/>
      <c r="B165" s="233"/>
      <c r="C165" s="238"/>
      <c r="D165" s="239"/>
      <c r="E165" s="240"/>
      <c r="F165" s="19"/>
      <c r="G165" s="242"/>
      <c r="H165" s="238"/>
      <c r="I165" s="241"/>
      <c r="J165" s="240"/>
      <c r="K165" s="19"/>
    </row>
    <row r="166" spans="1:11" ht="19.5" customHeight="1" x14ac:dyDescent="0.25">
      <c r="A166" s="19"/>
      <c r="B166" s="233"/>
      <c r="C166" s="238"/>
      <c r="D166" s="239"/>
      <c r="E166" s="240"/>
      <c r="F166" s="19"/>
      <c r="G166" s="242"/>
      <c r="H166" s="238"/>
      <c r="I166" s="241"/>
      <c r="J166" s="240"/>
      <c r="K166" s="19"/>
    </row>
    <row r="167" spans="1:11" ht="19.5" customHeight="1" x14ac:dyDescent="0.25">
      <c r="A167" s="19"/>
      <c r="B167" s="233"/>
      <c r="C167" s="238"/>
      <c r="D167" s="239"/>
      <c r="E167" s="240"/>
      <c r="F167" s="19"/>
      <c r="G167" s="242"/>
      <c r="H167" s="238"/>
      <c r="I167" s="241"/>
      <c r="J167" s="240"/>
      <c r="K167" s="19"/>
    </row>
    <row r="168" spans="1:11" ht="19.5" customHeight="1" x14ac:dyDescent="0.25">
      <c r="A168" s="19"/>
      <c r="B168" s="233"/>
      <c r="C168" s="238"/>
      <c r="D168" s="239"/>
      <c r="E168" s="240"/>
      <c r="F168" s="19"/>
      <c r="G168" s="242"/>
      <c r="H168" s="238"/>
      <c r="I168" s="241"/>
      <c r="J168" s="240"/>
      <c r="K168" s="19"/>
    </row>
    <row r="169" spans="1:11" ht="19.5" customHeight="1" x14ac:dyDescent="0.25">
      <c r="A169" s="19"/>
      <c r="B169" s="233"/>
      <c r="C169" s="238"/>
      <c r="D169" s="239"/>
      <c r="E169" s="240"/>
      <c r="F169" s="19"/>
      <c r="G169" s="242"/>
      <c r="H169" s="238"/>
      <c r="I169" s="241"/>
      <c r="J169" s="240"/>
      <c r="K169" s="19"/>
    </row>
    <row r="170" spans="1:11" ht="19.5" customHeight="1" x14ac:dyDescent="0.25">
      <c r="A170" s="19"/>
      <c r="B170" s="244"/>
      <c r="C170" s="238"/>
      <c r="D170" s="239"/>
      <c r="E170" s="240"/>
      <c r="F170" s="19"/>
      <c r="G170" s="242"/>
      <c r="H170" s="238"/>
      <c r="I170" s="241"/>
      <c r="J170" s="240"/>
      <c r="K170" s="19"/>
    </row>
    <row r="171" spans="1:11" ht="19.5" customHeight="1" x14ac:dyDescent="0.25">
      <c r="A171" s="19"/>
      <c r="B171" s="233"/>
      <c r="C171" s="238"/>
      <c r="D171" s="239"/>
      <c r="E171" s="240"/>
      <c r="F171" s="19"/>
      <c r="G171" s="242"/>
      <c r="H171" s="238"/>
      <c r="I171" s="241"/>
      <c r="J171" s="240"/>
      <c r="K171" s="19"/>
    </row>
    <row r="172" spans="1:11" ht="19.5" customHeight="1" x14ac:dyDescent="0.25">
      <c r="A172" s="19"/>
      <c r="B172" s="233"/>
      <c r="C172" s="238"/>
      <c r="D172" s="239"/>
      <c r="E172" s="240"/>
      <c r="F172" s="19"/>
      <c r="G172" s="242"/>
      <c r="H172" s="238"/>
      <c r="I172" s="241"/>
      <c r="J172" s="240"/>
      <c r="K172" s="19"/>
    </row>
    <row r="173" spans="1:11" ht="19.5" customHeight="1" x14ac:dyDescent="0.25">
      <c r="A173" s="19"/>
      <c r="B173" s="233"/>
      <c r="C173" s="238"/>
      <c r="D173" s="239"/>
      <c r="E173" s="240"/>
      <c r="F173" s="19"/>
      <c r="G173" s="242"/>
      <c r="H173" s="238"/>
      <c r="I173" s="241"/>
      <c r="J173" s="240"/>
      <c r="K173" s="19"/>
    </row>
    <row r="174" spans="1:11" ht="19.5" customHeight="1" x14ac:dyDescent="0.25">
      <c r="A174" s="19"/>
      <c r="B174" s="233"/>
      <c r="C174" s="238"/>
      <c r="D174" s="239"/>
      <c r="E174" s="240"/>
      <c r="F174" s="19"/>
      <c r="G174" s="242"/>
      <c r="H174" s="238"/>
      <c r="I174" s="241"/>
      <c r="J174" s="240"/>
      <c r="K174" s="19"/>
    </row>
    <row r="175" spans="1:11" ht="19.5" customHeight="1" x14ac:dyDescent="0.25">
      <c r="A175" s="19"/>
      <c r="B175" s="244"/>
      <c r="C175" s="238"/>
      <c r="D175" s="239"/>
      <c r="E175" s="240"/>
      <c r="F175" s="19"/>
      <c r="G175" s="245"/>
      <c r="H175" s="246"/>
      <c r="I175" s="126"/>
      <c r="J175" s="247"/>
      <c r="K175" s="19"/>
    </row>
    <row r="176" spans="1:11" ht="19.5" customHeight="1" x14ac:dyDescent="0.25">
      <c r="A176" s="19"/>
      <c r="B176" s="233"/>
      <c r="C176" s="238"/>
      <c r="D176" s="239"/>
      <c r="E176" s="240"/>
      <c r="F176" s="19"/>
      <c r="G176" s="245"/>
      <c r="H176" s="246"/>
      <c r="I176" s="126"/>
      <c r="J176" s="247"/>
      <c r="K176" s="19"/>
    </row>
    <row r="177" spans="1:11" ht="19.5" customHeight="1" x14ac:dyDescent="0.25">
      <c r="A177" s="19"/>
      <c r="B177" s="233"/>
      <c r="C177" s="238"/>
      <c r="D177" s="239"/>
      <c r="E177" s="240"/>
      <c r="F177" s="19"/>
      <c r="G177" s="245"/>
      <c r="H177" s="246"/>
      <c r="I177" s="126"/>
      <c r="J177" s="247"/>
      <c r="K177" s="19"/>
    </row>
    <row r="178" spans="1:11" ht="19.5" customHeight="1" x14ac:dyDescent="0.25">
      <c r="A178" s="19"/>
      <c r="B178" s="233"/>
      <c r="C178" s="238"/>
      <c r="D178" s="239"/>
      <c r="E178" s="240"/>
      <c r="F178" s="19"/>
      <c r="G178" s="245"/>
      <c r="H178" s="246"/>
      <c r="I178" s="126"/>
      <c r="J178" s="247"/>
      <c r="K178" s="19"/>
    </row>
    <row r="179" spans="1:11" ht="19.5" customHeight="1" x14ac:dyDescent="0.25">
      <c r="A179" s="19"/>
      <c r="B179" s="233"/>
      <c r="C179" s="238"/>
      <c r="D179" s="239"/>
      <c r="E179" s="240"/>
      <c r="F179" s="19"/>
      <c r="G179" s="245"/>
      <c r="H179" s="246"/>
      <c r="I179" s="126"/>
      <c r="J179" s="247"/>
      <c r="K179" s="19"/>
    </row>
    <row r="180" spans="1:11" ht="19.5" customHeight="1" x14ac:dyDescent="0.25">
      <c r="A180" s="19"/>
      <c r="B180" s="233"/>
      <c r="C180" s="238"/>
      <c r="D180" s="239"/>
      <c r="E180" s="240"/>
      <c r="F180" s="19"/>
      <c r="G180" s="245"/>
      <c r="H180" s="246"/>
      <c r="I180" s="126"/>
      <c r="J180" s="247"/>
      <c r="K180" s="19"/>
    </row>
    <row r="181" spans="1:11" ht="19.5" customHeight="1" x14ac:dyDescent="0.25">
      <c r="A181" s="19"/>
      <c r="B181" s="233"/>
      <c r="C181" s="238"/>
      <c r="D181" s="239"/>
      <c r="E181" s="240"/>
      <c r="F181" s="19"/>
      <c r="G181" s="245"/>
      <c r="H181" s="246"/>
      <c r="I181" s="126"/>
      <c r="J181" s="247"/>
      <c r="K181" s="19"/>
    </row>
    <row r="182" spans="1:11" ht="19.5" customHeight="1" x14ac:dyDescent="0.25">
      <c r="A182" s="19"/>
      <c r="B182" s="244"/>
      <c r="C182" s="238"/>
      <c r="D182" s="239"/>
      <c r="E182" s="240"/>
      <c r="F182" s="19"/>
      <c r="G182" s="245"/>
      <c r="H182" s="246"/>
      <c r="I182" s="126"/>
      <c r="J182" s="247"/>
      <c r="K182" s="19"/>
    </row>
    <row r="183" spans="1:11" ht="19.5" customHeight="1" x14ac:dyDescent="0.25">
      <c r="A183" s="19"/>
      <c r="B183" s="233"/>
      <c r="C183" s="238"/>
      <c r="D183" s="239"/>
      <c r="E183" s="240"/>
      <c r="F183" s="19"/>
      <c r="G183" s="245"/>
      <c r="H183" s="246"/>
      <c r="I183" s="126"/>
      <c r="J183" s="247"/>
      <c r="K183" s="19"/>
    </row>
    <row r="184" spans="1:11" ht="19.5" customHeight="1" x14ac:dyDescent="0.25">
      <c r="A184" s="19"/>
      <c r="B184" s="233"/>
      <c r="C184" s="238"/>
      <c r="D184" s="239"/>
      <c r="E184" s="240"/>
      <c r="F184" s="19"/>
      <c r="G184" s="245"/>
      <c r="H184" s="246"/>
      <c r="I184" s="126"/>
      <c r="J184" s="247"/>
      <c r="K184" s="19"/>
    </row>
    <row r="185" spans="1:11" ht="19.5" customHeight="1" x14ac:dyDescent="0.25">
      <c r="A185" s="19"/>
      <c r="B185" s="233"/>
      <c r="C185" s="238"/>
      <c r="D185" s="239"/>
      <c r="E185" s="240"/>
      <c r="F185" s="19"/>
      <c r="G185" s="245"/>
      <c r="H185" s="246"/>
      <c r="I185" s="126"/>
      <c r="J185" s="247"/>
      <c r="K185" s="19"/>
    </row>
    <row r="186" spans="1:11" ht="19.5" customHeight="1" x14ac:dyDescent="0.25">
      <c r="A186" s="19"/>
      <c r="B186" s="233"/>
      <c r="C186" s="238"/>
      <c r="D186" s="239"/>
      <c r="E186" s="240"/>
      <c r="F186" s="19"/>
      <c r="G186" s="245"/>
      <c r="H186" s="246"/>
      <c r="I186" s="126"/>
      <c r="J186" s="247"/>
      <c r="K186" s="19"/>
    </row>
    <row r="187" spans="1:11" ht="19.5" customHeight="1" x14ac:dyDescent="0.25">
      <c r="A187" s="19"/>
      <c r="B187" s="233"/>
      <c r="C187" s="238"/>
      <c r="D187" s="239"/>
      <c r="E187" s="240"/>
      <c r="F187" s="19"/>
      <c r="G187" s="245"/>
      <c r="H187" s="246"/>
      <c r="I187" s="126"/>
      <c r="J187" s="247"/>
      <c r="K187" s="19"/>
    </row>
    <row r="188" spans="1:11" ht="19.5" customHeight="1" x14ac:dyDescent="0.25">
      <c r="A188" s="19"/>
      <c r="B188" s="233"/>
      <c r="C188" s="238"/>
      <c r="D188" s="239"/>
      <c r="E188" s="240"/>
      <c r="F188" s="19"/>
      <c r="G188" s="245"/>
      <c r="H188" s="246"/>
      <c r="I188" s="126"/>
      <c r="J188" s="247"/>
      <c r="K188" s="19"/>
    </row>
    <row r="189" spans="1:11" ht="19.5" customHeight="1" x14ac:dyDescent="0.25">
      <c r="A189" s="19"/>
      <c r="B189" s="233"/>
      <c r="C189" s="238"/>
      <c r="D189" s="239"/>
      <c r="E189" s="240"/>
      <c r="F189" s="19"/>
      <c r="G189" s="245"/>
      <c r="H189" s="246"/>
      <c r="I189" s="126"/>
      <c r="J189" s="247"/>
      <c r="K189" s="19"/>
    </row>
    <row r="190" spans="1:11" ht="19.5" customHeight="1" x14ac:dyDescent="0.25">
      <c r="A190" s="19"/>
      <c r="B190" s="233"/>
      <c r="C190" s="238"/>
      <c r="D190" s="239"/>
      <c r="E190" s="240"/>
      <c r="F190" s="19"/>
      <c r="G190" s="245"/>
      <c r="H190" s="246"/>
      <c r="I190" s="126"/>
      <c r="J190" s="247"/>
      <c r="K190" s="19"/>
    </row>
    <row r="191" spans="1:11" ht="19.5" customHeight="1" x14ac:dyDescent="0.25">
      <c r="A191" s="19"/>
      <c r="B191" s="233"/>
      <c r="C191" s="238"/>
      <c r="D191" s="239"/>
      <c r="E191" s="240"/>
      <c r="F191" s="19"/>
      <c r="G191" s="245"/>
      <c r="H191" s="246"/>
      <c r="I191" s="126"/>
      <c r="J191" s="247"/>
      <c r="K191" s="19"/>
    </row>
    <row r="192" spans="1:11" ht="19.5" customHeight="1" x14ac:dyDescent="0.25">
      <c r="A192" s="19"/>
      <c r="B192" s="233"/>
      <c r="C192" s="238"/>
      <c r="D192" s="239"/>
      <c r="E192" s="240"/>
      <c r="F192" s="19"/>
      <c r="G192" s="245"/>
      <c r="H192" s="246"/>
      <c r="I192" s="126"/>
      <c r="J192" s="247"/>
      <c r="K192" s="19"/>
    </row>
    <row r="193" spans="1:11" ht="19.5" customHeight="1" x14ac:dyDescent="0.25">
      <c r="A193" s="19"/>
      <c r="B193" s="233"/>
      <c r="C193" s="238"/>
      <c r="D193" s="239"/>
      <c r="E193" s="240"/>
      <c r="F193" s="19"/>
      <c r="G193" s="245"/>
      <c r="H193" s="246"/>
      <c r="I193" s="126"/>
      <c r="J193" s="247"/>
      <c r="K193" s="19"/>
    </row>
    <row r="194" spans="1:11" ht="19.5" customHeight="1" x14ac:dyDescent="0.25">
      <c r="A194" s="19"/>
      <c r="B194" s="233"/>
      <c r="C194" s="238"/>
      <c r="D194" s="239"/>
      <c r="E194" s="240"/>
      <c r="F194" s="19"/>
      <c r="G194" s="245"/>
      <c r="H194" s="246"/>
      <c r="I194" s="126"/>
      <c r="J194" s="247"/>
      <c r="K194" s="19"/>
    </row>
    <row r="195" spans="1:11" ht="19.5" customHeight="1" x14ac:dyDescent="0.25">
      <c r="A195" s="19"/>
      <c r="B195" s="233"/>
      <c r="C195" s="238"/>
      <c r="D195" s="239"/>
      <c r="E195" s="240"/>
      <c r="F195" s="19"/>
      <c r="G195" s="245"/>
      <c r="H195" s="246"/>
      <c r="I195" s="126"/>
      <c r="J195" s="247"/>
      <c r="K195" s="19"/>
    </row>
    <row r="196" spans="1:11" ht="19.5" customHeight="1" x14ac:dyDescent="0.25">
      <c r="A196" s="19"/>
      <c r="B196" s="233"/>
      <c r="C196" s="238"/>
      <c r="D196" s="239"/>
      <c r="E196" s="240"/>
      <c r="F196" s="19"/>
      <c r="G196" s="245"/>
      <c r="H196" s="246"/>
      <c r="I196" s="126"/>
      <c r="J196" s="247"/>
      <c r="K196" s="19"/>
    </row>
    <row r="197" spans="1:11" ht="19.5" customHeight="1" x14ac:dyDescent="0.25">
      <c r="A197" s="19"/>
      <c r="B197" s="233"/>
      <c r="C197" s="238"/>
      <c r="D197" s="239"/>
      <c r="E197" s="240"/>
      <c r="F197" s="19"/>
      <c r="G197" s="245"/>
      <c r="H197" s="246"/>
      <c r="I197" s="126"/>
      <c r="J197" s="247"/>
      <c r="K197" s="19"/>
    </row>
    <row r="198" spans="1:11" ht="19.5" customHeight="1" x14ac:dyDescent="0.25">
      <c r="A198" s="19"/>
      <c r="B198" s="233"/>
      <c r="C198" s="238"/>
      <c r="D198" s="239"/>
      <c r="E198" s="240"/>
      <c r="F198" s="19"/>
      <c r="G198" s="245"/>
      <c r="H198" s="246"/>
      <c r="I198" s="126"/>
      <c r="J198" s="247"/>
      <c r="K198" s="19"/>
    </row>
    <row r="199" spans="1:11" ht="19.5" customHeight="1" x14ac:dyDescent="0.25">
      <c r="A199" s="19"/>
      <c r="B199" s="233"/>
      <c r="C199" s="238"/>
      <c r="D199" s="239"/>
      <c r="E199" s="240"/>
      <c r="F199" s="19"/>
      <c r="G199" s="245"/>
      <c r="H199" s="246"/>
      <c r="I199" s="126"/>
      <c r="J199" s="247"/>
      <c r="K199" s="19"/>
    </row>
    <row r="200" spans="1:11" ht="19.5" customHeight="1" x14ac:dyDescent="0.25">
      <c r="A200" s="19"/>
      <c r="B200" s="233"/>
      <c r="C200" s="238"/>
      <c r="D200" s="239"/>
      <c r="E200" s="240"/>
      <c r="F200" s="19"/>
      <c r="G200" s="245"/>
      <c r="H200" s="246"/>
      <c r="I200" s="126"/>
      <c r="J200" s="247"/>
      <c r="K200" s="19"/>
    </row>
    <row r="201" spans="1:11" ht="19.5" customHeight="1" x14ac:dyDescent="0.25">
      <c r="A201" s="19"/>
      <c r="B201" s="233"/>
      <c r="C201" s="258"/>
      <c r="D201" s="259"/>
      <c r="E201" s="240"/>
      <c r="F201" s="19"/>
      <c r="G201" s="245"/>
      <c r="H201" s="246"/>
      <c r="I201" s="126"/>
      <c r="J201" s="247"/>
      <c r="K201" s="19"/>
    </row>
    <row r="202" spans="1:11" ht="19.5" customHeight="1" x14ac:dyDescent="0.25">
      <c r="A202" s="19"/>
      <c r="B202" s="233"/>
      <c r="C202" s="238"/>
      <c r="D202" s="239"/>
      <c r="E202" s="240"/>
      <c r="F202" s="19"/>
      <c r="G202" s="245"/>
      <c r="H202" s="246"/>
      <c r="I202" s="126"/>
      <c r="J202" s="247"/>
      <c r="K202" s="19"/>
    </row>
    <row r="203" spans="1:11" ht="19.5" customHeight="1" x14ac:dyDescent="0.25">
      <c r="A203" s="19"/>
      <c r="B203" s="233"/>
      <c r="C203" s="238"/>
      <c r="D203" s="239"/>
      <c r="E203" s="240"/>
      <c r="F203" s="19"/>
      <c r="G203" s="245"/>
      <c r="H203" s="246"/>
      <c r="I203" s="126"/>
      <c r="J203" s="247"/>
      <c r="K203" s="19"/>
    </row>
    <row r="204" spans="1:11" ht="19.5" customHeight="1" x14ac:dyDescent="0.25">
      <c r="A204" s="19"/>
      <c r="B204" s="233"/>
      <c r="C204" s="238"/>
      <c r="D204" s="239"/>
      <c r="E204" s="240"/>
      <c r="F204" s="19"/>
      <c r="G204" s="245"/>
      <c r="H204" s="246"/>
      <c r="I204" s="126"/>
      <c r="J204" s="247"/>
      <c r="K204" s="19"/>
    </row>
    <row r="205" spans="1:11" ht="19.5" customHeight="1" x14ac:dyDescent="0.25">
      <c r="A205" s="19"/>
      <c r="B205" s="233"/>
      <c r="C205" s="238"/>
      <c r="D205" s="239"/>
      <c r="E205" s="240"/>
      <c r="F205" s="19"/>
      <c r="G205" s="245"/>
      <c r="H205" s="246"/>
      <c r="I205" s="126"/>
      <c r="J205" s="247"/>
      <c r="K205" s="19"/>
    </row>
    <row r="206" spans="1:11" ht="19.5" customHeight="1" x14ac:dyDescent="0.25">
      <c r="A206" s="19"/>
      <c r="B206" s="233"/>
      <c r="C206" s="238"/>
      <c r="D206" s="239"/>
      <c r="E206" s="240"/>
      <c r="F206" s="19"/>
      <c r="G206" s="245"/>
      <c r="H206" s="246"/>
      <c r="I206" s="126"/>
      <c r="J206" s="247"/>
      <c r="K206" s="19"/>
    </row>
    <row r="207" spans="1:11" ht="19.5" customHeight="1" x14ac:dyDescent="0.25">
      <c r="A207" s="19"/>
      <c r="B207" s="233"/>
      <c r="C207" s="238"/>
      <c r="D207" s="239"/>
      <c r="E207" s="240"/>
      <c r="F207" s="19"/>
      <c r="G207" s="245"/>
      <c r="H207" s="246"/>
      <c r="I207" s="126"/>
      <c r="J207" s="247"/>
      <c r="K207" s="19"/>
    </row>
    <row r="208" spans="1:11" ht="19.5" customHeight="1" x14ac:dyDescent="0.25">
      <c r="A208" s="19"/>
      <c r="B208" s="233"/>
      <c r="C208" s="238"/>
      <c r="D208" s="239"/>
      <c r="E208" s="240"/>
      <c r="F208" s="19"/>
      <c r="G208" s="245"/>
      <c r="H208" s="246"/>
      <c r="I208" s="126"/>
      <c r="J208" s="247"/>
      <c r="K208" s="19"/>
    </row>
    <row r="209" spans="1:11" ht="19.5" customHeight="1" x14ac:dyDescent="0.25">
      <c r="A209" s="19"/>
      <c r="B209" s="233"/>
      <c r="C209" s="238"/>
      <c r="D209" s="239"/>
      <c r="E209" s="240"/>
      <c r="F209" s="19"/>
      <c r="G209" s="245"/>
      <c r="H209" s="246"/>
      <c r="I209" s="126"/>
      <c r="J209" s="247"/>
      <c r="K209" s="19"/>
    </row>
    <row r="210" spans="1:11" ht="19.5" customHeight="1" x14ac:dyDescent="0.25">
      <c r="A210" s="19"/>
      <c r="B210" s="233"/>
      <c r="C210" s="238"/>
      <c r="D210" s="239"/>
      <c r="E210" s="240"/>
      <c r="F210" s="19"/>
      <c r="G210" s="245"/>
      <c r="H210" s="246"/>
      <c r="I210" s="126"/>
      <c r="J210" s="247"/>
      <c r="K210" s="19"/>
    </row>
    <row r="211" spans="1:11" ht="19.5" customHeight="1" x14ac:dyDescent="0.25">
      <c r="A211" s="19"/>
      <c r="B211" s="233"/>
      <c r="C211" s="238"/>
      <c r="D211" s="239"/>
      <c r="E211" s="240"/>
      <c r="F211" s="19"/>
      <c r="G211" s="245"/>
      <c r="H211" s="246"/>
      <c r="I211" s="126"/>
      <c r="J211" s="247"/>
      <c r="K211" s="19"/>
    </row>
    <row r="212" spans="1:11" ht="19.5" customHeight="1" x14ac:dyDescent="0.25">
      <c r="A212" s="19"/>
      <c r="B212" s="233"/>
      <c r="C212" s="238"/>
      <c r="D212" s="239"/>
      <c r="E212" s="240"/>
      <c r="F212" s="19"/>
      <c r="G212" s="245"/>
      <c r="H212" s="246"/>
      <c r="I212" s="126"/>
      <c r="J212" s="247"/>
      <c r="K212" s="19"/>
    </row>
    <row r="213" spans="1:11" ht="19.5" customHeight="1" x14ac:dyDescent="0.25">
      <c r="A213" s="19"/>
      <c r="B213" s="233"/>
      <c r="C213" s="238"/>
      <c r="D213" s="239"/>
      <c r="E213" s="240"/>
      <c r="F213" s="19"/>
      <c r="G213" s="245"/>
      <c r="H213" s="246"/>
      <c r="I213" s="126"/>
      <c r="J213" s="247"/>
      <c r="K213" s="19"/>
    </row>
    <row r="214" spans="1:11" ht="19.5" customHeight="1" x14ac:dyDescent="0.25">
      <c r="A214" s="19"/>
      <c r="B214" s="233"/>
      <c r="C214" s="246"/>
      <c r="D214" s="248"/>
      <c r="E214" s="247"/>
      <c r="F214" s="19"/>
      <c r="G214" s="245"/>
      <c r="H214" s="246"/>
      <c r="I214" s="126"/>
      <c r="J214" s="247"/>
      <c r="K214" s="19"/>
    </row>
    <row r="215" spans="1:11" ht="19.5" customHeight="1" x14ac:dyDescent="0.25">
      <c r="A215" s="19"/>
      <c r="B215" s="245"/>
      <c r="C215" s="246"/>
      <c r="D215" s="248"/>
      <c r="E215" s="247"/>
      <c r="F215" s="19"/>
      <c r="G215" s="245"/>
      <c r="H215" s="246"/>
      <c r="I215" s="126"/>
      <c r="J215" s="247"/>
      <c r="K215" s="19"/>
    </row>
    <row r="216" spans="1:11" ht="19.5" customHeight="1" x14ac:dyDescent="0.25">
      <c r="A216" s="19"/>
      <c r="B216" s="260"/>
      <c r="C216" s="246"/>
      <c r="D216" s="248"/>
      <c r="E216" s="247"/>
      <c r="F216" s="19"/>
      <c r="G216" s="245"/>
      <c r="H216" s="246"/>
      <c r="I216" s="126"/>
      <c r="J216" s="247"/>
      <c r="K216" s="19"/>
    </row>
    <row r="217" spans="1:11" ht="19.5" customHeight="1" x14ac:dyDescent="0.25">
      <c r="A217" s="19"/>
      <c r="B217" s="260"/>
      <c r="C217" s="246"/>
      <c r="D217" s="248"/>
      <c r="E217" s="247"/>
      <c r="F217" s="19"/>
      <c r="G217" s="245"/>
      <c r="H217" s="246"/>
      <c r="I217" s="126"/>
      <c r="J217" s="247"/>
      <c r="K217" s="19"/>
    </row>
    <row r="218" spans="1:11" ht="19.5" customHeight="1" x14ac:dyDescent="0.25">
      <c r="A218" s="19"/>
      <c r="B218" s="260"/>
      <c r="C218" s="246"/>
      <c r="D218" s="248"/>
      <c r="E218" s="247"/>
      <c r="F218" s="19"/>
      <c r="G218" s="245"/>
      <c r="H218" s="246"/>
      <c r="I218" s="126"/>
      <c r="J218" s="247"/>
      <c r="K218" s="19"/>
    </row>
    <row r="219" spans="1:11" ht="19.5" customHeight="1" x14ac:dyDescent="0.25">
      <c r="A219" s="19"/>
      <c r="B219" s="260"/>
      <c r="C219" s="246"/>
      <c r="D219" s="248"/>
      <c r="E219" s="247"/>
      <c r="F219" s="19"/>
      <c r="G219" s="245"/>
      <c r="H219" s="246"/>
      <c r="I219" s="126"/>
      <c r="J219" s="247"/>
      <c r="K219" s="19"/>
    </row>
    <row r="220" spans="1:11" ht="19.5" customHeight="1" x14ac:dyDescent="0.25">
      <c r="A220" s="19"/>
      <c r="B220" s="260"/>
      <c r="C220" s="246"/>
      <c r="D220" s="248"/>
      <c r="E220" s="247"/>
      <c r="F220" s="19"/>
      <c r="G220" s="245"/>
      <c r="H220" s="246"/>
      <c r="I220" s="126"/>
      <c r="J220" s="247"/>
      <c r="K220" s="19"/>
    </row>
    <row r="221" spans="1:11" ht="15.75" customHeight="1" x14ac:dyDescent="0.25">
      <c r="E221" s="139"/>
      <c r="J221" s="139"/>
    </row>
    <row r="222" spans="1:11" ht="15.75" customHeight="1" x14ac:dyDescent="0.25">
      <c r="E222" s="139"/>
      <c r="J222" s="139"/>
    </row>
    <row r="223" spans="1:11" ht="15.75" customHeight="1" x14ac:dyDescent="0.25">
      <c r="E223" s="139"/>
      <c r="J223" s="139"/>
    </row>
    <row r="224" spans="1:11" ht="15.75" customHeight="1" x14ac:dyDescent="0.25">
      <c r="E224" s="139"/>
      <c r="J224" s="139"/>
    </row>
    <row r="225" spans="5:10" ht="15.75" customHeight="1" x14ac:dyDescent="0.25">
      <c r="E225" s="139"/>
      <c r="J225" s="139"/>
    </row>
    <row r="226" spans="5:10" ht="15.75" customHeight="1" x14ac:dyDescent="0.25">
      <c r="E226" s="139"/>
      <c r="J226" s="139"/>
    </row>
    <row r="227" spans="5:10" ht="15.75" customHeight="1" x14ac:dyDescent="0.25">
      <c r="E227" s="139"/>
      <c r="J227" s="139"/>
    </row>
    <row r="228" spans="5:10" ht="15.75" customHeight="1" x14ac:dyDescent="0.25">
      <c r="E228" s="139"/>
      <c r="J228" s="139"/>
    </row>
    <row r="229" spans="5:10" ht="15.75" customHeight="1" x14ac:dyDescent="0.25">
      <c r="E229" s="139"/>
      <c r="J229" s="139"/>
    </row>
    <row r="230" spans="5:10" ht="15.75" customHeight="1" x14ac:dyDescent="0.25">
      <c r="E230" s="139"/>
      <c r="J230" s="139"/>
    </row>
    <row r="231" spans="5:10" ht="15.75" customHeight="1" x14ac:dyDescent="0.25">
      <c r="E231" s="139"/>
      <c r="J231" s="139"/>
    </row>
    <row r="232" spans="5:10" ht="15.75" customHeight="1" x14ac:dyDescent="0.25">
      <c r="E232" s="139"/>
      <c r="J232" s="139"/>
    </row>
    <row r="233" spans="5:10" ht="15.75" customHeight="1" x14ac:dyDescent="0.25">
      <c r="E233" s="139"/>
      <c r="J233" s="139"/>
    </row>
    <row r="234" spans="5:10" ht="15.75" customHeight="1" x14ac:dyDescent="0.25">
      <c r="E234" s="139"/>
      <c r="J234" s="139"/>
    </row>
    <row r="235" spans="5:10" ht="15.75" customHeight="1" x14ac:dyDescent="0.25">
      <c r="E235" s="139"/>
      <c r="J235" s="139"/>
    </row>
    <row r="236" spans="5:10" ht="15.75" customHeight="1" x14ac:dyDescent="0.25">
      <c r="E236" s="139"/>
      <c r="J236" s="139"/>
    </row>
    <row r="237" spans="5:10" ht="15.75" customHeight="1" x14ac:dyDescent="0.25">
      <c r="E237" s="139"/>
      <c r="J237" s="139"/>
    </row>
    <row r="238" spans="5:10" ht="15.75" customHeight="1" x14ac:dyDescent="0.25">
      <c r="E238" s="139"/>
      <c r="J238" s="139"/>
    </row>
    <row r="239" spans="5:10" ht="15.75" customHeight="1" x14ac:dyDescent="0.25">
      <c r="E239" s="139"/>
      <c r="J239" s="139"/>
    </row>
    <row r="240" spans="5:10" ht="15.75" customHeight="1" x14ac:dyDescent="0.25">
      <c r="E240" s="139"/>
      <c r="J240" s="139"/>
    </row>
    <row r="241" spans="5:10" ht="15.75" customHeight="1" x14ac:dyDescent="0.25">
      <c r="E241" s="139"/>
      <c r="J241" s="139"/>
    </row>
    <row r="242" spans="5:10" ht="15.75" customHeight="1" x14ac:dyDescent="0.25">
      <c r="E242" s="139"/>
      <c r="J242" s="139"/>
    </row>
    <row r="243" spans="5:10" ht="15.75" customHeight="1" x14ac:dyDescent="0.25">
      <c r="E243" s="139"/>
      <c r="J243" s="139"/>
    </row>
    <row r="244" spans="5:10" ht="15.75" customHeight="1" x14ac:dyDescent="0.25">
      <c r="E244" s="139"/>
      <c r="J244" s="139"/>
    </row>
    <row r="245" spans="5:10" ht="15.75" customHeight="1" x14ac:dyDescent="0.25">
      <c r="E245" s="139"/>
      <c r="J245" s="139"/>
    </row>
    <row r="246" spans="5:10" ht="15.75" customHeight="1" x14ac:dyDescent="0.25">
      <c r="E246" s="139"/>
      <c r="J246" s="139"/>
    </row>
    <row r="247" spans="5:10" ht="15.75" customHeight="1" x14ac:dyDescent="0.25">
      <c r="E247" s="139"/>
      <c r="J247" s="139"/>
    </row>
    <row r="248" spans="5:10" ht="15.75" customHeight="1" x14ac:dyDescent="0.25">
      <c r="E248" s="139"/>
      <c r="J248" s="139"/>
    </row>
    <row r="249" spans="5:10" ht="15.75" customHeight="1" x14ac:dyDescent="0.25">
      <c r="E249" s="139"/>
      <c r="J249" s="139"/>
    </row>
    <row r="250" spans="5:10" ht="15.75" customHeight="1" x14ac:dyDescent="0.25">
      <c r="E250" s="139"/>
      <c r="J250" s="139"/>
    </row>
    <row r="251" spans="5:10" ht="15.75" customHeight="1" x14ac:dyDescent="0.25">
      <c r="E251" s="139"/>
      <c r="J251" s="139"/>
    </row>
    <row r="252" spans="5:10" ht="15.75" customHeight="1" x14ac:dyDescent="0.25">
      <c r="E252" s="139"/>
      <c r="J252" s="139"/>
    </row>
    <row r="253" spans="5:10" ht="15.75" customHeight="1" x14ac:dyDescent="0.25">
      <c r="E253" s="139"/>
      <c r="J253" s="139"/>
    </row>
    <row r="254" spans="5:10" ht="15.75" customHeight="1" x14ac:dyDescent="0.25">
      <c r="E254" s="139"/>
      <c r="J254" s="139"/>
    </row>
    <row r="255" spans="5:10" ht="15.75" customHeight="1" x14ac:dyDescent="0.25">
      <c r="E255" s="139"/>
      <c r="J255" s="139"/>
    </row>
    <row r="256" spans="5:10" ht="15.75" customHeight="1" x14ac:dyDescent="0.25">
      <c r="E256" s="139"/>
      <c r="J256" s="139"/>
    </row>
    <row r="257" spans="5:10" ht="15.75" customHeight="1" x14ac:dyDescent="0.25">
      <c r="E257" s="139"/>
      <c r="J257" s="139"/>
    </row>
    <row r="258" spans="5:10" ht="15.75" customHeight="1" x14ac:dyDescent="0.25">
      <c r="E258" s="139"/>
      <c r="J258" s="139"/>
    </row>
    <row r="259" spans="5:10" ht="15.75" customHeight="1" x14ac:dyDescent="0.25">
      <c r="E259" s="139"/>
      <c r="J259" s="139"/>
    </row>
    <row r="260" spans="5:10" ht="15.75" customHeight="1" x14ac:dyDescent="0.25">
      <c r="E260" s="139"/>
      <c r="J260" s="139"/>
    </row>
    <row r="261" spans="5:10" ht="15.75" customHeight="1" x14ac:dyDescent="0.25">
      <c r="E261" s="139"/>
      <c r="J261" s="139"/>
    </row>
    <row r="262" spans="5:10" ht="15.75" customHeight="1" x14ac:dyDescent="0.25">
      <c r="E262" s="139"/>
      <c r="J262" s="139"/>
    </row>
    <row r="263" spans="5:10" ht="15.75" customHeight="1" x14ac:dyDescent="0.25">
      <c r="E263" s="139"/>
      <c r="J263" s="139"/>
    </row>
    <row r="264" spans="5:10" ht="15.75" customHeight="1" x14ac:dyDescent="0.25">
      <c r="E264" s="139"/>
      <c r="J264" s="139"/>
    </row>
    <row r="265" spans="5:10" ht="15.75" customHeight="1" x14ac:dyDescent="0.25">
      <c r="E265" s="139"/>
      <c r="J265" s="139"/>
    </row>
    <row r="266" spans="5:10" ht="15.75" customHeight="1" x14ac:dyDescent="0.25">
      <c r="E266" s="139"/>
      <c r="J266" s="139"/>
    </row>
    <row r="267" spans="5:10" ht="15.75" customHeight="1" x14ac:dyDescent="0.25">
      <c r="E267" s="139"/>
      <c r="J267" s="139"/>
    </row>
    <row r="268" spans="5:10" ht="15.75" customHeight="1" x14ac:dyDescent="0.25">
      <c r="E268" s="139"/>
      <c r="J268" s="139"/>
    </row>
    <row r="269" spans="5:10" ht="15.75" customHeight="1" x14ac:dyDescent="0.25">
      <c r="E269" s="139"/>
      <c r="J269" s="139"/>
    </row>
    <row r="270" spans="5:10" ht="15.75" customHeight="1" x14ac:dyDescent="0.25">
      <c r="E270" s="139"/>
      <c r="J270" s="139"/>
    </row>
    <row r="271" spans="5:10" ht="15.75" customHeight="1" x14ac:dyDescent="0.25">
      <c r="E271" s="139"/>
      <c r="J271" s="139"/>
    </row>
    <row r="272" spans="5:10" ht="15.75" customHeight="1" x14ac:dyDescent="0.25">
      <c r="E272" s="139"/>
      <c r="J272" s="139"/>
    </row>
    <row r="273" spans="5:10" ht="15.75" customHeight="1" x14ac:dyDescent="0.25">
      <c r="E273" s="139"/>
      <c r="J273" s="139"/>
    </row>
    <row r="274" spans="5:10" ht="15.75" customHeight="1" x14ac:dyDescent="0.25">
      <c r="E274" s="139"/>
      <c r="J274" s="139"/>
    </row>
    <row r="275" spans="5:10" ht="15.75" customHeight="1" x14ac:dyDescent="0.25">
      <c r="E275" s="139"/>
      <c r="J275" s="139"/>
    </row>
    <row r="276" spans="5:10" ht="15.75" customHeight="1" x14ac:dyDescent="0.25">
      <c r="E276" s="139"/>
      <c r="J276" s="139"/>
    </row>
    <row r="277" spans="5:10" ht="15.75" customHeight="1" x14ac:dyDescent="0.25">
      <c r="E277" s="139"/>
      <c r="J277" s="139"/>
    </row>
    <row r="278" spans="5:10" ht="15.75" customHeight="1" x14ac:dyDescent="0.25">
      <c r="E278" s="139"/>
      <c r="J278" s="139"/>
    </row>
    <row r="279" spans="5:10" ht="15.75" customHeight="1" x14ac:dyDescent="0.25">
      <c r="E279" s="139"/>
      <c r="J279" s="139"/>
    </row>
    <row r="280" spans="5:10" ht="15.75" customHeight="1" x14ac:dyDescent="0.25">
      <c r="E280" s="139"/>
      <c r="J280" s="139"/>
    </row>
    <row r="281" spans="5:10" ht="15.75" customHeight="1" x14ac:dyDescent="0.25">
      <c r="E281" s="139"/>
      <c r="J281" s="139"/>
    </row>
    <row r="282" spans="5:10" ht="15.75" customHeight="1" x14ac:dyDescent="0.25">
      <c r="E282" s="139"/>
      <c r="J282" s="139"/>
    </row>
    <row r="283" spans="5:10" ht="15.75" customHeight="1" x14ac:dyDescent="0.25">
      <c r="E283" s="139"/>
      <c r="J283" s="139"/>
    </row>
    <row r="284" spans="5:10" ht="15.75" customHeight="1" x14ac:dyDescent="0.25">
      <c r="E284" s="139"/>
      <c r="J284" s="139"/>
    </row>
    <row r="285" spans="5:10" ht="15.75" customHeight="1" x14ac:dyDescent="0.25">
      <c r="E285" s="139"/>
      <c r="J285" s="139"/>
    </row>
    <row r="286" spans="5:10" ht="15.75" customHeight="1" x14ac:dyDescent="0.25">
      <c r="E286" s="139"/>
      <c r="J286" s="139"/>
    </row>
    <row r="287" spans="5:10" ht="15.75" customHeight="1" x14ac:dyDescent="0.25">
      <c r="E287" s="139"/>
      <c r="J287" s="139"/>
    </row>
    <row r="288" spans="5:10" ht="15.75" customHeight="1" x14ac:dyDescent="0.25">
      <c r="E288" s="139"/>
      <c r="J288" s="139"/>
    </row>
    <row r="289" spans="5:10" ht="15.75" customHeight="1" x14ac:dyDescent="0.25">
      <c r="E289" s="139"/>
      <c r="J289" s="139"/>
    </row>
    <row r="290" spans="5:10" ht="15.75" customHeight="1" x14ac:dyDescent="0.25">
      <c r="E290" s="139"/>
      <c r="J290" s="139"/>
    </row>
    <row r="291" spans="5:10" ht="15.75" customHeight="1" x14ac:dyDescent="0.25">
      <c r="E291" s="139"/>
      <c r="J291" s="139"/>
    </row>
    <row r="292" spans="5:10" ht="15.75" customHeight="1" x14ac:dyDescent="0.25">
      <c r="E292" s="139"/>
      <c r="J292" s="139"/>
    </row>
    <row r="293" spans="5:10" ht="15.75" customHeight="1" x14ac:dyDescent="0.25">
      <c r="E293" s="139"/>
      <c r="J293" s="139"/>
    </row>
    <row r="294" spans="5:10" ht="15.75" customHeight="1" x14ac:dyDescent="0.25">
      <c r="E294" s="139"/>
      <c r="J294" s="139"/>
    </row>
    <row r="295" spans="5:10" ht="15.75" customHeight="1" x14ac:dyDescent="0.25">
      <c r="E295" s="139"/>
      <c r="J295" s="139"/>
    </row>
    <row r="296" spans="5:10" ht="15.75" customHeight="1" x14ac:dyDescent="0.25">
      <c r="E296" s="139"/>
      <c r="J296" s="139"/>
    </row>
    <row r="297" spans="5:10" ht="15.75" customHeight="1" x14ac:dyDescent="0.25">
      <c r="E297" s="139"/>
      <c r="J297" s="139"/>
    </row>
    <row r="298" spans="5:10" ht="15.75" customHeight="1" x14ac:dyDescent="0.25">
      <c r="E298" s="139"/>
      <c r="J298" s="139"/>
    </row>
    <row r="299" spans="5:10" ht="15.75" customHeight="1" x14ac:dyDescent="0.25">
      <c r="E299" s="139"/>
      <c r="J299" s="139"/>
    </row>
    <row r="300" spans="5:10" ht="15.75" customHeight="1" x14ac:dyDescent="0.25">
      <c r="E300" s="139"/>
      <c r="J300" s="139"/>
    </row>
    <row r="301" spans="5:10" ht="15.75" customHeight="1" x14ac:dyDescent="0.25">
      <c r="E301" s="139"/>
      <c r="J301" s="139"/>
    </row>
    <row r="302" spans="5:10" ht="15.75" customHeight="1" x14ac:dyDescent="0.25">
      <c r="E302" s="139"/>
      <c r="J302" s="139"/>
    </row>
    <row r="303" spans="5:10" ht="15.75" customHeight="1" x14ac:dyDescent="0.25">
      <c r="E303" s="139"/>
      <c r="J303" s="139"/>
    </row>
    <row r="304" spans="5:10" ht="15.75" customHeight="1" x14ac:dyDescent="0.25">
      <c r="E304" s="139"/>
      <c r="J304" s="139"/>
    </row>
    <row r="305" spans="5:10" ht="15.75" customHeight="1" x14ac:dyDescent="0.25">
      <c r="E305" s="139"/>
      <c r="J305" s="139"/>
    </row>
    <row r="306" spans="5:10" ht="15.75" customHeight="1" x14ac:dyDescent="0.25">
      <c r="E306" s="139"/>
      <c r="J306" s="139"/>
    </row>
    <row r="307" spans="5:10" ht="15.75" customHeight="1" x14ac:dyDescent="0.25">
      <c r="E307" s="139"/>
      <c r="J307" s="139"/>
    </row>
    <row r="308" spans="5:10" ht="15.75" customHeight="1" x14ac:dyDescent="0.25">
      <c r="E308" s="139"/>
      <c r="J308" s="139"/>
    </row>
    <row r="309" spans="5:10" ht="15.75" customHeight="1" x14ac:dyDescent="0.25">
      <c r="E309" s="139"/>
      <c r="J309" s="139"/>
    </row>
    <row r="310" spans="5:10" ht="15.75" customHeight="1" x14ac:dyDescent="0.25">
      <c r="E310" s="139"/>
      <c r="J310" s="139"/>
    </row>
    <row r="311" spans="5:10" ht="15.75" customHeight="1" x14ac:dyDescent="0.25">
      <c r="E311" s="139"/>
      <c r="J311" s="139"/>
    </row>
    <row r="312" spans="5:10" ht="15.75" customHeight="1" x14ac:dyDescent="0.25">
      <c r="E312" s="139"/>
      <c r="J312" s="139"/>
    </row>
    <row r="313" spans="5:10" ht="15.75" customHeight="1" x14ac:dyDescent="0.25">
      <c r="E313" s="139"/>
      <c r="J313" s="139"/>
    </row>
    <row r="314" spans="5:10" ht="15.75" customHeight="1" x14ac:dyDescent="0.25">
      <c r="E314" s="139"/>
      <c r="J314" s="139"/>
    </row>
    <row r="315" spans="5:10" ht="15.75" customHeight="1" x14ac:dyDescent="0.25">
      <c r="E315" s="139"/>
      <c r="J315" s="139"/>
    </row>
    <row r="316" spans="5:10" ht="15.75" customHeight="1" x14ac:dyDescent="0.25">
      <c r="E316" s="139"/>
      <c r="J316" s="139"/>
    </row>
    <row r="317" spans="5:10" ht="15.75" customHeight="1" x14ac:dyDescent="0.25">
      <c r="E317" s="139"/>
      <c r="J317" s="139"/>
    </row>
    <row r="318" spans="5:10" ht="15.75" customHeight="1" x14ac:dyDescent="0.25">
      <c r="E318" s="139"/>
      <c r="J318" s="139"/>
    </row>
    <row r="319" spans="5:10" ht="15.75" customHeight="1" x14ac:dyDescent="0.25">
      <c r="E319" s="139"/>
      <c r="J319" s="139"/>
    </row>
    <row r="320" spans="5:10" ht="15.75" customHeight="1" x14ac:dyDescent="0.25">
      <c r="E320" s="139"/>
      <c r="J320" s="139"/>
    </row>
    <row r="321" spans="5:10" ht="15.75" customHeight="1" x14ac:dyDescent="0.25">
      <c r="E321" s="139"/>
      <c r="J321" s="139"/>
    </row>
    <row r="322" spans="5:10" ht="15.75" customHeight="1" x14ac:dyDescent="0.25">
      <c r="E322" s="139"/>
      <c r="J322" s="139"/>
    </row>
    <row r="323" spans="5:10" ht="15.75" customHeight="1" x14ac:dyDescent="0.25">
      <c r="E323" s="139"/>
      <c r="J323" s="139"/>
    </row>
    <row r="324" spans="5:10" ht="15.75" customHeight="1" x14ac:dyDescent="0.25">
      <c r="E324" s="139"/>
      <c r="J324" s="139"/>
    </row>
    <row r="325" spans="5:10" ht="15.75" customHeight="1" x14ac:dyDescent="0.25">
      <c r="E325" s="139"/>
      <c r="J325" s="139"/>
    </row>
    <row r="326" spans="5:10" ht="15.75" customHeight="1" x14ac:dyDescent="0.25">
      <c r="E326" s="139"/>
      <c r="J326" s="139"/>
    </row>
    <row r="327" spans="5:10" ht="15.75" customHeight="1" x14ac:dyDescent="0.25">
      <c r="E327" s="139"/>
      <c r="J327" s="139"/>
    </row>
    <row r="328" spans="5:10" ht="15.75" customHeight="1" x14ac:dyDescent="0.25">
      <c r="E328" s="139"/>
      <c r="J328" s="139"/>
    </row>
    <row r="329" spans="5:10" ht="15.75" customHeight="1" x14ac:dyDescent="0.25">
      <c r="E329" s="139"/>
      <c r="J329" s="139"/>
    </row>
    <row r="330" spans="5:10" ht="15.75" customHeight="1" x14ac:dyDescent="0.25">
      <c r="E330" s="139"/>
      <c r="J330" s="139"/>
    </row>
    <row r="331" spans="5:10" ht="15.75" customHeight="1" x14ac:dyDescent="0.25">
      <c r="E331" s="139"/>
      <c r="J331" s="139"/>
    </row>
    <row r="332" spans="5:10" ht="15.75" customHeight="1" x14ac:dyDescent="0.25">
      <c r="E332" s="139"/>
      <c r="J332" s="139"/>
    </row>
    <row r="333" spans="5:10" ht="15.75" customHeight="1" x14ac:dyDescent="0.25">
      <c r="E333" s="139"/>
      <c r="J333" s="139"/>
    </row>
    <row r="334" spans="5:10" ht="15.75" customHeight="1" x14ac:dyDescent="0.25">
      <c r="E334" s="139"/>
      <c r="J334" s="139"/>
    </row>
    <row r="335" spans="5:10" ht="15.75" customHeight="1" x14ac:dyDescent="0.25">
      <c r="E335" s="139"/>
      <c r="J335" s="139"/>
    </row>
    <row r="336" spans="5:10" ht="15.75" customHeight="1" x14ac:dyDescent="0.25">
      <c r="E336" s="139"/>
      <c r="J336" s="139"/>
    </row>
    <row r="337" spans="5:10" ht="15.75" customHeight="1" x14ac:dyDescent="0.25">
      <c r="E337" s="139"/>
      <c r="J337" s="139"/>
    </row>
    <row r="338" spans="5:10" ht="15.75" customHeight="1" x14ac:dyDescent="0.25">
      <c r="E338" s="139"/>
      <c r="J338" s="139"/>
    </row>
    <row r="339" spans="5:10" ht="15.75" customHeight="1" x14ac:dyDescent="0.25">
      <c r="E339" s="139"/>
      <c r="J339" s="139"/>
    </row>
    <row r="340" spans="5:10" ht="15.75" customHeight="1" x14ac:dyDescent="0.25">
      <c r="E340" s="139"/>
      <c r="J340" s="139"/>
    </row>
    <row r="341" spans="5:10" ht="15.75" customHeight="1" x14ac:dyDescent="0.25">
      <c r="E341" s="139"/>
      <c r="J341" s="139"/>
    </row>
    <row r="342" spans="5:10" ht="15.75" customHeight="1" x14ac:dyDescent="0.25">
      <c r="E342" s="139"/>
      <c r="J342" s="139"/>
    </row>
    <row r="343" spans="5:10" ht="15.75" customHeight="1" x14ac:dyDescent="0.25">
      <c r="E343" s="139"/>
      <c r="J343" s="139"/>
    </row>
    <row r="344" spans="5:10" ht="15.75" customHeight="1" x14ac:dyDescent="0.25">
      <c r="E344" s="139"/>
      <c r="J344" s="139"/>
    </row>
    <row r="345" spans="5:10" ht="15.75" customHeight="1" x14ac:dyDescent="0.25">
      <c r="E345" s="139"/>
      <c r="J345" s="139"/>
    </row>
    <row r="346" spans="5:10" ht="15.75" customHeight="1" x14ac:dyDescent="0.25">
      <c r="E346" s="139"/>
      <c r="J346" s="139"/>
    </row>
    <row r="347" spans="5:10" ht="15.75" customHeight="1" x14ac:dyDescent="0.25">
      <c r="E347" s="139"/>
      <c r="J347" s="139"/>
    </row>
    <row r="348" spans="5:10" ht="15.75" customHeight="1" x14ac:dyDescent="0.25">
      <c r="E348" s="139"/>
      <c r="J348" s="139"/>
    </row>
    <row r="349" spans="5:10" ht="15.75" customHeight="1" x14ac:dyDescent="0.25">
      <c r="E349" s="139"/>
      <c r="J349" s="139"/>
    </row>
    <row r="350" spans="5:10" ht="15.75" customHeight="1" x14ac:dyDescent="0.25">
      <c r="E350" s="139"/>
      <c r="J350" s="139"/>
    </row>
    <row r="351" spans="5:10" ht="15.75" customHeight="1" x14ac:dyDescent="0.25">
      <c r="E351" s="139"/>
      <c r="J351" s="139"/>
    </row>
    <row r="352" spans="5:10" ht="15.75" customHeight="1" x14ac:dyDescent="0.25">
      <c r="E352" s="139"/>
      <c r="J352" s="139"/>
    </row>
    <row r="353" spans="5:10" ht="15.75" customHeight="1" x14ac:dyDescent="0.25">
      <c r="E353" s="139"/>
      <c r="J353" s="139"/>
    </row>
    <row r="354" spans="5:10" ht="15.75" customHeight="1" x14ac:dyDescent="0.25">
      <c r="E354" s="139"/>
      <c r="J354" s="139"/>
    </row>
    <row r="355" spans="5:10" ht="15.75" customHeight="1" x14ac:dyDescent="0.25">
      <c r="E355" s="139"/>
      <c r="J355" s="139"/>
    </row>
    <row r="356" spans="5:10" ht="15.75" customHeight="1" x14ac:dyDescent="0.25">
      <c r="E356" s="139"/>
      <c r="J356" s="139"/>
    </row>
    <row r="357" spans="5:10" ht="15.75" customHeight="1" x14ac:dyDescent="0.25">
      <c r="E357" s="139"/>
      <c r="J357" s="139"/>
    </row>
    <row r="358" spans="5:10" ht="15.75" customHeight="1" x14ac:dyDescent="0.25">
      <c r="E358" s="139"/>
      <c r="J358" s="139"/>
    </row>
    <row r="359" spans="5:10" ht="15.75" customHeight="1" x14ac:dyDescent="0.25">
      <c r="E359" s="139"/>
      <c r="J359" s="139"/>
    </row>
    <row r="360" spans="5:10" ht="15.75" customHeight="1" x14ac:dyDescent="0.25">
      <c r="E360" s="139"/>
      <c r="J360" s="139"/>
    </row>
    <row r="361" spans="5:10" ht="15.75" customHeight="1" x14ac:dyDescent="0.25">
      <c r="E361" s="139"/>
      <c r="J361" s="139"/>
    </row>
    <row r="362" spans="5:10" ht="15.75" customHeight="1" x14ac:dyDescent="0.25">
      <c r="E362" s="139"/>
      <c r="J362" s="139"/>
    </row>
    <row r="363" spans="5:10" ht="15.75" customHeight="1" x14ac:dyDescent="0.25">
      <c r="E363" s="139"/>
      <c r="J363" s="139"/>
    </row>
    <row r="364" spans="5:10" ht="15.75" customHeight="1" x14ac:dyDescent="0.25">
      <c r="E364" s="139"/>
      <c r="J364" s="139"/>
    </row>
    <row r="365" spans="5:10" ht="15.75" customHeight="1" x14ac:dyDescent="0.25">
      <c r="E365" s="139"/>
      <c r="J365" s="139"/>
    </row>
    <row r="366" spans="5:10" ht="15.75" customHeight="1" x14ac:dyDescent="0.25">
      <c r="E366" s="139"/>
      <c r="J366" s="139"/>
    </row>
    <row r="367" spans="5:10" ht="15.75" customHeight="1" x14ac:dyDescent="0.25">
      <c r="E367" s="139"/>
      <c r="J367" s="139"/>
    </row>
    <row r="368" spans="5:10" ht="15.75" customHeight="1" x14ac:dyDescent="0.25">
      <c r="E368" s="139"/>
      <c r="J368" s="139"/>
    </row>
    <row r="369" spans="5:10" ht="15.75" customHeight="1" x14ac:dyDescent="0.25">
      <c r="E369" s="139"/>
      <c r="J369" s="139"/>
    </row>
    <row r="370" spans="5:10" ht="15.75" customHeight="1" x14ac:dyDescent="0.25">
      <c r="E370" s="139"/>
      <c r="J370" s="139"/>
    </row>
    <row r="371" spans="5:10" ht="15.75" customHeight="1" x14ac:dyDescent="0.25">
      <c r="E371" s="139"/>
      <c r="J371" s="139"/>
    </row>
    <row r="372" spans="5:10" ht="15.75" customHeight="1" x14ac:dyDescent="0.25">
      <c r="E372" s="139"/>
      <c r="J372" s="139"/>
    </row>
    <row r="373" spans="5:10" ht="15.75" customHeight="1" x14ac:dyDescent="0.25">
      <c r="E373" s="139"/>
      <c r="J373" s="139"/>
    </row>
    <row r="374" spans="5:10" ht="15.75" customHeight="1" x14ac:dyDescent="0.25">
      <c r="E374" s="139"/>
      <c r="J374" s="139"/>
    </row>
    <row r="375" spans="5:10" ht="15.75" customHeight="1" x14ac:dyDescent="0.25">
      <c r="E375" s="139"/>
      <c r="J375" s="139"/>
    </row>
    <row r="376" spans="5:10" ht="15.75" customHeight="1" x14ac:dyDescent="0.25">
      <c r="E376" s="139"/>
      <c r="J376" s="139"/>
    </row>
    <row r="377" spans="5:10" ht="15.75" customHeight="1" x14ac:dyDescent="0.25">
      <c r="E377" s="139"/>
      <c r="J377" s="139"/>
    </row>
    <row r="378" spans="5:10" ht="15.75" customHeight="1" x14ac:dyDescent="0.25">
      <c r="E378" s="139"/>
      <c r="J378" s="139"/>
    </row>
    <row r="379" spans="5:10" ht="15.75" customHeight="1" x14ac:dyDescent="0.25">
      <c r="E379" s="139"/>
      <c r="J379" s="139"/>
    </row>
    <row r="380" spans="5:10" ht="15.75" customHeight="1" x14ac:dyDescent="0.25">
      <c r="E380" s="139"/>
      <c r="J380" s="139"/>
    </row>
    <row r="381" spans="5:10" ht="15.75" customHeight="1" x14ac:dyDescent="0.25">
      <c r="E381" s="139"/>
      <c r="J381" s="139"/>
    </row>
    <row r="382" spans="5:10" ht="15.75" customHeight="1" x14ac:dyDescent="0.25">
      <c r="E382" s="139"/>
      <c r="J382" s="139"/>
    </row>
    <row r="383" spans="5:10" ht="15.75" customHeight="1" x14ac:dyDescent="0.25">
      <c r="E383" s="139"/>
      <c r="J383" s="139"/>
    </row>
    <row r="384" spans="5:10" ht="15.75" customHeight="1" x14ac:dyDescent="0.25">
      <c r="E384" s="139"/>
      <c r="J384" s="139"/>
    </row>
    <row r="385" spans="5:10" ht="15.75" customHeight="1" x14ac:dyDescent="0.25">
      <c r="E385" s="139"/>
      <c r="J385" s="139"/>
    </row>
    <row r="386" spans="5:10" ht="15.75" customHeight="1" x14ac:dyDescent="0.25">
      <c r="E386" s="139"/>
      <c r="J386" s="139"/>
    </row>
    <row r="387" spans="5:10" ht="15.75" customHeight="1" x14ac:dyDescent="0.25">
      <c r="E387" s="139"/>
      <c r="J387" s="139"/>
    </row>
    <row r="388" spans="5:10" ht="15.75" customHeight="1" x14ac:dyDescent="0.25">
      <c r="E388" s="139"/>
      <c r="J388" s="139"/>
    </row>
    <row r="389" spans="5:10" ht="15.75" customHeight="1" x14ac:dyDescent="0.25">
      <c r="E389" s="139"/>
      <c r="J389" s="139"/>
    </row>
    <row r="390" spans="5:10" ht="15.75" customHeight="1" x14ac:dyDescent="0.25">
      <c r="E390" s="139"/>
      <c r="J390" s="139"/>
    </row>
    <row r="391" spans="5:10" ht="15.75" customHeight="1" x14ac:dyDescent="0.25">
      <c r="E391" s="139"/>
      <c r="J391" s="139"/>
    </row>
    <row r="392" spans="5:10" ht="15.75" customHeight="1" x14ac:dyDescent="0.25">
      <c r="E392" s="139"/>
      <c r="J392" s="139"/>
    </row>
    <row r="393" spans="5:10" ht="15.75" customHeight="1" x14ac:dyDescent="0.25">
      <c r="E393" s="139"/>
      <c r="J393" s="139"/>
    </row>
    <row r="394" spans="5:10" ht="15.75" customHeight="1" x14ac:dyDescent="0.25">
      <c r="E394" s="139"/>
      <c r="J394" s="139"/>
    </row>
    <row r="395" spans="5:10" ht="15.75" customHeight="1" x14ac:dyDescent="0.25">
      <c r="E395" s="139"/>
      <c r="J395" s="139"/>
    </row>
    <row r="396" spans="5:10" ht="15.75" customHeight="1" x14ac:dyDescent="0.25">
      <c r="E396" s="139"/>
      <c r="J396" s="139"/>
    </row>
    <row r="397" spans="5:10" ht="15.75" customHeight="1" x14ac:dyDescent="0.25">
      <c r="E397" s="139"/>
      <c r="J397" s="139"/>
    </row>
    <row r="398" spans="5:10" ht="15.75" customHeight="1" x14ac:dyDescent="0.25">
      <c r="E398" s="139"/>
      <c r="J398" s="139"/>
    </row>
    <row r="399" spans="5:10" ht="15.75" customHeight="1" x14ac:dyDescent="0.25">
      <c r="E399" s="139"/>
      <c r="J399" s="139"/>
    </row>
    <row r="400" spans="5:10" ht="15.75" customHeight="1" x14ac:dyDescent="0.25">
      <c r="E400" s="139"/>
      <c r="J400" s="139"/>
    </row>
    <row r="401" spans="5:10" ht="15.75" customHeight="1" x14ac:dyDescent="0.25">
      <c r="E401" s="139"/>
      <c r="J401" s="139"/>
    </row>
    <row r="402" spans="5:10" ht="15.75" customHeight="1" x14ac:dyDescent="0.25">
      <c r="E402" s="139"/>
      <c r="J402" s="139"/>
    </row>
    <row r="403" spans="5:10" ht="15.75" customHeight="1" x14ac:dyDescent="0.25">
      <c r="E403" s="139"/>
      <c r="J403" s="139"/>
    </row>
    <row r="404" spans="5:10" ht="15.75" customHeight="1" x14ac:dyDescent="0.25">
      <c r="E404" s="139"/>
      <c r="J404" s="139"/>
    </row>
    <row r="405" spans="5:10" ht="15.75" customHeight="1" x14ac:dyDescent="0.25">
      <c r="E405" s="139"/>
      <c r="J405" s="139"/>
    </row>
    <row r="406" spans="5:10" ht="15.75" customHeight="1" x14ac:dyDescent="0.25">
      <c r="E406" s="139"/>
      <c r="J406" s="139"/>
    </row>
    <row r="407" spans="5:10" ht="15.75" customHeight="1" x14ac:dyDescent="0.25">
      <c r="E407" s="139"/>
      <c r="J407" s="139"/>
    </row>
    <row r="408" spans="5:10" ht="15.75" customHeight="1" x14ac:dyDescent="0.25">
      <c r="E408" s="139"/>
      <c r="J408" s="139"/>
    </row>
    <row r="409" spans="5:10" ht="15.75" customHeight="1" x14ac:dyDescent="0.25">
      <c r="E409" s="139"/>
      <c r="J409" s="139"/>
    </row>
    <row r="410" spans="5:10" ht="15.75" customHeight="1" x14ac:dyDescent="0.25">
      <c r="E410" s="139"/>
      <c r="J410" s="139"/>
    </row>
    <row r="411" spans="5:10" ht="15.75" customHeight="1" x14ac:dyDescent="0.25">
      <c r="E411" s="139"/>
      <c r="J411" s="139"/>
    </row>
    <row r="412" spans="5:10" ht="15.75" customHeight="1" x14ac:dyDescent="0.25">
      <c r="E412" s="139"/>
      <c r="J412" s="139"/>
    </row>
    <row r="413" spans="5:10" ht="15.75" customHeight="1" x14ac:dyDescent="0.25">
      <c r="E413" s="139"/>
      <c r="J413" s="139"/>
    </row>
    <row r="414" spans="5:10" ht="15.75" customHeight="1" x14ac:dyDescent="0.25">
      <c r="E414" s="139"/>
      <c r="J414" s="139"/>
    </row>
    <row r="415" spans="5:10" ht="15.75" customHeight="1" x14ac:dyDescent="0.25">
      <c r="E415" s="139"/>
      <c r="J415" s="139"/>
    </row>
    <row r="416" spans="5:10" ht="15.75" customHeight="1" x14ac:dyDescent="0.25">
      <c r="E416" s="139"/>
      <c r="J416" s="139"/>
    </row>
    <row r="417" spans="5:10" ht="15.75" customHeight="1" x14ac:dyDescent="0.25">
      <c r="E417" s="139"/>
      <c r="J417" s="139"/>
    </row>
    <row r="418" spans="5:10" ht="15.75" customHeight="1" x14ac:dyDescent="0.25">
      <c r="E418" s="139"/>
      <c r="J418" s="139"/>
    </row>
    <row r="419" spans="5:10" ht="15.75" customHeight="1" x14ac:dyDescent="0.25">
      <c r="E419" s="139"/>
      <c r="J419" s="139"/>
    </row>
    <row r="420" spans="5:10" ht="15.75" customHeight="1" x14ac:dyDescent="0.25">
      <c r="E420" s="139"/>
      <c r="J420" s="139"/>
    </row>
    <row r="421" spans="5:10" ht="15.75" customHeight="1" x14ac:dyDescent="0.25">
      <c r="E421" s="139"/>
      <c r="J421" s="139"/>
    </row>
    <row r="422" spans="5:10" ht="15.75" customHeight="1" x14ac:dyDescent="0.25">
      <c r="E422" s="139"/>
      <c r="J422" s="139"/>
    </row>
    <row r="423" spans="5:10" ht="15.75" customHeight="1" x14ac:dyDescent="0.25">
      <c r="E423" s="139"/>
      <c r="J423" s="139"/>
    </row>
    <row r="424" spans="5:10" ht="15.75" customHeight="1" x14ac:dyDescent="0.25">
      <c r="E424" s="139"/>
      <c r="J424" s="139"/>
    </row>
    <row r="425" spans="5:10" ht="15.75" customHeight="1" x14ac:dyDescent="0.25">
      <c r="E425" s="139"/>
      <c r="J425" s="139"/>
    </row>
    <row r="426" spans="5:10" ht="15.75" customHeight="1" x14ac:dyDescent="0.25">
      <c r="E426" s="139"/>
      <c r="J426" s="139"/>
    </row>
    <row r="427" spans="5:10" ht="15.75" customHeight="1" x14ac:dyDescent="0.25">
      <c r="E427" s="139"/>
      <c r="J427" s="139"/>
    </row>
    <row r="428" spans="5:10" ht="15.75" customHeight="1" x14ac:dyDescent="0.25">
      <c r="E428" s="139"/>
      <c r="J428" s="139"/>
    </row>
    <row r="429" spans="5:10" ht="15.75" customHeight="1" x14ac:dyDescent="0.25">
      <c r="E429" s="139"/>
      <c r="J429" s="139"/>
    </row>
    <row r="430" spans="5:10" ht="15.75" customHeight="1" x14ac:dyDescent="0.25">
      <c r="E430" s="139"/>
      <c r="J430" s="139"/>
    </row>
    <row r="431" spans="5:10" ht="15.75" customHeight="1" x14ac:dyDescent="0.25">
      <c r="E431" s="139"/>
      <c r="J431" s="139"/>
    </row>
    <row r="432" spans="5:10" ht="15.75" customHeight="1" x14ac:dyDescent="0.25">
      <c r="E432" s="139"/>
      <c r="J432" s="139"/>
    </row>
    <row r="433" spans="5:10" ht="15.75" customHeight="1" x14ac:dyDescent="0.25">
      <c r="E433" s="139"/>
      <c r="J433" s="139"/>
    </row>
    <row r="434" spans="5:10" ht="15.75" customHeight="1" x14ac:dyDescent="0.25">
      <c r="E434" s="139"/>
      <c r="J434" s="139"/>
    </row>
    <row r="435" spans="5:10" ht="15.75" customHeight="1" x14ac:dyDescent="0.25">
      <c r="E435" s="139"/>
      <c r="J435" s="139"/>
    </row>
    <row r="436" spans="5:10" ht="15.75" customHeight="1" x14ac:dyDescent="0.25">
      <c r="E436" s="139"/>
      <c r="J436" s="139"/>
    </row>
    <row r="437" spans="5:10" ht="15.75" customHeight="1" x14ac:dyDescent="0.25">
      <c r="E437" s="139"/>
      <c r="J437" s="139"/>
    </row>
    <row r="438" spans="5:10" ht="15.75" customHeight="1" x14ac:dyDescent="0.25">
      <c r="E438" s="139"/>
      <c r="J438" s="139"/>
    </row>
    <row r="439" spans="5:10" ht="15.75" customHeight="1" x14ac:dyDescent="0.25">
      <c r="E439" s="139"/>
      <c r="J439" s="139"/>
    </row>
    <row r="440" spans="5:10" ht="15.75" customHeight="1" x14ac:dyDescent="0.25">
      <c r="E440" s="139"/>
      <c r="J440" s="139"/>
    </row>
    <row r="441" spans="5:10" ht="15.75" customHeight="1" x14ac:dyDescent="0.25">
      <c r="E441" s="139"/>
      <c r="J441" s="139"/>
    </row>
    <row r="442" spans="5:10" ht="15.75" customHeight="1" x14ac:dyDescent="0.25">
      <c r="E442" s="139"/>
      <c r="J442" s="139"/>
    </row>
    <row r="443" spans="5:10" ht="15.75" customHeight="1" x14ac:dyDescent="0.25">
      <c r="E443" s="139"/>
      <c r="J443" s="139"/>
    </row>
    <row r="444" spans="5:10" ht="15.75" customHeight="1" x14ac:dyDescent="0.25">
      <c r="E444" s="139"/>
      <c r="J444" s="139"/>
    </row>
    <row r="445" spans="5:10" ht="15.75" customHeight="1" x14ac:dyDescent="0.25">
      <c r="E445" s="139"/>
      <c r="J445" s="139"/>
    </row>
    <row r="446" spans="5:10" ht="15.75" customHeight="1" x14ac:dyDescent="0.25">
      <c r="E446" s="139"/>
      <c r="J446" s="139"/>
    </row>
    <row r="447" spans="5:10" ht="15.75" customHeight="1" x14ac:dyDescent="0.25">
      <c r="E447" s="139"/>
      <c r="J447" s="139"/>
    </row>
    <row r="448" spans="5:10" ht="15.75" customHeight="1" x14ac:dyDescent="0.25">
      <c r="E448" s="139"/>
      <c r="J448" s="139"/>
    </row>
    <row r="449" spans="5:10" ht="15.75" customHeight="1" x14ac:dyDescent="0.25">
      <c r="E449" s="139"/>
      <c r="J449" s="139"/>
    </row>
    <row r="450" spans="5:10" ht="15.75" customHeight="1" x14ac:dyDescent="0.25">
      <c r="E450" s="139"/>
      <c r="J450" s="139"/>
    </row>
    <row r="451" spans="5:10" ht="15.75" customHeight="1" x14ac:dyDescent="0.25">
      <c r="E451" s="139"/>
      <c r="J451" s="139"/>
    </row>
    <row r="452" spans="5:10" ht="15.75" customHeight="1" x14ac:dyDescent="0.25">
      <c r="E452" s="139"/>
      <c r="J452" s="139"/>
    </row>
    <row r="453" spans="5:10" ht="15.75" customHeight="1" x14ac:dyDescent="0.25">
      <c r="E453" s="139"/>
      <c r="J453" s="139"/>
    </row>
    <row r="454" spans="5:10" ht="15.75" customHeight="1" x14ac:dyDescent="0.25">
      <c r="E454" s="139"/>
      <c r="J454" s="139"/>
    </row>
    <row r="455" spans="5:10" ht="15.75" customHeight="1" x14ac:dyDescent="0.25">
      <c r="E455" s="139"/>
      <c r="J455" s="139"/>
    </row>
    <row r="456" spans="5:10" ht="15.75" customHeight="1" x14ac:dyDescent="0.25">
      <c r="E456" s="139"/>
      <c r="J456" s="139"/>
    </row>
    <row r="457" spans="5:10" ht="15.75" customHeight="1" x14ac:dyDescent="0.25">
      <c r="E457" s="139"/>
      <c r="J457" s="139"/>
    </row>
    <row r="458" spans="5:10" ht="15.75" customHeight="1" x14ac:dyDescent="0.25">
      <c r="E458" s="139"/>
      <c r="J458" s="139"/>
    </row>
    <row r="459" spans="5:10" ht="15.75" customHeight="1" x14ac:dyDescent="0.25">
      <c r="E459" s="139"/>
      <c r="J459" s="139"/>
    </row>
    <row r="460" spans="5:10" ht="15.75" customHeight="1" x14ac:dyDescent="0.25">
      <c r="E460" s="139"/>
      <c r="J460" s="139"/>
    </row>
    <row r="461" spans="5:10" ht="15.75" customHeight="1" x14ac:dyDescent="0.25">
      <c r="E461" s="139"/>
      <c r="J461" s="139"/>
    </row>
    <row r="462" spans="5:10" ht="15.75" customHeight="1" x14ac:dyDescent="0.25">
      <c r="E462" s="139"/>
      <c r="J462" s="139"/>
    </row>
    <row r="463" spans="5:10" ht="15.75" customHeight="1" x14ac:dyDescent="0.25">
      <c r="E463" s="139"/>
      <c r="J463" s="139"/>
    </row>
    <row r="464" spans="5:10" ht="15.75" customHeight="1" x14ac:dyDescent="0.25">
      <c r="E464" s="139"/>
      <c r="J464" s="139"/>
    </row>
    <row r="465" spans="5:10" ht="15.75" customHeight="1" x14ac:dyDescent="0.25">
      <c r="E465" s="139"/>
      <c r="J465" s="139"/>
    </row>
    <row r="466" spans="5:10" ht="15.75" customHeight="1" x14ac:dyDescent="0.25">
      <c r="E466" s="139"/>
      <c r="J466" s="139"/>
    </row>
    <row r="467" spans="5:10" ht="15.75" customHeight="1" x14ac:dyDescent="0.25">
      <c r="E467" s="139"/>
      <c r="J467" s="139"/>
    </row>
    <row r="468" spans="5:10" ht="15.75" customHeight="1" x14ac:dyDescent="0.25">
      <c r="E468" s="139"/>
      <c r="J468" s="139"/>
    </row>
    <row r="469" spans="5:10" ht="15.75" customHeight="1" x14ac:dyDescent="0.25">
      <c r="E469" s="139"/>
      <c r="J469" s="139"/>
    </row>
    <row r="470" spans="5:10" ht="15.75" customHeight="1" x14ac:dyDescent="0.25">
      <c r="E470" s="139"/>
      <c r="J470" s="139"/>
    </row>
    <row r="471" spans="5:10" ht="15.75" customHeight="1" x14ac:dyDescent="0.25">
      <c r="E471" s="139"/>
      <c r="J471" s="139"/>
    </row>
    <row r="472" spans="5:10" ht="15.75" customHeight="1" x14ac:dyDescent="0.25">
      <c r="E472" s="139"/>
      <c r="J472" s="139"/>
    </row>
    <row r="473" spans="5:10" ht="15.75" customHeight="1" x14ac:dyDescent="0.25">
      <c r="E473" s="139"/>
      <c r="J473" s="139"/>
    </row>
    <row r="474" spans="5:10" ht="15.75" customHeight="1" x14ac:dyDescent="0.25">
      <c r="E474" s="139"/>
      <c r="J474" s="139"/>
    </row>
    <row r="475" spans="5:10" ht="15.75" customHeight="1" x14ac:dyDescent="0.25">
      <c r="E475" s="139"/>
      <c r="J475" s="139"/>
    </row>
    <row r="476" spans="5:10" ht="15.75" customHeight="1" x14ac:dyDescent="0.25">
      <c r="E476" s="139"/>
      <c r="J476" s="139"/>
    </row>
    <row r="477" spans="5:10" ht="15.75" customHeight="1" x14ac:dyDescent="0.25">
      <c r="E477" s="139"/>
      <c r="J477" s="139"/>
    </row>
    <row r="478" spans="5:10" ht="15.75" customHeight="1" x14ac:dyDescent="0.25">
      <c r="E478" s="139"/>
      <c r="J478" s="139"/>
    </row>
    <row r="479" spans="5:10" ht="15.75" customHeight="1" x14ac:dyDescent="0.25">
      <c r="E479" s="139"/>
      <c r="J479" s="139"/>
    </row>
    <row r="480" spans="5:10" ht="15.75" customHeight="1" x14ac:dyDescent="0.25">
      <c r="E480" s="139"/>
      <c r="J480" s="139"/>
    </row>
    <row r="481" spans="5:10" ht="15.75" customHeight="1" x14ac:dyDescent="0.25">
      <c r="E481" s="139"/>
      <c r="J481" s="139"/>
    </row>
    <row r="482" spans="5:10" ht="15.75" customHeight="1" x14ac:dyDescent="0.25">
      <c r="E482" s="139"/>
      <c r="J482" s="139"/>
    </row>
    <row r="483" spans="5:10" ht="15.75" customHeight="1" x14ac:dyDescent="0.25">
      <c r="E483" s="139"/>
      <c r="J483" s="139"/>
    </row>
    <row r="484" spans="5:10" ht="15.75" customHeight="1" x14ac:dyDescent="0.25">
      <c r="E484" s="139"/>
      <c r="J484" s="139"/>
    </row>
    <row r="485" spans="5:10" ht="15.75" customHeight="1" x14ac:dyDescent="0.25">
      <c r="E485" s="139"/>
      <c r="J485" s="139"/>
    </row>
    <row r="486" spans="5:10" ht="15.75" customHeight="1" x14ac:dyDescent="0.25">
      <c r="E486" s="139"/>
      <c r="J486" s="139"/>
    </row>
    <row r="487" spans="5:10" ht="15.75" customHeight="1" x14ac:dyDescent="0.25">
      <c r="E487" s="139"/>
      <c r="J487" s="139"/>
    </row>
    <row r="488" spans="5:10" ht="15.75" customHeight="1" x14ac:dyDescent="0.25">
      <c r="E488" s="139"/>
      <c r="J488" s="139"/>
    </row>
    <row r="489" spans="5:10" ht="15.75" customHeight="1" x14ac:dyDescent="0.25">
      <c r="E489" s="139"/>
      <c r="J489" s="139"/>
    </row>
    <row r="490" spans="5:10" ht="15.75" customHeight="1" x14ac:dyDescent="0.25">
      <c r="E490" s="139"/>
      <c r="J490" s="139"/>
    </row>
    <row r="491" spans="5:10" ht="15.75" customHeight="1" x14ac:dyDescent="0.25">
      <c r="E491" s="139"/>
      <c r="J491" s="139"/>
    </row>
    <row r="492" spans="5:10" ht="15.75" customHeight="1" x14ac:dyDescent="0.25">
      <c r="E492" s="139"/>
      <c r="J492" s="139"/>
    </row>
    <row r="493" spans="5:10" ht="15.75" customHeight="1" x14ac:dyDescent="0.25">
      <c r="E493" s="139"/>
      <c r="J493" s="139"/>
    </row>
    <row r="494" spans="5:10" ht="15.75" customHeight="1" x14ac:dyDescent="0.25">
      <c r="E494" s="139"/>
      <c r="J494" s="139"/>
    </row>
    <row r="495" spans="5:10" ht="15.75" customHeight="1" x14ac:dyDescent="0.25">
      <c r="E495" s="139"/>
      <c r="J495" s="139"/>
    </row>
    <row r="496" spans="5:10" ht="15.75" customHeight="1" x14ac:dyDescent="0.25">
      <c r="E496" s="139"/>
      <c r="J496" s="139"/>
    </row>
    <row r="497" spans="5:10" ht="15.75" customHeight="1" x14ac:dyDescent="0.25">
      <c r="E497" s="139"/>
      <c r="J497" s="139"/>
    </row>
    <row r="498" spans="5:10" ht="15.75" customHeight="1" x14ac:dyDescent="0.25">
      <c r="E498" s="139"/>
      <c r="J498" s="139"/>
    </row>
    <row r="499" spans="5:10" ht="15.75" customHeight="1" x14ac:dyDescent="0.25">
      <c r="E499" s="139"/>
      <c r="J499" s="139"/>
    </row>
    <row r="500" spans="5:10" ht="15.75" customHeight="1" x14ac:dyDescent="0.25">
      <c r="E500" s="139"/>
      <c r="J500" s="139"/>
    </row>
    <row r="501" spans="5:10" ht="15.75" customHeight="1" x14ac:dyDescent="0.25">
      <c r="E501" s="139"/>
      <c r="J501" s="139"/>
    </row>
    <row r="502" spans="5:10" ht="15.75" customHeight="1" x14ac:dyDescent="0.25">
      <c r="E502" s="139"/>
      <c r="J502" s="139"/>
    </row>
    <row r="503" spans="5:10" ht="15.75" customHeight="1" x14ac:dyDescent="0.25">
      <c r="E503" s="139"/>
      <c r="J503" s="139"/>
    </row>
    <row r="504" spans="5:10" ht="15.75" customHeight="1" x14ac:dyDescent="0.25">
      <c r="E504" s="139"/>
      <c r="J504" s="139"/>
    </row>
    <row r="505" spans="5:10" ht="15.75" customHeight="1" x14ac:dyDescent="0.25">
      <c r="E505" s="139"/>
      <c r="J505" s="139"/>
    </row>
    <row r="506" spans="5:10" ht="15.75" customHeight="1" x14ac:dyDescent="0.25">
      <c r="E506" s="139"/>
      <c r="J506" s="139"/>
    </row>
    <row r="507" spans="5:10" ht="15.75" customHeight="1" x14ac:dyDescent="0.25">
      <c r="E507" s="139"/>
      <c r="J507" s="139"/>
    </row>
    <row r="508" spans="5:10" ht="15.75" customHeight="1" x14ac:dyDescent="0.25">
      <c r="E508" s="139"/>
      <c r="J508" s="139"/>
    </row>
    <row r="509" spans="5:10" ht="15.75" customHeight="1" x14ac:dyDescent="0.25">
      <c r="E509" s="139"/>
      <c r="J509" s="139"/>
    </row>
    <row r="510" spans="5:10" ht="15.75" customHeight="1" x14ac:dyDescent="0.25">
      <c r="E510" s="139"/>
      <c r="J510" s="139"/>
    </row>
    <row r="511" spans="5:10" ht="15.75" customHeight="1" x14ac:dyDescent="0.25">
      <c r="E511" s="139"/>
      <c r="J511" s="139"/>
    </row>
    <row r="512" spans="5:10" ht="15.75" customHeight="1" x14ac:dyDescent="0.25">
      <c r="E512" s="139"/>
      <c r="J512" s="139"/>
    </row>
    <row r="513" spans="5:10" ht="15.75" customHeight="1" x14ac:dyDescent="0.25">
      <c r="E513" s="139"/>
      <c r="J513" s="139"/>
    </row>
    <row r="514" spans="5:10" ht="15.75" customHeight="1" x14ac:dyDescent="0.25">
      <c r="E514" s="139"/>
      <c r="J514" s="139"/>
    </row>
    <row r="515" spans="5:10" ht="15.75" customHeight="1" x14ac:dyDescent="0.25">
      <c r="E515" s="139"/>
      <c r="J515" s="139"/>
    </row>
    <row r="516" spans="5:10" ht="15.75" customHeight="1" x14ac:dyDescent="0.25">
      <c r="E516" s="139"/>
      <c r="J516" s="139"/>
    </row>
    <row r="517" spans="5:10" ht="15.75" customHeight="1" x14ac:dyDescent="0.25">
      <c r="E517" s="139"/>
      <c r="J517" s="139"/>
    </row>
    <row r="518" spans="5:10" ht="15.75" customHeight="1" x14ac:dyDescent="0.25">
      <c r="E518" s="139"/>
      <c r="J518" s="139"/>
    </row>
    <row r="519" spans="5:10" ht="15.75" customHeight="1" x14ac:dyDescent="0.25">
      <c r="E519" s="139"/>
      <c r="J519" s="139"/>
    </row>
    <row r="520" spans="5:10" ht="15.75" customHeight="1" x14ac:dyDescent="0.25">
      <c r="E520" s="139"/>
      <c r="J520" s="139"/>
    </row>
    <row r="521" spans="5:10" ht="15.75" customHeight="1" x14ac:dyDescent="0.25">
      <c r="E521" s="139"/>
      <c r="J521" s="139"/>
    </row>
    <row r="522" spans="5:10" ht="15.75" customHeight="1" x14ac:dyDescent="0.25">
      <c r="E522" s="139"/>
      <c r="J522" s="139"/>
    </row>
    <row r="523" spans="5:10" ht="15.75" customHeight="1" x14ac:dyDescent="0.25">
      <c r="E523" s="139"/>
      <c r="J523" s="139"/>
    </row>
    <row r="524" spans="5:10" ht="15.75" customHeight="1" x14ac:dyDescent="0.25">
      <c r="E524" s="139"/>
      <c r="J524" s="139"/>
    </row>
    <row r="525" spans="5:10" ht="15.75" customHeight="1" x14ac:dyDescent="0.25">
      <c r="E525" s="139"/>
      <c r="J525" s="139"/>
    </row>
    <row r="526" spans="5:10" ht="15.75" customHeight="1" x14ac:dyDescent="0.25">
      <c r="E526" s="139"/>
      <c r="J526" s="139"/>
    </row>
    <row r="527" spans="5:10" ht="15.75" customHeight="1" x14ac:dyDescent="0.25">
      <c r="E527" s="139"/>
      <c r="J527" s="139"/>
    </row>
    <row r="528" spans="5:10" ht="15.75" customHeight="1" x14ac:dyDescent="0.25">
      <c r="E528" s="139"/>
      <c r="J528" s="139"/>
    </row>
    <row r="529" spans="5:10" ht="15.75" customHeight="1" x14ac:dyDescent="0.25">
      <c r="E529" s="139"/>
      <c r="J529" s="139"/>
    </row>
    <row r="530" spans="5:10" ht="15.75" customHeight="1" x14ac:dyDescent="0.25">
      <c r="E530" s="139"/>
      <c r="J530" s="139"/>
    </row>
    <row r="531" spans="5:10" ht="15.75" customHeight="1" x14ac:dyDescent="0.25">
      <c r="E531" s="139"/>
      <c r="J531" s="139"/>
    </row>
    <row r="532" spans="5:10" ht="15.75" customHeight="1" x14ac:dyDescent="0.25">
      <c r="E532" s="139"/>
      <c r="J532" s="139"/>
    </row>
    <row r="533" spans="5:10" ht="15.75" customHeight="1" x14ac:dyDescent="0.25">
      <c r="E533" s="139"/>
      <c r="J533" s="139"/>
    </row>
    <row r="534" spans="5:10" ht="15.75" customHeight="1" x14ac:dyDescent="0.25">
      <c r="E534" s="139"/>
      <c r="J534" s="139"/>
    </row>
    <row r="535" spans="5:10" ht="15.75" customHeight="1" x14ac:dyDescent="0.25">
      <c r="E535" s="139"/>
      <c r="J535" s="139"/>
    </row>
    <row r="536" spans="5:10" ht="15.75" customHeight="1" x14ac:dyDescent="0.25">
      <c r="E536" s="139"/>
      <c r="J536" s="139"/>
    </row>
    <row r="537" spans="5:10" ht="15.75" customHeight="1" x14ac:dyDescent="0.25">
      <c r="E537" s="139"/>
      <c r="J537" s="139"/>
    </row>
    <row r="538" spans="5:10" ht="15.75" customHeight="1" x14ac:dyDescent="0.25">
      <c r="E538" s="139"/>
      <c r="J538" s="139"/>
    </row>
    <row r="539" spans="5:10" ht="15.75" customHeight="1" x14ac:dyDescent="0.25">
      <c r="E539" s="139"/>
      <c r="J539" s="139"/>
    </row>
    <row r="540" spans="5:10" ht="15.75" customHeight="1" x14ac:dyDescent="0.25">
      <c r="E540" s="139"/>
      <c r="J540" s="139"/>
    </row>
    <row r="541" spans="5:10" ht="15.75" customHeight="1" x14ac:dyDescent="0.25">
      <c r="E541" s="139"/>
      <c r="J541" s="139"/>
    </row>
    <row r="542" spans="5:10" ht="15.75" customHeight="1" x14ac:dyDescent="0.25">
      <c r="E542" s="139"/>
      <c r="J542" s="139"/>
    </row>
    <row r="543" spans="5:10" ht="15.75" customHeight="1" x14ac:dyDescent="0.25">
      <c r="E543" s="139"/>
      <c r="J543" s="139"/>
    </row>
    <row r="544" spans="5:10" ht="15.75" customHeight="1" x14ac:dyDescent="0.25">
      <c r="E544" s="139"/>
      <c r="J544" s="139"/>
    </row>
    <row r="545" spans="5:10" ht="15.75" customHeight="1" x14ac:dyDescent="0.25">
      <c r="E545" s="139"/>
      <c r="J545" s="139"/>
    </row>
    <row r="546" spans="5:10" ht="15.75" customHeight="1" x14ac:dyDescent="0.25">
      <c r="E546" s="139"/>
      <c r="J546" s="139"/>
    </row>
    <row r="547" spans="5:10" ht="15.75" customHeight="1" x14ac:dyDescent="0.25">
      <c r="E547" s="139"/>
      <c r="J547" s="139"/>
    </row>
    <row r="548" spans="5:10" ht="15.75" customHeight="1" x14ac:dyDescent="0.25">
      <c r="E548" s="139"/>
      <c r="J548" s="139"/>
    </row>
    <row r="549" spans="5:10" ht="15.75" customHeight="1" x14ac:dyDescent="0.25">
      <c r="E549" s="139"/>
      <c r="J549" s="139"/>
    </row>
    <row r="550" spans="5:10" ht="15.75" customHeight="1" x14ac:dyDescent="0.25">
      <c r="E550" s="139"/>
      <c r="J550" s="139"/>
    </row>
    <row r="551" spans="5:10" ht="15.75" customHeight="1" x14ac:dyDescent="0.25">
      <c r="E551" s="139"/>
      <c r="J551" s="139"/>
    </row>
    <row r="552" spans="5:10" ht="15.75" customHeight="1" x14ac:dyDescent="0.25">
      <c r="E552" s="139"/>
      <c r="J552" s="139"/>
    </row>
    <row r="553" spans="5:10" ht="15.75" customHeight="1" x14ac:dyDescent="0.25">
      <c r="E553" s="139"/>
      <c r="J553" s="139"/>
    </row>
    <row r="554" spans="5:10" ht="15.75" customHeight="1" x14ac:dyDescent="0.25">
      <c r="E554" s="139"/>
      <c r="J554" s="139"/>
    </row>
    <row r="555" spans="5:10" ht="15.75" customHeight="1" x14ac:dyDescent="0.25">
      <c r="E555" s="139"/>
      <c r="J555" s="139"/>
    </row>
    <row r="556" spans="5:10" ht="15.75" customHeight="1" x14ac:dyDescent="0.25">
      <c r="E556" s="139"/>
      <c r="J556" s="139"/>
    </row>
    <row r="557" spans="5:10" ht="15.75" customHeight="1" x14ac:dyDescent="0.25">
      <c r="E557" s="139"/>
      <c r="J557" s="139"/>
    </row>
    <row r="558" spans="5:10" ht="15.75" customHeight="1" x14ac:dyDescent="0.25">
      <c r="E558" s="139"/>
      <c r="J558" s="139"/>
    </row>
    <row r="559" spans="5:10" ht="15.75" customHeight="1" x14ac:dyDescent="0.25">
      <c r="E559" s="139"/>
      <c r="J559" s="139"/>
    </row>
    <row r="560" spans="5:10" ht="15.75" customHeight="1" x14ac:dyDescent="0.25">
      <c r="E560" s="139"/>
      <c r="J560" s="139"/>
    </row>
    <row r="561" spans="5:10" ht="15.75" customHeight="1" x14ac:dyDescent="0.25">
      <c r="E561" s="139"/>
      <c r="J561" s="139"/>
    </row>
    <row r="562" spans="5:10" ht="15.75" customHeight="1" x14ac:dyDescent="0.25">
      <c r="E562" s="139"/>
      <c r="J562" s="139"/>
    </row>
    <row r="563" spans="5:10" ht="15.75" customHeight="1" x14ac:dyDescent="0.25">
      <c r="E563" s="139"/>
      <c r="J563" s="139"/>
    </row>
    <row r="564" spans="5:10" ht="15.75" customHeight="1" x14ac:dyDescent="0.25">
      <c r="E564" s="139"/>
      <c r="J564" s="139"/>
    </row>
    <row r="565" spans="5:10" ht="15.75" customHeight="1" x14ac:dyDescent="0.25">
      <c r="E565" s="139"/>
      <c r="J565" s="139"/>
    </row>
    <row r="566" spans="5:10" ht="15.75" customHeight="1" x14ac:dyDescent="0.25">
      <c r="E566" s="139"/>
      <c r="J566" s="139"/>
    </row>
    <row r="567" spans="5:10" ht="15.75" customHeight="1" x14ac:dyDescent="0.25">
      <c r="E567" s="139"/>
      <c r="J567" s="139"/>
    </row>
    <row r="568" spans="5:10" ht="15.75" customHeight="1" x14ac:dyDescent="0.25">
      <c r="E568" s="139"/>
      <c r="J568" s="139"/>
    </row>
    <row r="569" spans="5:10" ht="15.75" customHeight="1" x14ac:dyDescent="0.25">
      <c r="E569" s="139"/>
      <c r="J569" s="139"/>
    </row>
    <row r="570" spans="5:10" ht="15.75" customHeight="1" x14ac:dyDescent="0.25">
      <c r="E570" s="139"/>
      <c r="J570" s="139"/>
    </row>
    <row r="571" spans="5:10" ht="15.75" customHeight="1" x14ac:dyDescent="0.25">
      <c r="E571" s="139"/>
      <c r="J571" s="139"/>
    </row>
    <row r="572" spans="5:10" ht="15.75" customHeight="1" x14ac:dyDescent="0.25">
      <c r="E572" s="139"/>
      <c r="J572" s="139"/>
    </row>
    <row r="573" spans="5:10" ht="15.75" customHeight="1" x14ac:dyDescent="0.25">
      <c r="E573" s="139"/>
      <c r="J573" s="139"/>
    </row>
    <row r="574" spans="5:10" ht="15.75" customHeight="1" x14ac:dyDescent="0.25">
      <c r="E574" s="139"/>
      <c r="J574" s="139"/>
    </row>
    <row r="575" spans="5:10" ht="15.75" customHeight="1" x14ac:dyDescent="0.25">
      <c r="E575" s="139"/>
      <c r="J575" s="139"/>
    </row>
    <row r="576" spans="5:10" ht="15.75" customHeight="1" x14ac:dyDescent="0.25">
      <c r="E576" s="139"/>
      <c r="J576" s="139"/>
    </row>
    <row r="577" spans="5:10" ht="15.75" customHeight="1" x14ac:dyDescent="0.25">
      <c r="E577" s="139"/>
      <c r="J577" s="139"/>
    </row>
    <row r="578" spans="5:10" ht="15.75" customHeight="1" x14ac:dyDescent="0.25">
      <c r="E578" s="139"/>
      <c r="J578" s="139"/>
    </row>
    <row r="579" spans="5:10" ht="15.75" customHeight="1" x14ac:dyDescent="0.25">
      <c r="E579" s="139"/>
      <c r="J579" s="139"/>
    </row>
    <row r="580" spans="5:10" ht="15.75" customHeight="1" x14ac:dyDescent="0.25">
      <c r="E580" s="139"/>
      <c r="J580" s="139"/>
    </row>
    <row r="581" spans="5:10" ht="15.75" customHeight="1" x14ac:dyDescent="0.25">
      <c r="E581" s="139"/>
      <c r="J581" s="139"/>
    </row>
    <row r="582" spans="5:10" ht="15.75" customHeight="1" x14ac:dyDescent="0.25">
      <c r="E582" s="139"/>
      <c r="J582" s="139"/>
    </row>
    <row r="583" spans="5:10" ht="15.75" customHeight="1" x14ac:dyDescent="0.25">
      <c r="E583" s="139"/>
      <c r="J583" s="139"/>
    </row>
    <row r="584" spans="5:10" ht="15.75" customHeight="1" x14ac:dyDescent="0.25">
      <c r="E584" s="139"/>
      <c r="J584" s="139"/>
    </row>
    <row r="585" spans="5:10" ht="15.75" customHeight="1" x14ac:dyDescent="0.25">
      <c r="E585" s="139"/>
      <c r="J585" s="139"/>
    </row>
    <row r="586" spans="5:10" ht="15.75" customHeight="1" x14ac:dyDescent="0.25">
      <c r="E586" s="139"/>
      <c r="J586" s="139"/>
    </row>
    <row r="587" spans="5:10" ht="15.75" customHeight="1" x14ac:dyDescent="0.25">
      <c r="E587" s="139"/>
      <c r="J587" s="139"/>
    </row>
    <row r="588" spans="5:10" ht="15.75" customHeight="1" x14ac:dyDescent="0.25">
      <c r="E588" s="139"/>
      <c r="J588" s="139"/>
    </row>
    <row r="589" spans="5:10" ht="15.75" customHeight="1" x14ac:dyDescent="0.25">
      <c r="E589" s="139"/>
      <c r="J589" s="139"/>
    </row>
    <row r="590" spans="5:10" ht="15.75" customHeight="1" x14ac:dyDescent="0.25">
      <c r="E590" s="139"/>
      <c r="J590" s="139"/>
    </row>
    <row r="591" spans="5:10" ht="15.75" customHeight="1" x14ac:dyDescent="0.25">
      <c r="E591" s="139"/>
      <c r="J591" s="139"/>
    </row>
    <row r="592" spans="5:10" ht="15.75" customHeight="1" x14ac:dyDescent="0.25">
      <c r="E592" s="139"/>
      <c r="J592" s="139"/>
    </row>
    <row r="593" spans="5:10" ht="15.75" customHeight="1" x14ac:dyDescent="0.25">
      <c r="E593" s="139"/>
      <c r="J593" s="139"/>
    </row>
    <row r="594" spans="5:10" ht="15.75" customHeight="1" x14ac:dyDescent="0.25">
      <c r="E594" s="139"/>
      <c r="J594" s="139"/>
    </row>
    <row r="595" spans="5:10" ht="15.75" customHeight="1" x14ac:dyDescent="0.25">
      <c r="E595" s="139"/>
      <c r="J595" s="139"/>
    </row>
    <row r="596" spans="5:10" ht="15.75" customHeight="1" x14ac:dyDescent="0.25">
      <c r="E596" s="139"/>
      <c r="J596" s="139"/>
    </row>
    <row r="597" spans="5:10" ht="15.75" customHeight="1" x14ac:dyDescent="0.25">
      <c r="E597" s="139"/>
      <c r="J597" s="139"/>
    </row>
    <row r="598" spans="5:10" ht="15.75" customHeight="1" x14ac:dyDescent="0.25">
      <c r="E598" s="139"/>
      <c r="J598" s="139"/>
    </row>
    <row r="599" spans="5:10" ht="15.75" customHeight="1" x14ac:dyDescent="0.25">
      <c r="E599" s="139"/>
      <c r="J599" s="139"/>
    </row>
    <row r="600" spans="5:10" ht="15.75" customHeight="1" x14ac:dyDescent="0.25">
      <c r="E600" s="139"/>
      <c r="J600" s="139"/>
    </row>
    <row r="601" spans="5:10" ht="15.75" customHeight="1" x14ac:dyDescent="0.25">
      <c r="E601" s="139"/>
      <c r="J601" s="139"/>
    </row>
    <row r="602" spans="5:10" ht="15.75" customHeight="1" x14ac:dyDescent="0.25">
      <c r="E602" s="139"/>
      <c r="J602" s="139"/>
    </row>
    <row r="603" spans="5:10" ht="15.75" customHeight="1" x14ac:dyDescent="0.25">
      <c r="E603" s="139"/>
      <c r="J603" s="139"/>
    </row>
    <row r="604" spans="5:10" ht="15.75" customHeight="1" x14ac:dyDescent="0.25">
      <c r="E604" s="139"/>
      <c r="J604" s="139"/>
    </row>
    <row r="605" spans="5:10" ht="15.75" customHeight="1" x14ac:dyDescent="0.25">
      <c r="E605" s="139"/>
      <c r="J605" s="139"/>
    </row>
    <row r="606" spans="5:10" ht="15.75" customHeight="1" x14ac:dyDescent="0.25">
      <c r="E606" s="139"/>
      <c r="J606" s="139"/>
    </row>
    <row r="607" spans="5:10" ht="15.75" customHeight="1" x14ac:dyDescent="0.25">
      <c r="E607" s="139"/>
      <c r="J607" s="139"/>
    </row>
    <row r="608" spans="5:10" ht="15.75" customHeight="1" x14ac:dyDescent="0.25">
      <c r="E608" s="139"/>
      <c r="J608" s="139"/>
    </row>
    <row r="609" spans="5:10" ht="15.75" customHeight="1" x14ac:dyDescent="0.25">
      <c r="E609" s="139"/>
      <c r="J609" s="139"/>
    </row>
    <row r="610" spans="5:10" ht="15.75" customHeight="1" x14ac:dyDescent="0.25">
      <c r="E610" s="139"/>
      <c r="J610" s="139"/>
    </row>
    <row r="611" spans="5:10" ht="15.75" customHeight="1" x14ac:dyDescent="0.25">
      <c r="E611" s="139"/>
      <c r="J611" s="139"/>
    </row>
    <row r="612" spans="5:10" ht="15.75" customHeight="1" x14ac:dyDescent="0.25">
      <c r="E612" s="139"/>
      <c r="J612" s="139"/>
    </row>
    <row r="613" spans="5:10" ht="15.75" customHeight="1" x14ac:dyDescent="0.25">
      <c r="E613" s="139"/>
      <c r="J613" s="139"/>
    </row>
    <row r="614" spans="5:10" ht="15.75" customHeight="1" x14ac:dyDescent="0.25">
      <c r="E614" s="139"/>
      <c r="J614" s="139"/>
    </row>
    <row r="615" spans="5:10" ht="15.75" customHeight="1" x14ac:dyDescent="0.25">
      <c r="E615" s="139"/>
      <c r="J615" s="139"/>
    </row>
    <row r="616" spans="5:10" ht="15.75" customHeight="1" x14ac:dyDescent="0.25">
      <c r="E616" s="139"/>
      <c r="J616" s="139"/>
    </row>
    <row r="617" spans="5:10" ht="15.75" customHeight="1" x14ac:dyDescent="0.25">
      <c r="E617" s="139"/>
      <c r="J617" s="139"/>
    </row>
    <row r="618" spans="5:10" ht="15.75" customHeight="1" x14ac:dyDescent="0.25">
      <c r="E618" s="139"/>
      <c r="J618" s="139"/>
    </row>
    <row r="619" spans="5:10" ht="15.75" customHeight="1" x14ac:dyDescent="0.25">
      <c r="E619" s="139"/>
      <c r="J619" s="139"/>
    </row>
    <row r="620" spans="5:10" ht="15.75" customHeight="1" x14ac:dyDescent="0.25">
      <c r="E620" s="139"/>
      <c r="J620" s="139"/>
    </row>
    <row r="621" spans="5:10" ht="15.75" customHeight="1" x14ac:dyDescent="0.25">
      <c r="E621" s="139"/>
      <c r="J621" s="139"/>
    </row>
    <row r="622" spans="5:10" ht="15.75" customHeight="1" x14ac:dyDescent="0.25">
      <c r="E622" s="139"/>
      <c r="J622" s="139"/>
    </row>
    <row r="623" spans="5:10" ht="15.75" customHeight="1" x14ac:dyDescent="0.25">
      <c r="E623" s="139"/>
      <c r="J623" s="139"/>
    </row>
    <row r="624" spans="5:10" ht="15.75" customHeight="1" x14ac:dyDescent="0.25">
      <c r="E624" s="139"/>
      <c r="J624" s="139"/>
    </row>
    <row r="625" spans="5:10" ht="15.75" customHeight="1" x14ac:dyDescent="0.25">
      <c r="E625" s="139"/>
      <c r="J625" s="139"/>
    </row>
    <row r="626" spans="5:10" ht="15.75" customHeight="1" x14ac:dyDescent="0.25">
      <c r="E626" s="139"/>
      <c r="J626" s="139"/>
    </row>
    <row r="627" spans="5:10" ht="15.75" customHeight="1" x14ac:dyDescent="0.25">
      <c r="E627" s="139"/>
      <c r="J627" s="139"/>
    </row>
    <row r="628" spans="5:10" ht="15.75" customHeight="1" x14ac:dyDescent="0.25">
      <c r="E628" s="139"/>
      <c r="J628" s="139"/>
    </row>
    <row r="629" spans="5:10" ht="15.75" customHeight="1" x14ac:dyDescent="0.25">
      <c r="E629" s="139"/>
      <c r="J629" s="139"/>
    </row>
    <row r="630" spans="5:10" ht="15.75" customHeight="1" x14ac:dyDescent="0.25">
      <c r="E630" s="139"/>
      <c r="J630" s="139"/>
    </row>
    <row r="631" spans="5:10" ht="15.75" customHeight="1" x14ac:dyDescent="0.25">
      <c r="E631" s="139"/>
      <c r="J631" s="139"/>
    </row>
    <row r="632" spans="5:10" ht="15.75" customHeight="1" x14ac:dyDescent="0.25">
      <c r="E632" s="139"/>
      <c r="J632" s="139"/>
    </row>
    <row r="633" spans="5:10" ht="15.75" customHeight="1" x14ac:dyDescent="0.25">
      <c r="E633" s="139"/>
      <c r="J633" s="139"/>
    </row>
    <row r="634" spans="5:10" ht="15.75" customHeight="1" x14ac:dyDescent="0.25">
      <c r="E634" s="139"/>
      <c r="J634" s="139"/>
    </row>
    <row r="635" spans="5:10" ht="15.75" customHeight="1" x14ac:dyDescent="0.25">
      <c r="E635" s="139"/>
      <c r="J635" s="139"/>
    </row>
    <row r="636" spans="5:10" ht="15.75" customHeight="1" x14ac:dyDescent="0.25">
      <c r="E636" s="139"/>
      <c r="J636" s="139"/>
    </row>
    <row r="637" spans="5:10" ht="15.75" customHeight="1" x14ac:dyDescent="0.25">
      <c r="E637" s="139"/>
      <c r="J637" s="139"/>
    </row>
    <row r="638" spans="5:10" ht="15.75" customHeight="1" x14ac:dyDescent="0.25">
      <c r="E638" s="139"/>
      <c r="J638" s="139"/>
    </row>
    <row r="639" spans="5:10" ht="15.75" customHeight="1" x14ac:dyDescent="0.25">
      <c r="E639" s="139"/>
      <c r="J639" s="139"/>
    </row>
    <row r="640" spans="5:10" ht="15.75" customHeight="1" x14ac:dyDescent="0.25">
      <c r="E640" s="139"/>
      <c r="J640" s="139"/>
    </row>
    <row r="641" spans="5:10" ht="15.75" customHeight="1" x14ac:dyDescent="0.25">
      <c r="E641" s="139"/>
      <c r="J641" s="139"/>
    </row>
    <row r="642" spans="5:10" ht="15.75" customHeight="1" x14ac:dyDescent="0.25">
      <c r="E642" s="139"/>
      <c r="J642" s="139"/>
    </row>
    <row r="643" spans="5:10" ht="15.75" customHeight="1" x14ac:dyDescent="0.25">
      <c r="E643" s="139"/>
      <c r="J643" s="139"/>
    </row>
    <row r="644" spans="5:10" ht="15.75" customHeight="1" x14ac:dyDescent="0.25">
      <c r="E644" s="139"/>
      <c r="J644" s="139"/>
    </row>
    <row r="645" spans="5:10" ht="15.75" customHeight="1" x14ac:dyDescent="0.25">
      <c r="E645" s="139"/>
      <c r="J645" s="139"/>
    </row>
    <row r="646" spans="5:10" ht="15.75" customHeight="1" x14ac:dyDescent="0.25">
      <c r="E646" s="139"/>
      <c r="J646" s="139"/>
    </row>
    <row r="647" spans="5:10" ht="15.75" customHeight="1" x14ac:dyDescent="0.25">
      <c r="E647" s="139"/>
      <c r="J647" s="139"/>
    </row>
    <row r="648" spans="5:10" ht="15.75" customHeight="1" x14ac:dyDescent="0.25">
      <c r="E648" s="139"/>
      <c r="J648" s="139"/>
    </row>
    <row r="649" spans="5:10" ht="15.75" customHeight="1" x14ac:dyDescent="0.25">
      <c r="E649" s="139"/>
      <c r="J649" s="139"/>
    </row>
    <row r="650" spans="5:10" ht="15.75" customHeight="1" x14ac:dyDescent="0.25">
      <c r="E650" s="139"/>
      <c r="J650" s="139"/>
    </row>
    <row r="651" spans="5:10" ht="15.75" customHeight="1" x14ac:dyDescent="0.25">
      <c r="E651" s="139"/>
      <c r="J651" s="139"/>
    </row>
    <row r="652" spans="5:10" ht="15.75" customHeight="1" x14ac:dyDescent="0.25">
      <c r="E652" s="139"/>
      <c r="J652" s="139"/>
    </row>
    <row r="653" spans="5:10" ht="15.75" customHeight="1" x14ac:dyDescent="0.25">
      <c r="E653" s="139"/>
      <c r="J653" s="139"/>
    </row>
    <row r="654" spans="5:10" ht="15.75" customHeight="1" x14ac:dyDescent="0.25">
      <c r="E654" s="139"/>
      <c r="J654" s="139"/>
    </row>
    <row r="655" spans="5:10" ht="15.75" customHeight="1" x14ac:dyDescent="0.25">
      <c r="E655" s="139"/>
      <c r="J655" s="139"/>
    </row>
    <row r="656" spans="5:10" ht="15.75" customHeight="1" x14ac:dyDescent="0.25">
      <c r="E656" s="139"/>
      <c r="J656" s="139"/>
    </row>
    <row r="657" spans="5:10" ht="15.75" customHeight="1" x14ac:dyDescent="0.25">
      <c r="E657" s="139"/>
      <c r="J657" s="139"/>
    </row>
    <row r="658" spans="5:10" ht="15.75" customHeight="1" x14ac:dyDescent="0.25">
      <c r="E658" s="139"/>
      <c r="J658" s="139"/>
    </row>
    <row r="659" spans="5:10" ht="15.75" customHeight="1" x14ac:dyDescent="0.25">
      <c r="E659" s="139"/>
      <c r="J659" s="139"/>
    </row>
    <row r="660" spans="5:10" ht="15.75" customHeight="1" x14ac:dyDescent="0.25">
      <c r="E660" s="139"/>
      <c r="J660" s="139"/>
    </row>
    <row r="661" spans="5:10" ht="15.75" customHeight="1" x14ac:dyDescent="0.25">
      <c r="E661" s="139"/>
      <c r="J661" s="139"/>
    </row>
    <row r="662" spans="5:10" ht="15.75" customHeight="1" x14ac:dyDescent="0.25">
      <c r="E662" s="139"/>
      <c r="J662" s="139"/>
    </row>
    <row r="663" spans="5:10" ht="15.75" customHeight="1" x14ac:dyDescent="0.25">
      <c r="E663" s="139"/>
      <c r="J663" s="139"/>
    </row>
    <row r="664" spans="5:10" ht="15.75" customHeight="1" x14ac:dyDescent="0.25">
      <c r="E664" s="139"/>
      <c r="J664" s="139"/>
    </row>
    <row r="665" spans="5:10" ht="15.75" customHeight="1" x14ac:dyDescent="0.25">
      <c r="E665" s="139"/>
      <c r="J665" s="139"/>
    </row>
    <row r="666" spans="5:10" ht="15.75" customHeight="1" x14ac:dyDescent="0.25">
      <c r="E666" s="139"/>
      <c r="J666" s="139"/>
    </row>
    <row r="667" spans="5:10" ht="15.75" customHeight="1" x14ac:dyDescent="0.25">
      <c r="E667" s="139"/>
      <c r="J667" s="139"/>
    </row>
    <row r="668" spans="5:10" ht="15.75" customHeight="1" x14ac:dyDescent="0.25">
      <c r="E668" s="139"/>
      <c r="J668" s="139"/>
    </row>
    <row r="669" spans="5:10" ht="15.75" customHeight="1" x14ac:dyDescent="0.25">
      <c r="E669" s="139"/>
      <c r="J669" s="139"/>
    </row>
    <row r="670" spans="5:10" ht="15.75" customHeight="1" x14ac:dyDescent="0.25">
      <c r="E670" s="139"/>
      <c r="J670" s="139"/>
    </row>
    <row r="671" spans="5:10" ht="15.75" customHeight="1" x14ac:dyDescent="0.25">
      <c r="E671" s="139"/>
      <c r="J671" s="139"/>
    </row>
    <row r="672" spans="5:10" ht="15.75" customHeight="1" x14ac:dyDescent="0.25">
      <c r="E672" s="139"/>
      <c r="J672" s="139"/>
    </row>
    <row r="673" spans="5:10" ht="15.75" customHeight="1" x14ac:dyDescent="0.25">
      <c r="E673" s="139"/>
      <c r="J673" s="139"/>
    </row>
    <row r="674" spans="5:10" ht="15.75" customHeight="1" x14ac:dyDescent="0.25">
      <c r="E674" s="139"/>
      <c r="J674" s="139"/>
    </row>
    <row r="675" spans="5:10" ht="15.75" customHeight="1" x14ac:dyDescent="0.25">
      <c r="E675" s="139"/>
      <c r="J675" s="139"/>
    </row>
    <row r="676" spans="5:10" ht="15.75" customHeight="1" x14ac:dyDescent="0.25">
      <c r="E676" s="139"/>
      <c r="J676" s="139"/>
    </row>
    <row r="677" spans="5:10" ht="15.75" customHeight="1" x14ac:dyDescent="0.25">
      <c r="E677" s="139"/>
      <c r="J677" s="139"/>
    </row>
    <row r="678" spans="5:10" ht="15.75" customHeight="1" x14ac:dyDescent="0.25">
      <c r="E678" s="139"/>
      <c r="J678" s="139"/>
    </row>
    <row r="679" spans="5:10" ht="15.75" customHeight="1" x14ac:dyDescent="0.25">
      <c r="E679" s="139"/>
      <c r="J679" s="139"/>
    </row>
    <row r="680" spans="5:10" ht="15.75" customHeight="1" x14ac:dyDescent="0.25">
      <c r="E680" s="139"/>
      <c r="J680" s="139"/>
    </row>
    <row r="681" spans="5:10" ht="15.75" customHeight="1" x14ac:dyDescent="0.25">
      <c r="E681" s="139"/>
      <c r="J681" s="139"/>
    </row>
    <row r="682" spans="5:10" ht="15.75" customHeight="1" x14ac:dyDescent="0.25">
      <c r="E682" s="139"/>
      <c r="J682" s="139"/>
    </row>
    <row r="683" spans="5:10" ht="15.75" customHeight="1" x14ac:dyDescent="0.25">
      <c r="E683" s="139"/>
      <c r="J683" s="139"/>
    </row>
    <row r="684" spans="5:10" ht="15.75" customHeight="1" x14ac:dyDescent="0.25">
      <c r="E684" s="139"/>
      <c r="J684" s="139"/>
    </row>
    <row r="685" spans="5:10" ht="15.75" customHeight="1" x14ac:dyDescent="0.25">
      <c r="E685" s="139"/>
      <c r="J685" s="139"/>
    </row>
    <row r="686" spans="5:10" ht="15.75" customHeight="1" x14ac:dyDescent="0.25">
      <c r="E686" s="139"/>
      <c r="J686" s="139"/>
    </row>
    <row r="687" spans="5:10" ht="15.75" customHeight="1" x14ac:dyDescent="0.25">
      <c r="E687" s="139"/>
      <c r="J687" s="139"/>
    </row>
    <row r="688" spans="5:10" ht="15.75" customHeight="1" x14ac:dyDescent="0.25">
      <c r="E688" s="139"/>
      <c r="J688" s="139"/>
    </row>
    <row r="689" spans="5:10" ht="15.75" customHeight="1" x14ac:dyDescent="0.25">
      <c r="E689" s="139"/>
      <c r="J689" s="139"/>
    </row>
    <row r="690" spans="5:10" ht="15.75" customHeight="1" x14ac:dyDescent="0.25">
      <c r="E690" s="139"/>
      <c r="J690" s="139"/>
    </row>
    <row r="691" spans="5:10" ht="15.75" customHeight="1" x14ac:dyDescent="0.25">
      <c r="E691" s="139"/>
      <c r="J691" s="139"/>
    </row>
    <row r="692" spans="5:10" ht="15.75" customHeight="1" x14ac:dyDescent="0.25">
      <c r="E692" s="139"/>
      <c r="J692" s="139"/>
    </row>
    <row r="693" spans="5:10" ht="15.75" customHeight="1" x14ac:dyDescent="0.25">
      <c r="E693" s="139"/>
      <c r="J693" s="139"/>
    </row>
    <row r="694" spans="5:10" ht="15.75" customHeight="1" x14ac:dyDescent="0.25">
      <c r="E694" s="139"/>
      <c r="J694" s="139"/>
    </row>
    <row r="695" spans="5:10" ht="15.75" customHeight="1" x14ac:dyDescent="0.25">
      <c r="E695" s="139"/>
      <c r="J695" s="139"/>
    </row>
    <row r="696" spans="5:10" ht="15.75" customHeight="1" x14ac:dyDescent="0.25">
      <c r="E696" s="139"/>
      <c r="J696" s="139"/>
    </row>
    <row r="697" spans="5:10" ht="15.75" customHeight="1" x14ac:dyDescent="0.25">
      <c r="E697" s="139"/>
      <c r="J697" s="139"/>
    </row>
    <row r="698" spans="5:10" ht="15.75" customHeight="1" x14ac:dyDescent="0.25">
      <c r="E698" s="139"/>
      <c r="J698" s="139"/>
    </row>
    <row r="699" spans="5:10" ht="15.75" customHeight="1" x14ac:dyDescent="0.25">
      <c r="E699" s="139"/>
      <c r="J699" s="139"/>
    </row>
    <row r="700" spans="5:10" ht="15.75" customHeight="1" x14ac:dyDescent="0.25">
      <c r="E700" s="139"/>
      <c r="J700" s="139"/>
    </row>
    <row r="701" spans="5:10" ht="15.75" customHeight="1" x14ac:dyDescent="0.25">
      <c r="E701" s="139"/>
      <c r="J701" s="139"/>
    </row>
    <row r="702" spans="5:10" ht="15.75" customHeight="1" x14ac:dyDescent="0.25">
      <c r="E702" s="139"/>
      <c r="J702" s="139"/>
    </row>
    <row r="703" spans="5:10" ht="15.75" customHeight="1" x14ac:dyDescent="0.25">
      <c r="E703" s="139"/>
      <c r="J703" s="139"/>
    </row>
    <row r="704" spans="5:10" ht="15.75" customHeight="1" x14ac:dyDescent="0.25">
      <c r="E704" s="139"/>
      <c r="J704" s="139"/>
    </row>
    <row r="705" spans="5:10" ht="15.75" customHeight="1" x14ac:dyDescent="0.25">
      <c r="E705" s="139"/>
      <c r="J705" s="139"/>
    </row>
    <row r="706" spans="5:10" ht="15.75" customHeight="1" x14ac:dyDescent="0.25">
      <c r="E706" s="139"/>
      <c r="J706" s="139"/>
    </row>
    <row r="707" spans="5:10" ht="15.75" customHeight="1" x14ac:dyDescent="0.25">
      <c r="E707" s="139"/>
      <c r="J707" s="139"/>
    </row>
    <row r="708" spans="5:10" ht="15.75" customHeight="1" x14ac:dyDescent="0.25">
      <c r="E708" s="139"/>
      <c r="J708" s="139"/>
    </row>
    <row r="709" spans="5:10" ht="15.75" customHeight="1" x14ac:dyDescent="0.25">
      <c r="E709" s="139"/>
      <c r="J709" s="139"/>
    </row>
    <row r="710" spans="5:10" ht="15.75" customHeight="1" x14ac:dyDescent="0.25">
      <c r="E710" s="139"/>
      <c r="J710" s="139"/>
    </row>
    <row r="711" spans="5:10" ht="15.75" customHeight="1" x14ac:dyDescent="0.25">
      <c r="E711" s="139"/>
      <c r="J711" s="139"/>
    </row>
    <row r="712" spans="5:10" ht="15.75" customHeight="1" x14ac:dyDescent="0.25">
      <c r="E712" s="139"/>
      <c r="J712" s="139"/>
    </row>
    <row r="713" spans="5:10" ht="15.75" customHeight="1" x14ac:dyDescent="0.25">
      <c r="E713" s="139"/>
      <c r="J713" s="139"/>
    </row>
    <row r="714" spans="5:10" ht="15.75" customHeight="1" x14ac:dyDescent="0.25">
      <c r="E714" s="139"/>
      <c r="J714" s="139"/>
    </row>
    <row r="715" spans="5:10" ht="15.75" customHeight="1" x14ac:dyDescent="0.25">
      <c r="E715" s="139"/>
      <c r="J715" s="139"/>
    </row>
    <row r="716" spans="5:10" ht="15.75" customHeight="1" x14ac:dyDescent="0.25">
      <c r="E716" s="139"/>
      <c r="J716" s="139"/>
    </row>
    <row r="717" spans="5:10" ht="15.75" customHeight="1" x14ac:dyDescent="0.25">
      <c r="E717" s="139"/>
      <c r="J717" s="139"/>
    </row>
    <row r="718" spans="5:10" ht="15.75" customHeight="1" x14ac:dyDescent="0.25">
      <c r="E718" s="139"/>
      <c r="J718" s="139"/>
    </row>
    <row r="719" spans="5:10" ht="15.75" customHeight="1" x14ac:dyDescent="0.25">
      <c r="E719" s="139"/>
      <c r="J719" s="139"/>
    </row>
    <row r="720" spans="5:10" ht="15.75" customHeight="1" x14ac:dyDescent="0.25">
      <c r="E720" s="139"/>
      <c r="J720" s="139"/>
    </row>
    <row r="721" spans="5:10" ht="15.75" customHeight="1" x14ac:dyDescent="0.25">
      <c r="E721" s="139"/>
      <c r="J721" s="139"/>
    </row>
    <row r="722" spans="5:10" ht="15.75" customHeight="1" x14ac:dyDescent="0.25">
      <c r="E722" s="139"/>
      <c r="J722" s="139"/>
    </row>
    <row r="723" spans="5:10" ht="15.75" customHeight="1" x14ac:dyDescent="0.25">
      <c r="E723" s="139"/>
      <c r="J723" s="139"/>
    </row>
    <row r="724" spans="5:10" ht="15.75" customHeight="1" x14ac:dyDescent="0.25">
      <c r="E724" s="139"/>
      <c r="J724" s="139"/>
    </row>
    <row r="725" spans="5:10" ht="15.75" customHeight="1" x14ac:dyDescent="0.25">
      <c r="E725" s="139"/>
      <c r="J725" s="139"/>
    </row>
    <row r="726" spans="5:10" ht="15.75" customHeight="1" x14ac:dyDescent="0.25">
      <c r="E726" s="139"/>
      <c r="J726" s="139"/>
    </row>
    <row r="727" spans="5:10" ht="15.75" customHeight="1" x14ac:dyDescent="0.25">
      <c r="E727" s="139"/>
      <c r="J727" s="139"/>
    </row>
    <row r="728" spans="5:10" ht="15.75" customHeight="1" x14ac:dyDescent="0.25">
      <c r="E728" s="139"/>
      <c r="J728" s="139"/>
    </row>
    <row r="729" spans="5:10" ht="15.75" customHeight="1" x14ac:dyDescent="0.25">
      <c r="E729" s="139"/>
      <c r="J729" s="139"/>
    </row>
    <row r="730" spans="5:10" ht="15.75" customHeight="1" x14ac:dyDescent="0.25">
      <c r="E730" s="139"/>
      <c r="J730" s="139"/>
    </row>
    <row r="731" spans="5:10" ht="15.75" customHeight="1" x14ac:dyDescent="0.25">
      <c r="E731" s="139"/>
      <c r="J731" s="139"/>
    </row>
    <row r="732" spans="5:10" ht="15.75" customHeight="1" x14ac:dyDescent="0.25">
      <c r="E732" s="139"/>
      <c r="J732" s="139"/>
    </row>
    <row r="733" spans="5:10" ht="15.75" customHeight="1" x14ac:dyDescent="0.25">
      <c r="E733" s="139"/>
      <c r="J733" s="139"/>
    </row>
    <row r="734" spans="5:10" ht="15.75" customHeight="1" x14ac:dyDescent="0.25">
      <c r="E734" s="139"/>
      <c r="J734" s="139"/>
    </row>
    <row r="735" spans="5:10" ht="15.75" customHeight="1" x14ac:dyDescent="0.25">
      <c r="E735" s="139"/>
      <c r="J735" s="139"/>
    </row>
    <row r="736" spans="5:10" ht="15.75" customHeight="1" x14ac:dyDescent="0.25">
      <c r="E736" s="139"/>
      <c r="J736" s="139"/>
    </row>
    <row r="737" spans="5:10" ht="15.75" customHeight="1" x14ac:dyDescent="0.25">
      <c r="E737" s="139"/>
      <c r="J737" s="139"/>
    </row>
    <row r="738" spans="5:10" ht="15.75" customHeight="1" x14ac:dyDescent="0.25">
      <c r="E738" s="139"/>
      <c r="J738" s="139"/>
    </row>
    <row r="739" spans="5:10" ht="15.75" customHeight="1" x14ac:dyDescent="0.25">
      <c r="E739" s="139"/>
      <c r="J739" s="139"/>
    </row>
    <row r="740" spans="5:10" ht="15.75" customHeight="1" x14ac:dyDescent="0.25">
      <c r="E740" s="139"/>
      <c r="J740" s="139"/>
    </row>
    <row r="741" spans="5:10" ht="15.75" customHeight="1" x14ac:dyDescent="0.25">
      <c r="E741" s="139"/>
      <c r="J741" s="139"/>
    </row>
    <row r="742" spans="5:10" ht="15.75" customHeight="1" x14ac:dyDescent="0.25">
      <c r="E742" s="139"/>
      <c r="J742" s="139"/>
    </row>
    <row r="743" spans="5:10" ht="15.75" customHeight="1" x14ac:dyDescent="0.25">
      <c r="E743" s="139"/>
      <c r="J743" s="139"/>
    </row>
    <row r="744" spans="5:10" ht="15.75" customHeight="1" x14ac:dyDescent="0.25">
      <c r="E744" s="139"/>
      <c r="J744" s="139"/>
    </row>
    <row r="745" spans="5:10" ht="15.75" customHeight="1" x14ac:dyDescent="0.25">
      <c r="E745" s="139"/>
      <c r="J745" s="139"/>
    </row>
    <row r="746" spans="5:10" ht="15.75" customHeight="1" x14ac:dyDescent="0.25">
      <c r="E746" s="139"/>
      <c r="J746" s="139"/>
    </row>
    <row r="747" spans="5:10" ht="15.75" customHeight="1" x14ac:dyDescent="0.25">
      <c r="E747" s="139"/>
      <c r="J747" s="139"/>
    </row>
    <row r="748" spans="5:10" ht="15.75" customHeight="1" x14ac:dyDescent="0.25">
      <c r="E748" s="139"/>
      <c r="J748" s="139"/>
    </row>
    <row r="749" spans="5:10" ht="15.75" customHeight="1" x14ac:dyDescent="0.25">
      <c r="E749" s="139"/>
      <c r="J749" s="139"/>
    </row>
    <row r="750" spans="5:10" ht="15.75" customHeight="1" x14ac:dyDescent="0.25">
      <c r="E750" s="139"/>
      <c r="J750" s="139"/>
    </row>
    <row r="751" spans="5:10" ht="15.75" customHeight="1" x14ac:dyDescent="0.25">
      <c r="E751" s="139"/>
      <c r="J751" s="139"/>
    </row>
    <row r="752" spans="5:10" ht="15.75" customHeight="1" x14ac:dyDescent="0.25">
      <c r="E752" s="139"/>
      <c r="J752" s="139"/>
    </row>
    <row r="753" spans="5:10" ht="15.75" customHeight="1" x14ac:dyDescent="0.25">
      <c r="E753" s="139"/>
      <c r="J753" s="139"/>
    </row>
    <row r="754" spans="5:10" ht="15.75" customHeight="1" x14ac:dyDescent="0.25">
      <c r="E754" s="139"/>
      <c r="J754" s="139"/>
    </row>
    <row r="755" spans="5:10" ht="15.75" customHeight="1" x14ac:dyDescent="0.25">
      <c r="E755" s="139"/>
      <c r="J755" s="139"/>
    </row>
    <row r="756" spans="5:10" ht="15.75" customHeight="1" x14ac:dyDescent="0.25">
      <c r="E756" s="139"/>
      <c r="J756" s="139"/>
    </row>
    <row r="757" spans="5:10" ht="15.75" customHeight="1" x14ac:dyDescent="0.25">
      <c r="E757" s="139"/>
      <c r="J757" s="139"/>
    </row>
    <row r="758" spans="5:10" ht="15.75" customHeight="1" x14ac:dyDescent="0.25">
      <c r="E758" s="139"/>
      <c r="J758" s="139"/>
    </row>
    <row r="759" spans="5:10" ht="15.75" customHeight="1" x14ac:dyDescent="0.25">
      <c r="E759" s="139"/>
      <c r="J759" s="139"/>
    </row>
    <row r="760" spans="5:10" ht="15.75" customHeight="1" x14ac:dyDescent="0.25">
      <c r="E760" s="139"/>
      <c r="J760" s="139"/>
    </row>
    <row r="761" spans="5:10" ht="15.75" customHeight="1" x14ac:dyDescent="0.25">
      <c r="E761" s="139"/>
      <c r="J761" s="139"/>
    </row>
    <row r="762" spans="5:10" ht="15.75" customHeight="1" x14ac:dyDescent="0.25">
      <c r="E762" s="139"/>
      <c r="J762" s="139"/>
    </row>
    <row r="763" spans="5:10" ht="15.75" customHeight="1" x14ac:dyDescent="0.25">
      <c r="E763" s="139"/>
      <c r="J763" s="139"/>
    </row>
    <row r="764" spans="5:10" ht="15.75" customHeight="1" x14ac:dyDescent="0.25">
      <c r="E764" s="139"/>
      <c r="J764" s="139"/>
    </row>
    <row r="765" spans="5:10" ht="15.75" customHeight="1" x14ac:dyDescent="0.25">
      <c r="E765" s="139"/>
      <c r="J765" s="139"/>
    </row>
    <row r="766" spans="5:10" ht="15.75" customHeight="1" x14ac:dyDescent="0.25">
      <c r="E766" s="139"/>
      <c r="J766" s="139"/>
    </row>
    <row r="767" spans="5:10" ht="15.75" customHeight="1" x14ac:dyDescent="0.25">
      <c r="E767" s="139"/>
      <c r="J767" s="139"/>
    </row>
    <row r="768" spans="5:10" ht="15.75" customHeight="1" x14ac:dyDescent="0.25">
      <c r="E768" s="139"/>
      <c r="J768" s="139"/>
    </row>
    <row r="769" spans="5:10" ht="15.75" customHeight="1" x14ac:dyDescent="0.25">
      <c r="E769" s="139"/>
      <c r="J769" s="139"/>
    </row>
    <row r="770" spans="5:10" ht="15.75" customHeight="1" x14ac:dyDescent="0.25">
      <c r="E770" s="139"/>
      <c r="J770" s="139"/>
    </row>
    <row r="771" spans="5:10" ht="15.75" customHeight="1" x14ac:dyDescent="0.25">
      <c r="E771" s="139"/>
      <c r="J771" s="139"/>
    </row>
    <row r="772" spans="5:10" ht="15.75" customHeight="1" x14ac:dyDescent="0.25">
      <c r="E772" s="139"/>
      <c r="J772" s="139"/>
    </row>
    <row r="773" spans="5:10" ht="15.75" customHeight="1" x14ac:dyDescent="0.25">
      <c r="E773" s="139"/>
      <c r="J773" s="139"/>
    </row>
    <row r="774" spans="5:10" ht="15.75" customHeight="1" x14ac:dyDescent="0.25">
      <c r="E774" s="139"/>
      <c r="J774" s="139"/>
    </row>
    <row r="775" spans="5:10" ht="15.75" customHeight="1" x14ac:dyDescent="0.25">
      <c r="E775" s="139"/>
      <c r="J775" s="139"/>
    </row>
    <row r="776" spans="5:10" ht="15.75" customHeight="1" x14ac:dyDescent="0.25">
      <c r="E776" s="139"/>
      <c r="J776" s="139"/>
    </row>
    <row r="777" spans="5:10" ht="15.75" customHeight="1" x14ac:dyDescent="0.25">
      <c r="E777" s="139"/>
      <c r="J777" s="139"/>
    </row>
    <row r="778" spans="5:10" ht="15.75" customHeight="1" x14ac:dyDescent="0.25">
      <c r="E778" s="139"/>
      <c r="J778" s="139"/>
    </row>
    <row r="779" spans="5:10" ht="15.75" customHeight="1" x14ac:dyDescent="0.25">
      <c r="E779" s="139"/>
      <c r="J779" s="139"/>
    </row>
    <row r="780" spans="5:10" ht="15.75" customHeight="1" x14ac:dyDescent="0.25">
      <c r="E780" s="139"/>
      <c r="J780" s="139"/>
    </row>
    <row r="781" spans="5:10" ht="15.75" customHeight="1" x14ac:dyDescent="0.25">
      <c r="E781" s="139"/>
      <c r="J781" s="139"/>
    </row>
    <row r="782" spans="5:10" ht="15.75" customHeight="1" x14ac:dyDescent="0.25">
      <c r="E782" s="139"/>
      <c r="J782" s="139"/>
    </row>
    <row r="783" spans="5:10" ht="15.75" customHeight="1" x14ac:dyDescent="0.25">
      <c r="E783" s="139"/>
      <c r="J783" s="139"/>
    </row>
    <row r="784" spans="5:10" ht="15.75" customHeight="1" x14ac:dyDescent="0.25">
      <c r="E784" s="139"/>
      <c r="J784" s="139"/>
    </row>
    <row r="785" spans="5:10" ht="15.75" customHeight="1" x14ac:dyDescent="0.25">
      <c r="E785" s="139"/>
      <c r="J785" s="139"/>
    </row>
    <row r="786" spans="5:10" ht="15.75" customHeight="1" x14ac:dyDescent="0.25">
      <c r="E786" s="139"/>
      <c r="J786" s="139"/>
    </row>
    <row r="787" spans="5:10" ht="15.75" customHeight="1" x14ac:dyDescent="0.25">
      <c r="E787" s="139"/>
      <c r="J787" s="139"/>
    </row>
    <row r="788" spans="5:10" ht="15.75" customHeight="1" x14ac:dyDescent="0.25">
      <c r="E788" s="139"/>
      <c r="J788" s="139"/>
    </row>
    <row r="789" spans="5:10" ht="15.75" customHeight="1" x14ac:dyDescent="0.25">
      <c r="E789" s="139"/>
      <c r="J789" s="139"/>
    </row>
    <row r="790" spans="5:10" ht="15.75" customHeight="1" x14ac:dyDescent="0.25">
      <c r="E790" s="139"/>
      <c r="J790" s="139"/>
    </row>
    <row r="791" spans="5:10" ht="15.75" customHeight="1" x14ac:dyDescent="0.25">
      <c r="E791" s="139"/>
      <c r="J791" s="139"/>
    </row>
    <row r="792" spans="5:10" ht="15.75" customHeight="1" x14ac:dyDescent="0.25">
      <c r="E792" s="139"/>
      <c r="J792" s="139"/>
    </row>
    <row r="793" spans="5:10" ht="15.75" customHeight="1" x14ac:dyDescent="0.25">
      <c r="E793" s="139"/>
      <c r="J793" s="139"/>
    </row>
    <row r="794" spans="5:10" ht="15.75" customHeight="1" x14ac:dyDescent="0.25">
      <c r="E794" s="139"/>
      <c r="J794" s="139"/>
    </row>
    <row r="795" spans="5:10" ht="15.75" customHeight="1" x14ac:dyDescent="0.25">
      <c r="E795" s="139"/>
      <c r="J795" s="139"/>
    </row>
    <row r="796" spans="5:10" ht="15.75" customHeight="1" x14ac:dyDescent="0.25">
      <c r="E796" s="139"/>
      <c r="J796" s="139"/>
    </row>
    <row r="797" spans="5:10" ht="15.75" customHeight="1" x14ac:dyDescent="0.25">
      <c r="E797" s="139"/>
      <c r="J797" s="139"/>
    </row>
    <row r="798" spans="5:10" ht="15.75" customHeight="1" x14ac:dyDescent="0.25">
      <c r="E798" s="139"/>
      <c r="J798" s="139"/>
    </row>
    <row r="799" spans="5:10" ht="15.75" customHeight="1" x14ac:dyDescent="0.25">
      <c r="E799" s="139"/>
      <c r="J799" s="139"/>
    </row>
    <row r="800" spans="5:10" ht="15.75" customHeight="1" x14ac:dyDescent="0.25">
      <c r="E800" s="139"/>
      <c r="J800" s="139"/>
    </row>
    <row r="801" spans="5:10" ht="15.75" customHeight="1" x14ac:dyDescent="0.25">
      <c r="E801" s="139"/>
      <c r="J801" s="139"/>
    </row>
    <row r="802" spans="5:10" ht="15.75" customHeight="1" x14ac:dyDescent="0.25">
      <c r="E802" s="139"/>
      <c r="J802" s="139"/>
    </row>
    <row r="803" spans="5:10" ht="15.75" customHeight="1" x14ac:dyDescent="0.25">
      <c r="E803" s="139"/>
      <c r="J803" s="139"/>
    </row>
    <row r="804" spans="5:10" ht="15.75" customHeight="1" x14ac:dyDescent="0.25">
      <c r="E804" s="139"/>
      <c r="J804" s="139"/>
    </row>
    <row r="805" spans="5:10" ht="15.75" customHeight="1" x14ac:dyDescent="0.25">
      <c r="E805" s="139"/>
      <c r="J805" s="139"/>
    </row>
    <row r="806" spans="5:10" ht="15.75" customHeight="1" x14ac:dyDescent="0.25">
      <c r="E806" s="139"/>
      <c r="J806" s="139"/>
    </row>
    <row r="807" spans="5:10" ht="15.75" customHeight="1" x14ac:dyDescent="0.25">
      <c r="E807" s="139"/>
      <c r="J807" s="139"/>
    </row>
    <row r="808" spans="5:10" ht="15.75" customHeight="1" x14ac:dyDescent="0.25">
      <c r="E808" s="139"/>
      <c r="J808" s="139"/>
    </row>
    <row r="809" spans="5:10" ht="15.75" customHeight="1" x14ac:dyDescent="0.25">
      <c r="E809" s="139"/>
      <c r="J809" s="139"/>
    </row>
    <row r="810" spans="5:10" ht="15.75" customHeight="1" x14ac:dyDescent="0.25">
      <c r="E810" s="139"/>
      <c r="J810" s="139"/>
    </row>
    <row r="811" spans="5:10" ht="15.75" customHeight="1" x14ac:dyDescent="0.25">
      <c r="E811" s="139"/>
      <c r="J811" s="139"/>
    </row>
    <row r="812" spans="5:10" ht="15.75" customHeight="1" x14ac:dyDescent="0.25">
      <c r="E812" s="139"/>
      <c r="J812" s="139"/>
    </row>
    <row r="813" spans="5:10" ht="15.75" customHeight="1" x14ac:dyDescent="0.25">
      <c r="E813" s="139"/>
      <c r="J813" s="139"/>
    </row>
    <row r="814" spans="5:10" ht="15.75" customHeight="1" x14ac:dyDescent="0.25">
      <c r="E814" s="139"/>
      <c r="J814" s="139"/>
    </row>
    <row r="815" spans="5:10" ht="15.75" customHeight="1" x14ac:dyDescent="0.25">
      <c r="E815" s="139"/>
      <c r="J815" s="139"/>
    </row>
    <row r="816" spans="5:10" ht="15.75" customHeight="1" x14ac:dyDescent="0.25">
      <c r="E816" s="139"/>
      <c r="J816" s="139"/>
    </row>
    <row r="817" spans="5:10" ht="15.75" customHeight="1" x14ac:dyDescent="0.25">
      <c r="E817" s="139"/>
      <c r="J817" s="139"/>
    </row>
    <row r="818" spans="5:10" ht="15.75" customHeight="1" x14ac:dyDescent="0.25">
      <c r="E818" s="139"/>
      <c r="J818" s="139"/>
    </row>
    <row r="819" spans="5:10" ht="15.75" customHeight="1" x14ac:dyDescent="0.25">
      <c r="E819" s="139"/>
      <c r="J819" s="139"/>
    </row>
    <row r="820" spans="5:10" ht="15.75" customHeight="1" x14ac:dyDescent="0.25">
      <c r="E820" s="139"/>
      <c r="J820" s="139"/>
    </row>
    <row r="821" spans="5:10" ht="15.75" customHeight="1" x14ac:dyDescent="0.25">
      <c r="E821" s="139"/>
      <c r="J821" s="139"/>
    </row>
    <row r="822" spans="5:10" ht="15.75" customHeight="1" x14ac:dyDescent="0.25">
      <c r="E822" s="139"/>
      <c r="J822" s="139"/>
    </row>
    <row r="823" spans="5:10" ht="15.75" customHeight="1" x14ac:dyDescent="0.25">
      <c r="E823" s="139"/>
      <c r="J823" s="139"/>
    </row>
    <row r="824" spans="5:10" ht="15.75" customHeight="1" x14ac:dyDescent="0.25">
      <c r="E824" s="139"/>
      <c r="J824" s="139"/>
    </row>
    <row r="825" spans="5:10" ht="15.75" customHeight="1" x14ac:dyDescent="0.25">
      <c r="E825" s="139"/>
      <c r="J825" s="139"/>
    </row>
    <row r="826" spans="5:10" ht="15.75" customHeight="1" x14ac:dyDescent="0.25">
      <c r="E826" s="139"/>
      <c r="J826" s="139"/>
    </row>
    <row r="827" spans="5:10" ht="15.75" customHeight="1" x14ac:dyDescent="0.25">
      <c r="E827" s="139"/>
      <c r="J827" s="139"/>
    </row>
    <row r="828" spans="5:10" ht="15.75" customHeight="1" x14ac:dyDescent="0.25">
      <c r="E828" s="139"/>
      <c r="J828" s="139"/>
    </row>
    <row r="829" spans="5:10" ht="15.75" customHeight="1" x14ac:dyDescent="0.25">
      <c r="E829" s="139"/>
      <c r="J829" s="139"/>
    </row>
    <row r="830" spans="5:10" ht="15.75" customHeight="1" x14ac:dyDescent="0.25">
      <c r="E830" s="139"/>
      <c r="J830" s="139"/>
    </row>
    <row r="831" spans="5:10" ht="15.75" customHeight="1" x14ac:dyDescent="0.25">
      <c r="E831" s="139"/>
      <c r="J831" s="139"/>
    </row>
    <row r="832" spans="5:10" ht="15.75" customHeight="1" x14ac:dyDescent="0.25">
      <c r="E832" s="139"/>
      <c r="J832" s="139"/>
    </row>
    <row r="833" spans="5:10" ht="15.75" customHeight="1" x14ac:dyDescent="0.25">
      <c r="E833" s="139"/>
      <c r="J833" s="139"/>
    </row>
    <row r="834" spans="5:10" ht="15.75" customHeight="1" x14ac:dyDescent="0.25">
      <c r="E834" s="139"/>
      <c r="J834" s="139"/>
    </row>
    <row r="835" spans="5:10" ht="15.75" customHeight="1" x14ac:dyDescent="0.25">
      <c r="E835" s="139"/>
      <c r="J835" s="139"/>
    </row>
    <row r="836" spans="5:10" ht="15.75" customHeight="1" x14ac:dyDescent="0.25">
      <c r="E836" s="139"/>
      <c r="J836" s="139"/>
    </row>
    <row r="837" spans="5:10" ht="15.75" customHeight="1" x14ac:dyDescent="0.25">
      <c r="E837" s="139"/>
      <c r="J837" s="139"/>
    </row>
    <row r="838" spans="5:10" ht="15.75" customHeight="1" x14ac:dyDescent="0.25">
      <c r="E838" s="139"/>
      <c r="J838" s="139"/>
    </row>
    <row r="839" spans="5:10" ht="15.75" customHeight="1" x14ac:dyDescent="0.25">
      <c r="E839" s="139"/>
      <c r="J839" s="139"/>
    </row>
    <row r="840" spans="5:10" ht="15.75" customHeight="1" x14ac:dyDescent="0.25">
      <c r="E840" s="139"/>
      <c r="J840" s="139"/>
    </row>
    <row r="841" spans="5:10" ht="15.75" customHeight="1" x14ac:dyDescent="0.25">
      <c r="E841" s="139"/>
      <c r="J841" s="139"/>
    </row>
    <row r="842" spans="5:10" ht="15.75" customHeight="1" x14ac:dyDescent="0.25">
      <c r="E842" s="139"/>
      <c r="J842" s="139"/>
    </row>
    <row r="843" spans="5:10" ht="15.75" customHeight="1" x14ac:dyDescent="0.25">
      <c r="E843" s="139"/>
      <c r="J843" s="139"/>
    </row>
    <row r="844" spans="5:10" ht="15.75" customHeight="1" x14ac:dyDescent="0.25">
      <c r="E844" s="139"/>
      <c r="J844" s="139"/>
    </row>
    <row r="845" spans="5:10" ht="15.75" customHeight="1" x14ac:dyDescent="0.25">
      <c r="E845" s="139"/>
      <c r="J845" s="139"/>
    </row>
    <row r="846" spans="5:10" ht="15.75" customHeight="1" x14ac:dyDescent="0.25">
      <c r="E846" s="139"/>
      <c r="J846" s="139"/>
    </row>
    <row r="847" spans="5:10" ht="15.75" customHeight="1" x14ac:dyDescent="0.25">
      <c r="E847" s="139"/>
      <c r="J847" s="139"/>
    </row>
    <row r="848" spans="5:10" ht="15.75" customHeight="1" x14ac:dyDescent="0.25">
      <c r="E848" s="139"/>
      <c r="J848" s="139"/>
    </row>
    <row r="849" spans="5:10" ht="15.75" customHeight="1" x14ac:dyDescent="0.25">
      <c r="E849" s="139"/>
      <c r="J849" s="139"/>
    </row>
    <row r="850" spans="5:10" ht="15.75" customHeight="1" x14ac:dyDescent="0.25">
      <c r="E850" s="139"/>
      <c r="J850" s="139"/>
    </row>
    <row r="851" spans="5:10" ht="15.75" customHeight="1" x14ac:dyDescent="0.25">
      <c r="E851" s="139"/>
      <c r="J851" s="139"/>
    </row>
    <row r="852" spans="5:10" ht="15.75" customHeight="1" x14ac:dyDescent="0.25">
      <c r="E852" s="139"/>
      <c r="J852" s="139"/>
    </row>
    <row r="853" spans="5:10" ht="15.75" customHeight="1" x14ac:dyDescent="0.25">
      <c r="E853" s="139"/>
      <c r="J853" s="139"/>
    </row>
    <row r="854" spans="5:10" ht="15.75" customHeight="1" x14ac:dyDescent="0.25">
      <c r="E854" s="139"/>
      <c r="J854" s="139"/>
    </row>
    <row r="855" spans="5:10" ht="15.75" customHeight="1" x14ac:dyDescent="0.25">
      <c r="E855" s="139"/>
      <c r="J855" s="139"/>
    </row>
    <row r="856" spans="5:10" ht="15.75" customHeight="1" x14ac:dyDescent="0.25">
      <c r="E856" s="139"/>
      <c r="J856" s="139"/>
    </row>
    <row r="857" spans="5:10" ht="15.75" customHeight="1" x14ac:dyDescent="0.25">
      <c r="E857" s="139"/>
      <c r="J857" s="139"/>
    </row>
    <row r="858" spans="5:10" ht="15.75" customHeight="1" x14ac:dyDescent="0.25">
      <c r="E858" s="139"/>
      <c r="J858" s="139"/>
    </row>
    <row r="859" spans="5:10" ht="15.75" customHeight="1" x14ac:dyDescent="0.25">
      <c r="E859" s="139"/>
      <c r="J859" s="139"/>
    </row>
    <row r="860" spans="5:10" ht="15.75" customHeight="1" x14ac:dyDescent="0.25">
      <c r="E860" s="139"/>
      <c r="J860" s="139"/>
    </row>
    <row r="861" spans="5:10" ht="15.75" customHeight="1" x14ac:dyDescent="0.25">
      <c r="E861" s="139"/>
      <c r="J861" s="139"/>
    </row>
    <row r="862" spans="5:10" ht="15.75" customHeight="1" x14ac:dyDescent="0.25">
      <c r="E862" s="139"/>
      <c r="J862" s="139"/>
    </row>
    <row r="863" spans="5:10" ht="15.75" customHeight="1" x14ac:dyDescent="0.25">
      <c r="E863" s="139"/>
      <c r="J863" s="139"/>
    </row>
    <row r="864" spans="5:10" ht="15.75" customHeight="1" x14ac:dyDescent="0.25">
      <c r="E864" s="139"/>
      <c r="J864" s="139"/>
    </row>
    <row r="865" spans="5:10" ht="15.75" customHeight="1" x14ac:dyDescent="0.25">
      <c r="E865" s="139"/>
      <c r="J865" s="139"/>
    </row>
    <row r="866" spans="5:10" ht="15.75" customHeight="1" x14ac:dyDescent="0.25">
      <c r="E866" s="139"/>
      <c r="J866" s="139"/>
    </row>
    <row r="867" spans="5:10" ht="15.75" customHeight="1" x14ac:dyDescent="0.25">
      <c r="E867" s="139"/>
      <c r="J867" s="139"/>
    </row>
    <row r="868" spans="5:10" ht="15.75" customHeight="1" x14ac:dyDescent="0.25">
      <c r="E868" s="139"/>
      <c r="J868" s="139"/>
    </row>
    <row r="869" spans="5:10" ht="15.75" customHeight="1" x14ac:dyDescent="0.25">
      <c r="E869" s="139"/>
      <c r="J869" s="139"/>
    </row>
    <row r="870" spans="5:10" ht="15.75" customHeight="1" x14ac:dyDescent="0.25">
      <c r="E870" s="139"/>
      <c r="J870" s="139"/>
    </row>
    <row r="871" spans="5:10" ht="15.75" customHeight="1" x14ac:dyDescent="0.25">
      <c r="E871" s="139"/>
      <c r="J871" s="139"/>
    </row>
    <row r="872" spans="5:10" ht="15.75" customHeight="1" x14ac:dyDescent="0.25">
      <c r="E872" s="139"/>
      <c r="J872" s="139"/>
    </row>
    <row r="873" spans="5:10" ht="15.75" customHeight="1" x14ac:dyDescent="0.25">
      <c r="E873" s="139"/>
      <c r="J873" s="139"/>
    </row>
    <row r="874" spans="5:10" ht="15.75" customHeight="1" x14ac:dyDescent="0.25">
      <c r="E874" s="139"/>
      <c r="J874" s="139"/>
    </row>
    <row r="875" spans="5:10" ht="15.75" customHeight="1" x14ac:dyDescent="0.25">
      <c r="E875" s="139"/>
      <c r="J875" s="139"/>
    </row>
    <row r="876" spans="5:10" ht="15.75" customHeight="1" x14ac:dyDescent="0.25">
      <c r="E876" s="139"/>
      <c r="J876" s="139"/>
    </row>
    <row r="877" spans="5:10" ht="15.75" customHeight="1" x14ac:dyDescent="0.25">
      <c r="E877" s="139"/>
      <c r="J877" s="139"/>
    </row>
    <row r="878" spans="5:10" ht="15.75" customHeight="1" x14ac:dyDescent="0.25">
      <c r="E878" s="139"/>
      <c r="J878" s="139"/>
    </row>
    <row r="879" spans="5:10" ht="15.75" customHeight="1" x14ac:dyDescent="0.25">
      <c r="E879" s="139"/>
      <c r="J879" s="139"/>
    </row>
    <row r="880" spans="5:10" ht="15.75" customHeight="1" x14ac:dyDescent="0.25">
      <c r="E880" s="139"/>
      <c r="J880" s="139"/>
    </row>
    <row r="881" spans="5:10" ht="15.75" customHeight="1" x14ac:dyDescent="0.25">
      <c r="E881" s="139"/>
      <c r="J881" s="139"/>
    </row>
    <row r="882" spans="5:10" ht="15.75" customHeight="1" x14ac:dyDescent="0.25">
      <c r="E882" s="139"/>
      <c r="J882" s="139"/>
    </row>
    <row r="883" spans="5:10" ht="15.75" customHeight="1" x14ac:dyDescent="0.25">
      <c r="E883" s="139"/>
      <c r="J883" s="139"/>
    </row>
    <row r="884" spans="5:10" ht="15.75" customHeight="1" x14ac:dyDescent="0.25">
      <c r="E884" s="139"/>
      <c r="J884" s="139"/>
    </row>
    <row r="885" spans="5:10" ht="15.75" customHeight="1" x14ac:dyDescent="0.25">
      <c r="E885" s="139"/>
      <c r="J885" s="139"/>
    </row>
    <row r="886" spans="5:10" ht="15.75" customHeight="1" x14ac:dyDescent="0.25">
      <c r="E886" s="139"/>
      <c r="J886" s="139"/>
    </row>
    <row r="887" spans="5:10" ht="15.75" customHeight="1" x14ac:dyDescent="0.25">
      <c r="E887" s="139"/>
      <c r="J887" s="139"/>
    </row>
    <row r="888" spans="5:10" ht="15.75" customHeight="1" x14ac:dyDescent="0.25">
      <c r="E888" s="139"/>
      <c r="J888" s="139"/>
    </row>
    <row r="889" spans="5:10" ht="15.75" customHeight="1" x14ac:dyDescent="0.25">
      <c r="E889" s="139"/>
      <c r="J889" s="139"/>
    </row>
    <row r="890" spans="5:10" ht="15.75" customHeight="1" x14ac:dyDescent="0.25">
      <c r="E890" s="139"/>
      <c r="J890" s="139"/>
    </row>
    <row r="891" spans="5:10" ht="15.75" customHeight="1" x14ac:dyDescent="0.25">
      <c r="E891" s="139"/>
      <c r="J891" s="139"/>
    </row>
    <row r="892" spans="5:10" ht="15.75" customHeight="1" x14ac:dyDescent="0.25">
      <c r="E892" s="139"/>
      <c r="J892" s="139"/>
    </row>
    <row r="893" spans="5:10" ht="15.75" customHeight="1" x14ac:dyDescent="0.25">
      <c r="E893" s="139"/>
      <c r="J893" s="139"/>
    </row>
    <row r="894" spans="5:10" ht="15.75" customHeight="1" x14ac:dyDescent="0.25">
      <c r="E894" s="139"/>
      <c r="J894" s="139"/>
    </row>
    <row r="895" spans="5:10" ht="15.75" customHeight="1" x14ac:dyDescent="0.25">
      <c r="E895" s="139"/>
      <c r="J895" s="139"/>
    </row>
    <row r="896" spans="5:10" ht="15.75" customHeight="1" x14ac:dyDescent="0.25">
      <c r="E896" s="139"/>
      <c r="J896" s="139"/>
    </row>
    <row r="897" spans="5:10" ht="15.75" customHeight="1" x14ac:dyDescent="0.25">
      <c r="E897" s="139"/>
      <c r="J897" s="139"/>
    </row>
    <row r="898" spans="5:10" ht="15.75" customHeight="1" x14ac:dyDescent="0.25">
      <c r="E898" s="139"/>
      <c r="J898" s="139"/>
    </row>
    <row r="899" spans="5:10" ht="15.75" customHeight="1" x14ac:dyDescent="0.25">
      <c r="E899" s="139"/>
      <c r="J899" s="139"/>
    </row>
    <row r="900" spans="5:10" ht="15.75" customHeight="1" x14ac:dyDescent="0.25">
      <c r="E900" s="139"/>
      <c r="J900" s="139"/>
    </row>
    <row r="901" spans="5:10" ht="15.75" customHeight="1" x14ac:dyDescent="0.25">
      <c r="E901" s="139"/>
      <c r="J901" s="139"/>
    </row>
    <row r="902" spans="5:10" ht="15.75" customHeight="1" x14ac:dyDescent="0.25">
      <c r="E902" s="139"/>
      <c r="J902" s="139"/>
    </row>
    <row r="903" spans="5:10" ht="15.75" customHeight="1" x14ac:dyDescent="0.25">
      <c r="E903" s="139"/>
      <c r="J903" s="139"/>
    </row>
    <row r="904" spans="5:10" ht="15.75" customHeight="1" x14ac:dyDescent="0.25">
      <c r="E904" s="139"/>
      <c r="J904" s="139"/>
    </row>
    <row r="905" spans="5:10" ht="15.75" customHeight="1" x14ac:dyDescent="0.25">
      <c r="E905" s="139"/>
      <c r="J905" s="139"/>
    </row>
    <row r="906" spans="5:10" ht="15.75" customHeight="1" x14ac:dyDescent="0.25">
      <c r="E906" s="139"/>
      <c r="J906" s="139"/>
    </row>
    <row r="907" spans="5:10" ht="15.75" customHeight="1" x14ac:dyDescent="0.25">
      <c r="E907" s="139"/>
      <c r="J907" s="139"/>
    </row>
    <row r="908" spans="5:10" ht="15.75" customHeight="1" x14ac:dyDescent="0.25">
      <c r="E908" s="139"/>
      <c r="J908" s="139"/>
    </row>
    <row r="909" spans="5:10" ht="15.75" customHeight="1" x14ac:dyDescent="0.25">
      <c r="E909" s="139"/>
      <c r="J909" s="139"/>
    </row>
    <row r="910" spans="5:10" ht="15.75" customHeight="1" x14ac:dyDescent="0.25">
      <c r="E910" s="139"/>
      <c r="J910" s="139"/>
    </row>
    <row r="911" spans="5:10" ht="15.75" customHeight="1" x14ac:dyDescent="0.25">
      <c r="E911" s="139"/>
      <c r="J911" s="139"/>
    </row>
    <row r="912" spans="5:10" ht="15.75" customHeight="1" x14ac:dyDescent="0.25">
      <c r="E912" s="139"/>
      <c r="J912" s="139"/>
    </row>
    <row r="913" spans="5:10" ht="15.75" customHeight="1" x14ac:dyDescent="0.25">
      <c r="E913" s="139"/>
      <c r="J913" s="139"/>
    </row>
    <row r="914" spans="5:10" ht="15.75" customHeight="1" x14ac:dyDescent="0.25">
      <c r="E914" s="139"/>
      <c r="J914" s="139"/>
    </row>
    <row r="915" spans="5:10" ht="15.75" customHeight="1" x14ac:dyDescent="0.25">
      <c r="E915" s="139"/>
      <c r="J915" s="139"/>
    </row>
    <row r="916" spans="5:10" ht="15.75" customHeight="1" x14ac:dyDescent="0.25">
      <c r="E916" s="139"/>
      <c r="J916" s="139"/>
    </row>
    <row r="917" spans="5:10" ht="15.75" customHeight="1" x14ac:dyDescent="0.25">
      <c r="E917" s="139"/>
      <c r="J917" s="139"/>
    </row>
    <row r="918" spans="5:10" ht="15.75" customHeight="1" x14ac:dyDescent="0.25">
      <c r="E918" s="139"/>
      <c r="J918" s="139"/>
    </row>
    <row r="919" spans="5:10" ht="15.75" customHeight="1" x14ac:dyDescent="0.25">
      <c r="E919" s="139"/>
      <c r="J919" s="139"/>
    </row>
    <row r="920" spans="5:10" ht="15.75" customHeight="1" x14ac:dyDescent="0.25">
      <c r="E920" s="139"/>
      <c r="J920" s="139"/>
    </row>
    <row r="921" spans="5:10" ht="15.75" customHeight="1" x14ac:dyDescent="0.25">
      <c r="E921" s="139"/>
      <c r="J921" s="139"/>
    </row>
    <row r="922" spans="5:10" ht="15.75" customHeight="1" x14ac:dyDescent="0.25">
      <c r="E922" s="139"/>
      <c r="J922" s="139"/>
    </row>
    <row r="923" spans="5:10" ht="15.75" customHeight="1" x14ac:dyDescent="0.25">
      <c r="E923" s="139"/>
      <c r="J923" s="139"/>
    </row>
    <row r="924" spans="5:10" ht="15.75" customHeight="1" x14ac:dyDescent="0.25">
      <c r="E924" s="139"/>
      <c r="J924" s="139"/>
    </row>
    <row r="925" spans="5:10" ht="15.75" customHeight="1" x14ac:dyDescent="0.25">
      <c r="E925" s="139"/>
      <c r="J925" s="139"/>
    </row>
    <row r="926" spans="5:10" ht="15.75" customHeight="1" x14ac:dyDescent="0.25">
      <c r="E926" s="139"/>
      <c r="J926" s="139"/>
    </row>
    <row r="927" spans="5:10" ht="15.75" customHeight="1" x14ac:dyDescent="0.25">
      <c r="E927" s="139"/>
      <c r="J927" s="139"/>
    </row>
    <row r="928" spans="5:10" ht="15.75" customHeight="1" x14ac:dyDescent="0.25">
      <c r="E928" s="139"/>
      <c r="J928" s="139"/>
    </row>
    <row r="929" spans="5:10" ht="15.75" customHeight="1" x14ac:dyDescent="0.25">
      <c r="E929" s="139"/>
      <c r="J929" s="139"/>
    </row>
    <row r="930" spans="5:10" ht="15.75" customHeight="1" x14ac:dyDescent="0.25">
      <c r="E930" s="139"/>
      <c r="J930" s="139"/>
    </row>
    <row r="931" spans="5:10" ht="15.75" customHeight="1" x14ac:dyDescent="0.25">
      <c r="E931" s="139"/>
      <c r="J931" s="139"/>
    </row>
    <row r="932" spans="5:10" ht="15.75" customHeight="1" x14ac:dyDescent="0.25">
      <c r="E932" s="139"/>
      <c r="J932" s="139"/>
    </row>
    <row r="933" spans="5:10" ht="15.75" customHeight="1" x14ac:dyDescent="0.25">
      <c r="E933" s="139"/>
      <c r="J933" s="139"/>
    </row>
    <row r="934" spans="5:10" ht="15.75" customHeight="1" x14ac:dyDescent="0.25">
      <c r="E934" s="139"/>
      <c r="J934" s="139"/>
    </row>
    <row r="935" spans="5:10" ht="15.75" customHeight="1" x14ac:dyDescent="0.25">
      <c r="E935" s="139"/>
      <c r="J935" s="139"/>
    </row>
    <row r="936" spans="5:10" ht="15.75" customHeight="1" x14ac:dyDescent="0.25">
      <c r="E936" s="139"/>
      <c r="J936" s="139"/>
    </row>
    <row r="937" spans="5:10" ht="15.75" customHeight="1" x14ac:dyDescent="0.25">
      <c r="E937" s="139"/>
      <c r="J937" s="139"/>
    </row>
    <row r="938" spans="5:10" ht="15.75" customHeight="1" x14ac:dyDescent="0.25">
      <c r="E938" s="139"/>
      <c r="J938" s="139"/>
    </row>
    <row r="939" spans="5:10" ht="15.75" customHeight="1" x14ac:dyDescent="0.25">
      <c r="E939" s="139"/>
      <c r="J939" s="139"/>
    </row>
    <row r="940" spans="5:10" ht="15.75" customHeight="1" x14ac:dyDescent="0.25">
      <c r="E940" s="139"/>
      <c r="J940" s="139"/>
    </row>
    <row r="941" spans="5:10" ht="15.75" customHeight="1" x14ac:dyDescent="0.25">
      <c r="E941" s="139"/>
      <c r="J941" s="139"/>
    </row>
    <row r="942" spans="5:10" ht="15.75" customHeight="1" x14ac:dyDescent="0.25">
      <c r="E942" s="139"/>
      <c r="J942" s="139"/>
    </row>
    <row r="943" spans="5:10" ht="15.75" customHeight="1" x14ac:dyDescent="0.25">
      <c r="E943" s="139"/>
      <c r="J943" s="139"/>
    </row>
    <row r="944" spans="5:10" ht="15.75" customHeight="1" x14ac:dyDescent="0.25">
      <c r="E944" s="139"/>
      <c r="J944" s="139"/>
    </row>
    <row r="945" spans="5:10" ht="15.75" customHeight="1" x14ac:dyDescent="0.25">
      <c r="E945" s="139"/>
      <c r="J945" s="139"/>
    </row>
    <row r="946" spans="5:10" ht="15.75" customHeight="1" x14ac:dyDescent="0.25">
      <c r="E946" s="139"/>
      <c r="J946" s="139"/>
    </row>
    <row r="947" spans="5:10" ht="15.75" customHeight="1" x14ac:dyDescent="0.25">
      <c r="E947" s="139"/>
      <c r="J947" s="139"/>
    </row>
    <row r="948" spans="5:10" ht="15.75" customHeight="1" x14ac:dyDescent="0.25">
      <c r="E948" s="139"/>
      <c r="J948" s="139"/>
    </row>
    <row r="949" spans="5:10" ht="15.75" customHeight="1" x14ac:dyDescent="0.25">
      <c r="E949" s="139"/>
      <c r="J949" s="139"/>
    </row>
    <row r="950" spans="5:10" ht="15.75" customHeight="1" x14ac:dyDescent="0.25">
      <c r="E950" s="139"/>
      <c r="J950" s="139"/>
    </row>
    <row r="951" spans="5:10" ht="15.75" customHeight="1" x14ac:dyDescent="0.25">
      <c r="E951" s="139"/>
      <c r="J951" s="139"/>
    </row>
    <row r="952" spans="5:10" ht="15.75" customHeight="1" x14ac:dyDescent="0.25">
      <c r="E952" s="139"/>
      <c r="J952" s="139"/>
    </row>
    <row r="953" spans="5:10" ht="15.75" customHeight="1" x14ac:dyDescent="0.25">
      <c r="E953" s="139"/>
      <c r="J953" s="139"/>
    </row>
    <row r="954" spans="5:10" ht="15.75" customHeight="1" x14ac:dyDescent="0.25">
      <c r="E954" s="139"/>
      <c r="J954" s="139"/>
    </row>
    <row r="955" spans="5:10" ht="15.75" customHeight="1" x14ac:dyDescent="0.25">
      <c r="E955" s="139"/>
      <c r="J955" s="139"/>
    </row>
    <row r="956" spans="5:10" ht="15.75" customHeight="1" x14ac:dyDescent="0.25">
      <c r="E956" s="139"/>
      <c r="J956" s="139"/>
    </row>
    <row r="957" spans="5:10" ht="15.75" customHeight="1" x14ac:dyDescent="0.25">
      <c r="E957" s="139"/>
      <c r="J957" s="139"/>
    </row>
    <row r="958" spans="5:10" ht="15.75" customHeight="1" x14ac:dyDescent="0.25">
      <c r="E958" s="139"/>
      <c r="J958" s="139"/>
    </row>
    <row r="959" spans="5:10" ht="15.75" customHeight="1" x14ac:dyDescent="0.25">
      <c r="E959" s="139"/>
      <c r="J959" s="139"/>
    </row>
    <row r="960" spans="5:10" ht="15.75" customHeight="1" x14ac:dyDescent="0.25">
      <c r="E960" s="139"/>
      <c r="J960" s="139"/>
    </row>
    <row r="961" spans="5:10" ht="15.75" customHeight="1" x14ac:dyDescent="0.25">
      <c r="E961" s="139"/>
      <c r="J961" s="139"/>
    </row>
    <row r="962" spans="5:10" ht="15.75" customHeight="1" x14ac:dyDescent="0.25">
      <c r="E962" s="139"/>
      <c r="J962" s="139"/>
    </row>
    <row r="963" spans="5:10" ht="15.75" customHeight="1" x14ac:dyDescent="0.25">
      <c r="E963" s="139"/>
      <c r="J963" s="139"/>
    </row>
    <row r="964" spans="5:10" ht="15.75" customHeight="1" x14ac:dyDescent="0.25">
      <c r="E964" s="139"/>
      <c r="J964" s="139"/>
    </row>
    <row r="965" spans="5:10" ht="15.75" customHeight="1" x14ac:dyDescent="0.25">
      <c r="E965" s="139"/>
      <c r="J965" s="139"/>
    </row>
    <row r="966" spans="5:10" ht="15.75" customHeight="1" x14ac:dyDescent="0.25">
      <c r="E966" s="139"/>
      <c r="J966" s="139"/>
    </row>
    <row r="967" spans="5:10" ht="15.75" customHeight="1" x14ac:dyDescent="0.25">
      <c r="E967" s="139"/>
      <c r="J967" s="139"/>
    </row>
    <row r="968" spans="5:10" ht="15.75" customHeight="1" x14ac:dyDescent="0.25">
      <c r="E968" s="139"/>
      <c r="J968" s="139"/>
    </row>
    <row r="969" spans="5:10" ht="15.75" customHeight="1" x14ac:dyDescent="0.25">
      <c r="E969" s="139"/>
      <c r="J969" s="139"/>
    </row>
    <row r="970" spans="5:10" ht="15.75" customHeight="1" x14ac:dyDescent="0.25">
      <c r="E970" s="139"/>
      <c r="J970" s="139"/>
    </row>
    <row r="971" spans="5:10" ht="15.75" customHeight="1" x14ac:dyDescent="0.25">
      <c r="E971" s="139"/>
      <c r="J971" s="139"/>
    </row>
    <row r="972" spans="5:10" ht="15.75" customHeight="1" x14ac:dyDescent="0.25">
      <c r="E972" s="139"/>
      <c r="J972" s="139"/>
    </row>
    <row r="973" spans="5:10" ht="15.75" customHeight="1" x14ac:dyDescent="0.25">
      <c r="E973" s="139"/>
      <c r="J973" s="139"/>
    </row>
    <row r="974" spans="5:10" ht="15.75" customHeight="1" x14ac:dyDescent="0.25">
      <c r="E974" s="139"/>
      <c r="J974" s="139"/>
    </row>
    <row r="975" spans="5:10" ht="15.75" customHeight="1" x14ac:dyDescent="0.25">
      <c r="E975" s="139"/>
      <c r="J975" s="139"/>
    </row>
    <row r="976" spans="5:10" ht="15.75" customHeight="1" x14ac:dyDescent="0.25">
      <c r="E976" s="139"/>
      <c r="J976" s="139"/>
    </row>
    <row r="977" spans="5:10" ht="15.75" customHeight="1" x14ac:dyDescent="0.25">
      <c r="E977" s="139"/>
      <c r="J977" s="139"/>
    </row>
    <row r="978" spans="5:10" ht="15.75" customHeight="1" x14ac:dyDescent="0.25">
      <c r="E978" s="139"/>
      <c r="J978" s="139"/>
    </row>
    <row r="979" spans="5:10" ht="15.75" customHeight="1" x14ac:dyDescent="0.25">
      <c r="E979" s="139"/>
      <c r="J979" s="139"/>
    </row>
    <row r="980" spans="5:10" ht="15.75" customHeight="1" x14ac:dyDescent="0.25">
      <c r="E980" s="139"/>
      <c r="J980" s="139"/>
    </row>
    <row r="981" spans="5:10" ht="15.75" customHeight="1" x14ac:dyDescent="0.25">
      <c r="E981" s="139"/>
      <c r="J981" s="139"/>
    </row>
    <row r="982" spans="5:10" ht="15.75" customHeight="1" x14ac:dyDescent="0.25">
      <c r="E982" s="139"/>
      <c r="J982" s="139"/>
    </row>
    <row r="983" spans="5:10" ht="15.75" customHeight="1" x14ac:dyDescent="0.25">
      <c r="E983" s="139"/>
      <c r="J983" s="139"/>
    </row>
    <row r="984" spans="5:10" ht="15.75" customHeight="1" x14ac:dyDescent="0.25">
      <c r="E984" s="139"/>
      <c r="J984" s="139"/>
    </row>
    <row r="985" spans="5:10" ht="15.75" customHeight="1" x14ac:dyDescent="0.25">
      <c r="E985" s="139"/>
      <c r="J985" s="139"/>
    </row>
    <row r="986" spans="5:10" ht="15.75" customHeight="1" x14ac:dyDescent="0.25">
      <c r="E986" s="139"/>
      <c r="J986" s="139"/>
    </row>
    <row r="987" spans="5:10" ht="15.75" customHeight="1" x14ac:dyDescent="0.25">
      <c r="E987" s="139"/>
      <c r="J987" s="139"/>
    </row>
    <row r="988" spans="5:10" ht="15.75" customHeight="1" x14ac:dyDescent="0.25">
      <c r="E988" s="139"/>
      <c r="J988" s="139"/>
    </row>
    <row r="989" spans="5:10" ht="15.75" customHeight="1" x14ac:dyDescent="0.25">
      <c r="E989" s="139"/>
      <c r="J989" s="139"/>
    </row>
    <row r="990" spans="5:10" ht="15.75" customHeight="1" x14ac:dyDescent="0.25">
      <c r="E990" s="139"/>
      <c r="J990" s="139"/>
    </row>
    <row r="991" spans="5:10" ht="15.75" customHeight="1" x14ac:dyDescent="0.25">
      <c r="E991" s="139"/>
      <c r="J991" s="139"/>
    </row>
    <row r="992" spans="5:10" ht="15.75" customHeight="1" x14ac:dyDescent="0.25">
      <c r="E992" s="139"/>
      <c r="J992" s="139"/>
    </row>
    <row r="993" spans="5:10" ht="15.75" customHeight="1" x14ac:dyDescent="0.25">
      <c r="E993" s="139"/>
      <c r="J993" s="139"/>
    </row>
    <row r="994" spans="5:10" ht="15.75" customHeight="1" x14ac:dyDescent="0.25">
      <c r="E994" s="139"/>
      <c r="J994" s="139"/>
    </row>
    <row r="995" spans="5:10" ht="15.75" customHeight="1" x14ac:dyDescent="0.25">
      <c r="E995" s="139"/>
      <c r="J995" s="139"/>
    </row>
    <row r="996" spans="5:10" ht="15.75" customHeight="1" x14ac:dyDescent="0.25">
      <c r="E996" s="139"/>
      <c r="J996" s="139"/>
    </row>
    <row r="997" spans="5:10" ht="15.75" customHeight="1" x14ac:dyDescent="0.25">
      <c r="E997" s="139"/>
      <c r="J997" s="139"/>
    </row>
    <row r="998" spans="5:10" ht="15.75" customHeight="1" x14ac:dyDescent="0.25">
      <c r="E998" s="139"/>
      <c r="J998" s="139"/>
    </row>
    <row r="999" spans="5:10" ht="15.75" customHeight="1" x14ac:dyDescent="0.25">
      <c r="E999" s="139"/>
      <c r="J999" s="139"/>
    </row>
    <row r="1000" spans="5:10" ht="15.75" customHeight="1" x14ac:dyDescent="0.25">
      <c r="E1000" s="139"/>
      <c r="J1000" s="139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1300-000000000000}">
          <x14:formula1>
            <xm:f>January!$B$27:$C$44</xm:f>
          </x14:formula1>
          <xm:sqref>E5:E1000</xm:sqref>
        </x14:dataValidation>
        <x14:dataValidation type="list" allowBlank="1" xr:uid="{00000000-0002-0000-1300-000001000000}">
          <x14:formula1>
            <xm:f>January!$H$27:$I$44</xm:f>
          </x14:formula1>
          <xm:sqref>J5:J1000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M1000"/>
  <sheetViews>
    <sheetView showGridLines="0" workbookViewId="0"/>
  </sheetViews>
  <sheetFormatPr defaultColWidth="12.6640625" defaultRowHeight="15" customHeight="1" x14ac:dyDescent="0.25"/>
  <cols>
    <col min="1" max="1" width="6.109375" customWidth="1"/>
    <col min="2" max="3" width="8.88671875" customWidth="1"/>
    <col min="4" max="4" width="16.77734375" customWidth="1"/>
    <col min="5" max="5" width="14.88671875" customWidth="1"/>
    <col min="6" max="6" width="17.44140625" customWidth="1"/>
    <col min="7" max="7" width="16.21875" customWidth="1"/>
    <col min="8" max="8" width="8.88671875" customWidth="1"/>
    <col min="9" max="9" width="17" customWidth="1"/>
    <col min="10" max="10" width="12.6640625" customWidth="1"/>
    <col min="11" max="11" width="12.33203125" customWidth="1"/>
    <col min="12" max="12" width="13.77734375" customWidth="1"/>
    <col min="13" max="13" width="6.109375" customWidth="1"/>
  </cols>
  <sheetData>
    <row r="1" spans="1:13" ht="12" customHeight="1" x14ac:dyDescent="0.3">
      <c r="A1" s="142"/>
      <c r="B1" s="142"/>
      <c r="C1" s="142"/>
      <c r="D1" s="142"/>
      <c r="E1" s="142"/>
      <c r="F1" s="142"/>
      <c r="G1" s="143"/>
      <c r="H1" s="142"/>
      <c r="I1" s="142"/>
      <c r="J1" s="142"/>
      <c r="K1" s="142"/>
      <c r="L1" s="142"/>
      <c r="M1" s="142"/>
    </row>
    <row r="2" spans="1:13" ht="21" customHeight="1" x14ac:dyDescent="0.25">
      <c r="A2" s="144"/>
      <c r="B2" s="269" t="s">
        <v>28</v>
      </c>
      <c r="C2" s="266"/>
      <c r="D2" s="266"/>
      <c r="E2" s="266"/>
      <c r="F2" s="266"/>
      <c r="G2" s="266"/>
      <c r="H2" s="266"/>
      <c r="I2" s="270" t="s">
        <v>1</v>
      </c>
      <c r="J2" s="266"/>
      <c r="K2" s="266"/>
      <c r="L2" s="266"/>
      <c r="M2" s="144"/>
    </row>
    <row r="3" spans="1:13" ht="16.5" customHeight="1" x14ac:dyDescent="0.25">
      <c r="A3" s="145"/>
      <c r="B3" s="271" t="s">
        <v>29</v>
      </c>
      <c r="C3" s="266"/>
      <c r="D3" s="266"/>
      <c r="E3" s="266"/>
      <c r="F3" s="266"/>
      <c r="G3" s="266"/>
      <c r="H3" s="146"/>
      <c r="I3" s="272" t="s">
        <v>30</v>
      </c>
      <c r="J3" s="266"/>
      <c r="K3" s="266"/>
      <c r="L3" s="266"/>
      <c r="M3" s="147"/>
    </row>
    <row r="4" spans="1:13" ht="10.5" customHeight="1" x14ac:dyDescent="0.25">
      <c r="A4" s="145"/>
      <c r="B4" s="266"/>
      <c r="C4" s="266"/>
      <c r="D4" s="266"/>
      <c r="E4" s="266"/>
      <c r="F4" s="266"/>
      <c r="G4" s="266"/>
      <c r="H4" s="146"/>
      <c r="I4" s="273" t="s">
        <v>31</v>
      </c>
      <c r="J4" s="266"/>
      <c r="K4" s="266"/>
      <c r="L4" s="266"/>
      <c r="M4" s="266"/>
    </row>
    <row r="5" spans="1:13" ht="15.75" customHeight="1" x14ac:dyDescent="0.25">
      <c r="A5" s="145"/>
      <c r="B5" s="271" t="s">
        <v>32</v>
      </c>
      <c r="C5" s="266"/>
      <c r="D5" s="266"/>
      <c r="E5" s="266"/>
      <c r="F5" s="266"/>
      <c r="G5" s="266"/>
      <c r="H5" s="146"/>
      <c r="I5" s="266"/>
      <c r="J5" s="266"/>
      <c r="K5" s="266"/>
      <c r="L5" s="266"/>
      <c r="M5" s="266"/>
    </row>
    <row r="6" spans="1:13" ht="23.25" customHeight="1" x14ac:dyDescent="0.3">
      <c r="A6" s="148"/>
      <c r="B6" s="266"/>
      <c r="C6" s="266"/>
      <c r="D6" s="266"/>
      <c r="E6" s="266"/>
      <c r="F6" s="266"/>
      <c r="G6" s="266"/>
      <c r="H6" s="149"/>
      <c r="I6" s="142"/>
      <c r="J6" s="142"/>
      <c r="K6" s="142"/>
      <c r="L6" s="142"/>
      <c r="M6" s="142"/>
    </row>
    <row r="7" spans="1:13" ht="30" customHeight="1" x14ac:dyDescent="0.3">
      <c r="A7" s="150"/>
      <c r="B7" s="151"/>
      <c r="C7" s="151"/>
      <c r="D7" s="151"/>
      <c r="E7" s="152"/>
      <c r="F7" s="155"/>
      <c r="G7" s="155"/>
      <c r="H7" s="155"/>
      <c r="I7" s="155"/>
      <c r="J7" s="153"/>
      <c r="K7" s="153"/>
      <c r="L7" s="153"/>
      <c r="M7" s="153"/>
    </row>
    <row r="8" spans="1:13" ht="18" customHeight="1" x14ac:dyDescent="0.3">
      <c r="A8" s="156"/>
      <c r="B8" s="275" t="s">
        <v>65</v>
      </c>
      <c r="C8" s="266"/>
      <c r="D8" s="266"/>
      <c r="E8" s="266"/>
      <c r="F8" s="153"/>
      <c r="G8" s="157"/>
      <c r="H8" s="153"/>
      <c r="I8" s="158"/>
      <c r="J8" s="274" t="s">
        <v>34</v>
      </c>
      <c r="K8" s="266"/>
      <c r="L8" s="159">
        <f>Agustus!E17</f>
        <v>3000000</v>
      </c>
      <c r="M8" s="153"/>
    </row>
    <row r="9" spans="1:13" ht="18" customHeight="1" x14ac:dyDescent="0.25">
      <c r="A9" s="156"/>
      <c r="B9" s="266"/>
      <c r="C9" s="266"/>
      <c r="D9" s="266"/>
      <c r="E9" s="266"/>
      <c r="F9" s="153"/>
      <c r="G9" s="157"/>
      <c r="H9" s="153"/>
      <c r="I9" s="160"/>
      <c r="J9" s="153"/>
      <c r="K9" s="153"/>
      <c r="M9" s="153"/>
    </row>
    <row r="10" spans="1:13" ht="18" customHeight="1" x14ac:dyDescent="0.25">
      <c r="A10" s="153"/>
      <c r="B10" s="161"/>
      <c r="C10" s="161"/>
      <c r="D10" s="161"/>
      <c r="E10" s="161"/>
      <c r="F10" s="153"/>
      <c r="G10" s="157"/>
      <c r="H10" s="153"/>
      <c r="I10" s="160"/>
      <c r="J10" s="153"/>
      <c r="K10" s="153"/>
      <c r="L10" s="157"/>
      <c r="M10" s="153"/>
    </row>
    <row r="11" spans="1:13" ht="12" customHeight="1" x14ac:dyDescent="0.3">
      <c r="A11" s="150"/>
      <c r="B11" s="162"/>
      <c r="C11" s="162"/>
      <c r="D11" s="163"/>
      <c r="E11" s="150"/>
      <c r="F11" s="150"/>
      <c r="G11" s="158"/>
      <c r="H11" s="164"/>
      <c r="I11" s="165"/>
      <c r="J11" s="165"/>
      <c r="K11" s="165"/>
      <c r="L11" s="166"/>
      <c r="M11" s="150"/>
    </row>
    <row r="12" spans="1:13" ht="18" customHeight="1" x14ac:dyDescent="0.3">
      <c r="A12" s="158"/>
      <c r="B12" s="150"/>
      <c r="C12" s="158"/>
      <c r="D12" s="276" t="str">
        <f ca="1">IFERROR(__xludf.DUMMYFUNCTION("SPARKLINE(D17,{""charttype"",""column"";""ymin"", 0; ""ymax"",MAX(D17:E17);""firstcolor"",""#334960""})"),"")</f>
        <v/>
      </c>
      <c r="E12" s="278" t="str">
        <f ca="1">IFERROR(__xludf.DUMMYFUNCTION("SPARKLINE(E17,{""charttype"",""column"";""ymin"", 0; ""ymax"",max(D17:E17);""firstcolor"",""#f46524""})"),"")</f>
        <v/>
      </c>
      <c r="F12" s="150"/>
      <c r="G12" s="150"/>
      <c r="H12" s="167"/>
      <c r="I12" s="168"/>
      <c r="J12" s="168"/>
      <c r="K12" s="168"/>
      <c r="L12" s="169"/>
      <c r="M12" s="158"/>
    </row>
    <row r="13" spans="1:13" ht="18" customHeight="1" x14ac:dyDescent="0.6">
      <c r="A13" s="158"/>
      <c r="B13" s="150"/>
      <c r="C13" s="150"/>
      <c r="D13" s="277"/>
      <c r="E13" s="266"/>
      <c r="F13" s="150"/>
      <c r="G13" s="150"/>
      <c r="H13" s="167"/>
      <c r="I13" s="279">
        <f>IFERROR(E17/D17-1, "")</f>
        <v>0</v>
      </c>
      <c r="J13" s="266"/>
      <c r="K13" s="266"/>
      <c r="L13" s="169"/>
      <c r="M13" s="170"/>
    </row>
    <row r="14" spans="1:13" ht="24" customHeight="1" x14ac:dyDescent="0.6">
      <c r="A14" s="150"/>
      <c r="B14" s="150"/>
      <c r="C14" s="150"/>
      <c r="D14" s="277"/>
      <c r="E14" s="266"/>
      <c r="F14" s="150"/>
      <c r="G14" s="150"/>
      <c r="H14" s="167"/>
      <c r="I14" s="280" t="str">
        <f>IF(I13 &lt; 0, "Decrease in total savings", "Increase in total savings")</f>
        <v>Increase in total savings</v>
      </c>
      <c r="J14" s="281"/>
      <c r="K14" s="281"/>
      <c r="L14" s="169"/>
      <c r="M14" s="170"/>
    </row>
    <row r="15" spans="1:13" ht="39.75" customHeight="1" x14ac:dyDescent="0.6">
      <c r="A15" s="150"/>
      <c r="B15" s="150"/>
      <c r="C15" s="150"/>
      <c r="D15" s="277"/>
      <c r="E15" s="266"/>
      <c r="F15" s="150"/>
      <c r="G15" s="150"/>
      <c r="H15" s="167"/>
      <c r="I15" s="279">
        <f>IFERROR(E17-D17, 0)</f>
        <v>0</v>
      </c>
      <c r="J15" s="266"/>
      <c r="K15" s="266"/>
      <c r="L15" s="169"/>
      <c r="M15" s="170"/>
    </row>
    <row r="16" spans="1:13" ht="18" customHeight="1" x14ac:dyDescent="0.35">
      <c r="A16" s="150"/>
      <c r="B16" s="162"/>
      <c r="C16" s="171"/>
      <c r="D16" s="172" t="s">
        <v>35</v>
      </c>
      <c r="E16" s="173" t="s">
        <v>36</v>
      </c>
      <c r="F16" s="171"/>
      <c r="G16" s="162"/>
      <c r="H16" s="167"/>
      <c r="I16" s="282" t="str">
        <f>IF(J15&lt;0, "Spent this month", "Saved this month")</f>
        <v>Saved this month</v>
      </c>
      <c r="J16" s="266"/>
      <c r="K16" s="266"/>
      <c r="L16" s="169"/>
      <c r="M16" s="174"/>
    </row>
    <row r="17" spans="1:13" ht="18" customHeight="1" x14ac:dyDescent="0.3">
      <c r="A17" s="158"/>
      <c r="B17" s="150"/>
      <c r="C17" s="158"/>
      <c r="D17" s="175">
        <f>IF(ISBLANK(L8),0,L8)</f>
        <v>3000000</v>
      </c>
      <c r="E17" s="176">
        <f>D17+(I22-C22)</f>
        <v>3000000</v>
      </c>
      <c r="F17" s="158"/>
      <c r="G17" s="150"/>
      <c r="H17" s="167"/>
      <c r="I17" s="283"/>
      <c r="J17" s="266"/>
      <c r="K17" s="266"/>
      <c r="L17" s="169"/>
      <c r="M17" s="158"/>
    </row>
    <row r="18" spans="1:13" ht="12" customHeight="1" x14ac:dyDescent="0.3">
      <c r="A18" s="158"/>
      <c r="B18" s="177"/>
      <c r="C18" s="177"/>
      <c r="D18" s="177"/>
      <c r="E18" s="157"/>
      <c r="F18" s="177"/>
      <c r="G18" s="158"/>
      <c r="H18" s="178"/>
      <c r="I18" s="179"/>
      <c r="J18" s="180"/>
      <c r="K18" s="179"/>
      <c r="L18" s="181"/>
      <c r="M18" s="158"/>
    </row>
    <row r="19" spans="1:13" ht="24" customHeight="1" x14ac:dyDescent="0.3">
      <c r="A19" s="158"/>
      <c r="B19" s="177"/>
      <c r="C19" s="177"/>
      <c r="D19" s="177"/>
      <c r="E19" s="177"/>
      <c r="F19" s="177"/>
      <c r="G19" s="158"/>
      <c r="H19" s="158"/>
      <c r="I19" s="158"/>
      <c r="J19" s="151"/>
      <c r="K19" s="158"/>
      <c r="L19" s="158"/>
      <c r="M19" s="158"/>
    </row>
    <row r="20" spans="1:13" ht="24" customHeight="1" x14ac:dyDescent="0.25">
      <c r="A20" s="182"/>
      <c r="B20" s="284" t="s">
        <v>10</v>
      </c>
      <c r="C20" s="266"/>
      <c r="D20" s="266"/>
      <c r="E20" s="266"/>
      <c r="F20" s="266"/>
      <c r="G20" s="182"/>
      <c r="H20" s="183" t="s">
        <v>9</v>
      </c>
      <c r="I20" s="183"/>
      <c r="J20" s="184"/>
      <c r="K20" s="182"/>
      <c r="L20" s="182"/>
      <c r="M20" s="182"/>
    </row>
    <row r="21" spans="1:13" ht="19.5" customHeight="1" x14ac:dyDescent="0.25">
      <c r="A21" s="185"/>
      <c r="B21" s="186" t="s">
        <v>37</v>
      </c>
      <c r="C21" s="187">
        <f>D26</f>
        <v>22450000</v>
      </c>
      <c r="D21" s="285" t="str">
        <f ca="1">IFERROR(__xludf.DUMMYFUNCTION("SPARKLINE(C21,{""charttype"",""bar"";""max"",max(C21:C22);""color1"",""#AEB7C0""})"),"")</f>
        <v/>
      </c>
      <c r="E21" s="266"/>
      <c r="F21" s="266"/>
      <c r="G21" s="185"/>
      <c r="H21" s="186" t="s">
        <v>37</v>
      </c>
      <c r="I21" s="187">
        <f>J26</f>
        <v>0</v>
      </c>
      <c r="J21" s="285" t="str">
        <f ca="1">IFERROR(__xludf.DUMMYFUNCTION("SPARKLINE(I21,{""charttype"",""bar"";""max"",max(I21:I22);""color1"",""#AEB7C0""})"),"")</f>
        <v/>
      </c>
      <c r="K21" s="266"/>
      <c r="L21" s="266"/>
      <c r="M21" s="185"/>
    </row>
    <row r="22" spans="1:13" ht="19.5" customHeight="1" x14ac:dyDescent="0.25">
      <c r="A22" s="188"/>
      <c r="B22" s="189" t="s">
        <v>38</v>
      </c>
      <c r="C22" s="190">
        <f>E26</f>
        <v>0</v>
      </c>
      <c r="D22" s="286" t="str">
        <f ca="1">IFERROR(__xludf.DUMMYFUNCTION("SPARKLINE(C22,{""charttype"",""bar"";""max"",max(C21:C22);""color1"",""#334960""})"),"")</f>
        <v/>
      </c>
      <c r="E22" s="266"/>
      <c r="F22" s="266"/>
      <c r="G22" s="177"/>
      <c r="H22" s="189" t="s">
        <v>38</v>
      </c>
      <c r="I22" s="190">
        <f>K26</f>
        <v>0</v>
      </c>
      <c r="J22" s="286" t="str">
        <f ca="1">IFERROR(__xludf.DUMMYFUNCTION("SPARKLINE(I22,{""charttype"",""bar"";""max"",max(I21:I22);""color1"",""#334960""})"),"")</f>
        <v/>
      </c>
      <c r="K22" s="266"/>
      <c r="L22" s="266"/>
      <c r="M22" s="188"/>
    </row>
    <row r="23" spans="1:13" ht="30" customHeight="1" x14ac:dyDescent="0.3">
      <c r="A23" s="150"/>
      <c r="B23" s="191"/>
      <c r="C23" s="192"/>
      <c r="D23" s="287"/>
      <c r="E23" s="266"/>
      <c r="F23" s="266"/>
      <c r="G23" s="150"/>
      <c r="H23" s="191"/>
      <c r="I23" s="192"/>
      <c r="J23" s="287"/>
      <c r="K23" s="266"/>
      <c r="L23" s="266"/>
      <c r="M23" s="188"/>
    </row>
    <row r="24" spans="1:13" ht="29.25" customHeight="1" x14ac:dyDescent="0.25">
      <c r="A24" s="193"/>
      <c r="B24" s="288" t="s">
        <v>10</v>
      </c>
      <c r="C24" s="266"/>
      <c r="D24" s="194"/>
      <c r="E24" s="194"/>
      <c r="F24" s="194"/>
      <c r="G24" s="195"/>
      <c r="H24" s="196" t="s">
        <v>9</v>
      </c>
      <c r="I24" s="197"/>
      <c r="J24" s="194"/>
      <c r="K24" s="194"/>
      <c r="L24" s="194"/>
      <c r="M24" s="193"/>
    </row>
    <row r="25" spans="1:13" ht="19.5" customHeight="1" x14ac:dyDescent="0.45">
      <c r="A25" s="198"/>
      <c r="B25" s="199"/>
      <c r="C25" s="200"/>
      <c r="D25" s="199" t="s">
        <v>37</v>
      </c>
      <c r="E25" s="199" t="s">
        <v>38</v>
      </c>
      <c r="F25" s="199" t="s">
        <v>39</v>
      </c>
      <c r="G25" s="201"/>
      <c r="H25" s="202"/>
      <c r="I25" s="203"/>
      <c r="J25" s="199" t="s">
        <v>37</v>
      </c>
      <c r="K25" s="199" t="s">
        <v>38</v>
      </c>
      <c r="L25" s="199" t="s">
        <v>39</v>
      </c>
      <c r="M25" s="198"/>
    </row>
    <row r="26" spans="1:13" ht="17.25" customHeight="1" x14ac:dyDescent="0.25">
      <c r="A26" s="204"/>
      <c r="B26" s="205" t="s">
        <v>40</v>
      </c>
      <c r="C26" s="205"/>
      <c r="D26" s="206">
        <f t="shared" ref="D26:F26" si="0">SUM(D27:D1044)</f>
        <v>22450000</v>
      </c>
      <c r="E26" s="206">
        <f t="shared" si="0"/>
        <v>0</v>
      </c>
      <c r="F26" s="206">
        <f t="shared" si="0"/>
        <v>22450000</v>
      </c>
      <c r="G26" s="207"/>
      <c r="H26" s="208" t="s">
        <v>40</v>
      </c>
      <c r="I26" s="206"/>
      <c r="J26" s="206">
        <f t="shared" ref="J26:L26" si="1">SUM(J27:J44)</f>
        <v>0</v>
      </c>
      <c r="K26" s="206">
        <f t="shared" si="1"/>
        <v>0</v>
      </c>
      <c r="L26" s="206">
        <f t="shared" si="1"/>
        <v>0</v>
      </c>
      <c r="M26" s="204"/>
    </row>
    <row r="27" spans="1:13" ht="18" hidden="1" customHeight="1" x14ac:dyDescent="0.25">
      <c r="A27" s="209"/>
      <c r="B27" s="289"/>
      <c r="C27" s="290"/>
      <c r="D27" s="210"/>
      <c r="E27" s="211" t="str">
        <f>IF(ISBLANK($B27), "", SUMIF('Trans Sept'!$E:$E,$B27,'Trans Sept'!$C:$C))</f>
        <v/>
      </c>
      <c r="F27" s="211" t="str">
        <f t="shared" ref="F27:F43" si="2">IF(ISBLANK($B27), "", D27-E27)</f>
        <v/>
      </c>
      <c r="G27" s="190"/>
      <c r="H27" s="291"/>
      <c r="I27" s="292"/>
      <c r="J27" s="212"/>
      <c r="K27" s="211" t="str">
        <f>IF(ISBLANK($H27), "", SUMIF('Trans Sept'!$J:$J,$H27,'Trans Sept'!$H:$H))</f>
        <v/>
      </c>
      <c r="L27" s="211" t="str">
        <f t="shared" ref="L27:L44" si="3">IF(ISBLANK($H27), "", K27-J27)</f>
        <v/>
      </c>
      <c r="M27" s="209"/>
    </row>
    <row r="28" spans="1:13" ht="18" customHeight="1" x14ac:dyDescent="0.25">
      <c r="A28" s="209"/>
      <c r="B28" s="267" t="s">
        <v>15</v>
      </c>
      <c r="C28" s="268"/>
      <c r="D28" s="213">
        <v>7000000</v>
      </c>
      <c r="E28" s="214">
        <f>IF(ISBLANK($B28), "", SUMIF('Trans Sept'!$E:$E,$B28,'Trans Sept'!$C:$C))</f>
        <v>0</v>
      </c>
      <c r="F28" s="214">
        <f t="shared" si="2"/>
        <v>7000000</v>
      </c>
      <c r="G28" s="215"/>
      <c r="H28" s="267" t="s">
        <v>41</v>
      </c>
      <c r="I28" s="268"/>
      <c r="J28" s="213"/>
      <c r="K28" s="211">
        <f>IF(ISBLANK($H28), "", SUMIF('Trans Sept'!$J:$J,$H28,'Trans Sept'!$H:$H))</f>
        <v>0</v>
      </c>
      <c r="L28" s="214">
        <f t="shared" si="3"/>
        <v>0</v>
      </c>
      <c r="M28" s="209"/>
    </row>
    <row r="29" spans="1:13" ht="18" customHeight="1" x14ac:dyDescent="0.25">
      <c r="A29" s="209"/>
      <c r="B29" s="267" t="s">
        <v>23</v>
      </c>
      <c r="C29" s="268"/>
      <c r="D29" s="213">
        <v>500000</v>
      </c>
      <c r="E29" s="214">
        <f>IF(ISBLANK($B29), "", SUMIF('Trans Sept'!$E:$E,$B29,'Trans Sept'!$C:$C))</f>
        <v>0</v>
      </c>
      <c r="F29" s="214">
        <f t="shared" si="2"/>
        <v>500000</v>
      </c>
      <c r="G29" s="217"/>
      <c r="H29" s="267" t="s">
        <v>42</v>
      </c>
      <c r="I29" s="268"/>
      <c r="J29" s="213"/>
      <c r="K29" s="211">
        <f>IF(ISBLANK($H29), "", SUMIF('Trans Sept'!$J:$J,$H29,'Trans Sept'!$H:$H))</f>
        <v>0</v>
      </c>
      <c r="L29" s="214">
        <f t="shared" si="3"/>
        <v>0</v>
      </c>
      <c r="M29" s="209"/>
    </row>
    <row r="30" spans="1:13" ht="18" customHeight="1" x14ac:dyDescent="0.25">
      <c r="A30" s="188"/>
      <c r="B30" s="267" t="s">
        <v>24</v>
      </c>
      <c r="C30" s="268"/>
      <c r="D30" s="213">
        <v>600000</v>
      </c>
      <c r="E30" s="214">
        <f>IF(ISBLANK($B30), "", SUMIF('Trans Sept'!$E:$E,$B30,'Trans Sept'!$C:$C))</f>
        <v>0</v>
      </c>
      <c r="F30" s="214">
        <f t="shared" si="2"/>
        <v>600000</v>
      </c>
      <c r="G30" s="217"/>
      <c r="H30" s="267" t="s">
        <v>43</v>
      </c>
      <c r="I30" s="268"/>
      <c r="J30" s="213"/>
      <c r="K30" s="211">
        <f>IF(ISBLANK($H30), "", SUMIF('Trans Sept'!$J:$J,$H30,'Trans Sept'!$H:$H))</f>
        <v>0</v>
      </c>
      <c r="L30" s="214">
        <f t="shared" si="3"/>
        <v>0</v>
      </c>
      <c r="M30" s="188"/>
    </row>
    <row r="31" spans="1:13" ht="18" customHeight="1" x14ac:dyDescent="0.25">
      <c r="A31" s="188"/>
      <c r="B31" s="267" t="s">
        <v>44</v>
      </c>
      <c r="C31" s="268"/>
      <c r="D31" s="213">
        <v>5000000</v>
      </c>
      <c r="E31" s="214">
        <f>IF(ISBLANK($B31), "", SUMIF('Trans Sept'!$E:$E,$B31,'Trans Sept'!$C:$C))</f>
        <v>0</v>
      </c>
      <c r="F31" s="214">
        <f t="shared" si="2"/>
        <v>5000000</v>
      </c>
      <c r="G31" s="217"/>
      <c r="H31" s="267" t="s">
        <v>45</v>
      </c>
      <c r="I31" s="268"/>
      <c r="J31" s="213"/>
      <c r="K31" s="211">
        <f>IF(ISBLANK($H31), "", SUMIF('Trans Sept'!$J:$J,$H31,'Trans Sept'!$H:$H))</f>
        <v>0</v>
      </c>
      <c r="L31" s="214">
        <f t="shared" si="3"/>
        <v>0</v>
      </c>
      <c r="M31" s="188"/>
    </row>
    <row r="32" spans="1:13" ht="18" customHeight="1" x14ac:dyDescent="0.25">
      <c r="A32" s="188"/>
      <c r="B32" s="267" t="s">
        <v>46</v>
      </c>
      <c r="C32" s="268"/>
      <c r="D32" s="213">
        <v>4000000</v>
      </c>
      <c r="E32" s="214">
        <f>IF(ISBLANK($B32), "", SUMIF('Trans Sept'!$E:$E,$B32,'Trans Sept'!$C:$C))</f>
        <v>0</v>
      </c>
      <c r="F32" s="214">
        <f t="shared" si="2"/>
        <v>4000000</v>
      </c>
      <c r="G32" s="216"/>
      <c r="H32" s="267" t="s">
        <v>47</v>
      </c>
      <c r="I32" s="268"/>
      <c r="J32" s="213"/>
      <c r="K32" s="211">
        <f>IF(ISBLANK($H32), "", SUMIF('Trans Sept'!$J:$J,$H32,'Trans Sept'!$H:$H))</f>
        <v>0</v>
      </c>
      <c r="L32" s="214">
        <f t="shared" si="3"/>
        <v>0</v>
      </c>
      <c r="M32" s="188"/>
    </row>
    <row r="33" spans="1:13" ht="18" customHeight="1" x14ac:dyDescent="0.25">
      <c r="A33" s="188"/>
      <c r="B33" s="267" t="s">
        <v>48</v>
      </c>
      <c r="C33" s="268"/>
      <c r="D33" s="213">
        <v>1500000</v>
      </c>
      <c r="E33" s="214">
        <f>IF(ISBLANK($B33), "", SUMIF('Trans Sept'!$E:$E,$B33,'Trans Sept'!$C:$C))</f>
        <v>0</v>
      </c>
      <c r="F33" s="214">
        <f t="shared" si="2"/>
        <v>1500000</v>
      </c>
      <c r="G33" s="217"/>
      <c r="H33" s="267" t="s">
        <v>49</v>
      </c>
      <c r="I33" s="268"/>
      <c r="J33" s="218"/>
      <c r="K33" s="211">
        <f>IF(ISBLANK($H33), "", SUMIF('Trans Sept'!$J:$J,$H33,'Trans Sept'!$H:$H))</f>
        <v>0</v>
      </c>
      <c r="L33" s="214">
        <f t="shared" si="3"/>
        <v>0</v>
      </c>
      <c r="M33" s="188"/>
    </row>
    <row r="34" spans="1:13" ht="18" customHeight="1" x14ac:dyDescent="0.25">
      <c r="A34" s="188"/>
      <c r="B34" s="267" t="s">
        <v>50</v>
      </c>
      <c r="C34" s="268"/>
      <c r="D34" s="213">
        <v>500000</v>
      </c>
      <c r="E34" s="214">
        <f>IF(ISBLANK($B34), "", SUMIF('Trans Sept'!$E:$E,$B34,'Trans Sept'!$C:$C))</f>
        <v>0</v>
      </c>
      <c r="F34" s="214">
        <f t="shared" si="2"/>
        <v>500000</v>
      </c>
      <c r="G34" s="217"/>
      <c r="H34" s="267" t="s">
        <v>51</v>
      </c>
      <c r="I34" s="268"/>
      <c r="J34" s="218"/>
      <c r="K34" s="211">
        <f>IF(ISBLANK($H34), "", SUMIF('Trans Sept'!$J:$J,$H34,'Trans Sept'!$H:$H))</f>
        <v>0</v>
      </c>
      <c r="L34" s="214">
        <f t="shared" si="3"/>
        <v>0</v>
      </c>
      <c r="M34" s="188"/>
    </row>
    <row r="35" spans="1:13" ht="18" customHeight="1" x14ac:dyDescent="0.3">
      <c r="A35" s="188"/>
      <c r="B35" s="267" t="s">
        <v>52</v>
      </c>
      <c r="C35" s="268"/>
      <c r="D35" s="213">
        <v>500000</v>
      </c>
      <c r="E35" s="214">
        <f>IF(ISBLANK($B35), "", SUMIF('Trans Sept'!$E:$E,$B35,'Trans Sept'!$C:$C))</f>
        <v>0</v>
      </c>
      <c r="F35" s="214">
        <f t="shared" si="2"/>
        <v>500000</v>
      </c>
      <c r="G35" s="217"/>
      <c r="H35" s="293"/>
      <c r="I35" s="268"/>
      <c r="J35" s="219"/>
      <c r="K35" s="211" t="str">
        <f>IF(ISBLANK($H35), "", SUMIF('Trans Sept'!$J:$J,$H35,'Trans Sept'!$H:$H))</f>
        <v/>
      </c>
      <c r="L35" s="214" t="str">
        <f t="shared" si="3"/>
        <v/>
      </c>
      <c r="M35" s="188"/>
    </row>
    <row r="36" spans="1:13" ht="18" customHeight="1" x14ac:dyDescent="0.3">
      <c r="A36" s="188"/>
      <c r="B36" s="267" t="s">
        <v>53</v>
      </c>
      <c r="C36" s="268"/>
      <c r="D36" s="213">
        <v>500000</v>
      </c>
      <c r="E36" s="214">
        <f>IF(ISBLANK($B36), "", SUMIF('Trans Sept'!$E:$E,$B36,'Trans Sept'!$C:$C))</f>
        <v>0</v>
      </c>
      <c r="F36" s="214">
        <f t="shared" si="2"/>
        <v>500000</v>
      </c>
      <c r="G36" s="216"/>
      <c r="H36" s="293"/>
      <c r="I36" s="268"/>
      <c r="J36" s="219"/>
      <c r="K36" s="211" t="str">
        <f>IF(ISBLANK($H36), "", SUMIF('Trans Sept'!$J:$J,$H36,'Trans Sept'!$H:$H))</f>
        <v/>
      </c>
      <c r="L36" s="214" t="str">
        <f t="shared" si="3"/>
        <v/>
      </c>
      <c r="M36" s="188"/>
    </row>
    <row r="37" spans="1:13" ht="18" customHeight="1" x14ac:dyDescent="0.3">
      <c r="A37" s="188"/>
      <c r="B37" s="267" t="s">
        <v>54</v>
      </c>
      <c r="C37" s="268"/>
      <c r="D37" s="213">
        <v>500000</v>
      </c>
      <c r="E37" s="214">
        <f>IF(ISBLANK($B37), "", SUMIF('Trans Sept'!$E:$E,$B37,'Trans Sept'!$C:$C))</f>
        <v>0</v>
      </c>
      <c r="F37" s="214">
        <f t="shared" si="2"/>
        <v>500000</v>
      </c>
      <c r="G37" s="217"/>
      <c r="H37" s="293"/>
      <c r="I37" s="268"/>
      <c r="J37" s="219"/>
      <c r="K37" s="211" t="str">
        <f>IF(ISBLANK($H37), "", SUMIF('Trans Sept'!$J:$J,$H37,'Trans Sept'!$H:$H))</f>
        <v/>
      </c>
      <c r="L37" s="214" t="str">
        <f t="shared" si="3"/>
        <v/>
      </c>
      <c r="M37" s="188"/>
    </row>
    <row r="38" spans="1:13" ht="18" customHeight="1" x14ac:dyDescent="0.3">
      <c r="A38" s="188"/>
      <c r="B38" s="267" t="s">
        <v>55</v>
      </c>
      <c r="C38" s="268"/>
      <c r="D38" s="213">
        <v>200000</v>
      </c>
      <c r="E38" s="214">
        <f>IF(ISBLANK($B38), "", SUMIF('Trans Sept'!$E:$E,$B38,'Trans Sept'!$C:$C))</f>
        <v>0</v>
      </c>
      <c r="F38" s="214">
        <f t="shared" si="2"/>
        <v>200000</v>
      </c>
      <c r="G38" s="217"/>
      <c r="H38" s="293"/>
      <c r="I38" s="268"/>
      <c r="J38" s="219"/>
      <c r="K38" s="211" t="str">
        <f>IF(ISBLANK($H38), "", SUMIF('Trans Sept'!$J:$J,$H38,'Trans Sept'!$H:$H))</f>
        <v/>
      </c>
      <c r="L38" s="214" t="str">
        <f t="shared" si="3"/>
        <v/>
      </c>
      <c r="M38" s="188"/>
    </row>
    <row r="39" spans="1:13" ht="18" customHeight="1" x14ac:dyDescent="0.3">
      <c r="A39" s="188"/>
      <c r="B39" s="267" t="s">
        <v>56</v>
      </c>
      <c r="C39" s="268"/>
      <c r="D39" s="213">
        <v>150000</v>
      </c>
      <c r="E39" s="214">
        <f>IF(ISBLANK($B39), "", SUMIF('Trans Sept'!$E:$E,$B39,'Trans Sept'!$C:$C))</f>
        <v>0</v>
      </c>
      <c r="F39" s="214">
        <f t="shared" si="2"/>
        <v>150000</v>
      </c>
      <c r="G39" s="216"/>
      <c r="H39" s="293"/>
      <c r="I39" s="268"/>
      <c r="J39" s="219"/>
      <c r="K39" s="211" t="str">
        <f>IF(ISBLANK($H39), "", SUMIF('Trans Sept'!$J:$J,$H39,'Trans Sept'!$H:$H))</f>
        <v/>
      </c>
      <c r="L39" s="214" t="str">
        <f t="shared" si="3"/>
        <v/>
      </c>
      <c r="M39" s="188"/>
    </row>
    <row r="40" spans="1:13" ht="18" customHeight="1" x14ac:dyDescent="0.3">
      <c r="A40" s="188"/>
      <c r="B40" s="267" t="s">
        <v>57</v>
      </c>
      <c r="C40" s="268"/>
      <c r="D40" s="213">
        <v>1500000</v>
      </c>
      <c r="E40" s="214">
        <f>IF(ISBLANK($B40), "", SUMIF('Trans Sept'!$E:$E,$B40,'Trans Sept'!$C:$C))</f>
        <v>0</v>
      </c>
      <c r="F40" s="214">
        <f t="shared" si="2"/>
        <v>1500000</v>
      </c>
      <c r="G40" s="249"/>
      <c r="H40" s="293"/>
      <c r="I40" s="268"/>
      <c r="J40" s="219"/>
      <c r="K40" s="211" t="str">
        <f>IF(ISBLANK($H40), "", SUMIF('Trans Sept'!$J:$J,$H40,'Trans Sept'!$H:$H))</f>
        <v/>
      </c>
      <c r="L40" s="214" t="str">
        <f t="shared" si="3"/>
        <v/>
      </c>
      <c r="M40" s="188"/>
    </row>
    <row r="41" spans="1:13" ht="18" customHeight="1" x14ac:dyDescent="0.3">
      <c r="A41" s="188"/>
      <c r="B41" s="267" t="s">
        <v>58</v>
      </c>
      <c r="C41" s="268"/>
      <c r="D41" s="220">
        <v>0</v>
      </c>
      <c r="E41" s="214">
        <f>IF(ISBLANK($B41), "", SUMIF('Trans Sept'!$E:$E,$B41,'Trans Sept'!$C:$C))</f>
        <v>0</v>
      </c>
      <c r="F41" s="214">
        <f t="shared" si="2"/>
        <v>0</v>
      </c>
      <c r="G41" s="217"/>
      <c r="H41" s="293"/>
      <c r="I41" s="268"/>
      <c r="J41" s="219"/>
      <c r="K41" s="211" t="str">
        <f>IF(ISBLANK($H41), "", SUMIF('Trans Sept'!$J:$J,$H41,'Trans Sept'!$H:$H))</f>
        <v/>
      </c>
      <c r="L41" s="214" t="str">
        <f t="shared" si="3"/>
        <v/>
      </c>
      <c r="M41" s="188"/>
    </row>
    <row r="42" spans="1:13" ht="19.5" customHeight="1" x14ac:dyDescent="0.3">
      <c r="A42" s="188"/>
      <c r="B42" s="267" t="s">
        <v>59</v>
      </c>
      <c r="C42" s="268"/>
      <c r="D42" s="213">
        <v>0</v>
      </c>
      <c r="E42" s="214">
        <f>IF(ISBLANK($B42), "", SUMIF('Trans Sept'!$E:$E,$B42,'Trans Sept'!$C:$C))</f>
        <v>0</v>
      </c>
      <c r="F42" s="214">
        <f t="shared" si="2"/>
        <v>0</v>
      </c>
      <c r="G42" s="216"/>
      <c r="H42" s="293"/>
      <c r="I42" s="268"/>
      <c r="J42" s="219"/>
      <c r="K42" s="211" t="str">
        <f>IF(ISBLANK($H42), "", SUMIF('Trans Sept'!$J:$J,$H42,'Trans Sept'!$H:$H))</f>
        <v/>
      </c>
      <c r="L42" s="214" t="str">
        <f t="shared" si="3"/>
        <v/>
      </c>
      <c r="M42" s="188"/>
    </row>
    <row r="43" spans="1:13" ht="18" customHeight="1" x14ac:dyDescent="0.3">
      <c r="A43" s="188"/>
      <c r="B43" s="267"/>
      <c r="C43" s="268"/>
      <c r="D43" s="220"/>
      <c r="E43" s="211"/>
      <c r="F43" s="214" t="str">
        <f t="shared" si="2"/>
        <v/>
      </c>
      <c r="G43" s="216"/>
      <c r="H43" s="267"/>
      <c r="I43" s="268"/>
      <c r="J43" s="218"/>
      <c r="K43" s="211" t="str">
        <f>IF(ISBLANK($H43), "", SUMIF('Trans Sept'!$J:$J,$H43,'Trans Sept'!$H:$H))</f>
        <v/>
      </c>
      <c r="L43" s="214" t="str">
        <f t="shared" si="3"/>
        <v/>
      </c>
      <c r="M43" s="188"/>
    </row>
    <row r="44" spans="1:13" ht="18" customHeight="1" x14ac:dyDescent="0.25">
      <c r="A44" s="188"/>
      <c r="B44" s="267"/>
      <c r="C44" s="268"/>
      <c r="D44" s="218"/>
      <c r="E44" s="211"/>
      <c r="F44" s="214"/>
      <c r="G44" s="216"/>
      <c r="H44" s="267"/>
      <c r="I44" s="268"/>
      <c r="J44" s="218"/>
      <c r="K44" s="211" t="str">
        <f>IF(ISBLANK($H44), "", SUMIF('Trans Sept'!$J:$J,$H44,'Trans Sept'!$H:$H))</f>
        <v/>
      </c>
      <c r="L44" s="214" t="str">
        <f t="shared" si="3"/>
        <v/>
      </c>
      <c r="M44" s="188"/>
    </row>
    <row r="45" spans="1:13" ht="18" customHeight="1" x14ac:dyDescent="0.25">
      <c r="A45" s="188"/>
      <c r="B45" s="221"/>
      <c r="C45" s="221"/>
      <c r="D45" s="252"/>
      <c r="E45" s="211"/>
      <c r="F45" s="214"/>
      <c r="G45" s="216"/>
      <c r="H45" s="221"/>
      <c r="I45" s="221"/>
      <c r="J45" s="222"/>
      <c r="K45" s="211"/>
      <c r="L45" s="214"/>
      <c r="M45" s="188"/>
    </row>
    <row r="46" spans="1:13" ht="18" customHeight="1" x14ac:dyDescent="0.25">
      <c r="A46" s="188"/>
      <c r="B46" s="221"/>
      <c r="C46" s="221"/>
      <c r="D46" s="252"/>
      <c r="E46" s="211"/>
      <c r="F46" s="214"/>
      <c r="G46" s="216"/>
      <c r="H46" s="221"/>
      <c r="I46" s="221"/>
      <c r="J46" s="222"/>
      <c r="K46" s="211"/>
      <c r="L46" s="214"/>
      <c r="M46" s="188"/>
    </row>
    <row r="47" spans="1:13" ht="18" customHeight="1" x14ac:dyDescent="0.25">
      <c r="A47" s="188"/>
      <c r="B47" s="221"/>
      <c r="C47" s="221"/>
      <c r="D47" s="252"/>
      <c r="E47" s="211"/>
      <c r="F47" s="214"/>
      <c r="G47" s="216"/>
      <c r="H47" s="221"/>
      <c r="I47" s="221"/>
      <c r="J47" s="222"/>
      <c r="K47" s="211"/>
      <c r="L47" s="214"/>
      <c r="M47" s="188"/>
    </row>
    <row r="48" spans="1:13" ht="18" customHeight="1" x14ac:dyDescent="0.25">
      <c r="A48" s="188"/>
      <c r="B48" s="221"/>
      <c r="C48" s="221"/>
      <c r="D48" s="222"/>
      <c r="E48" s="211"/>
      <c r="F48" s="214"/>
      <c r="G48" s="216"/>
      <c r="H48" s="221"/>
      <c r="I48" s="221"/>
      <c r="J48" s="222"/>
      <c r="K48" s="211"/>
      <c r="L48" s="214"/>
      <c r="M48" s="188"/>
    </row>
    <row r="49" spans="1:13" ht="18" customHeight="1" x14ac:dyDescent="0.25">
      <c r="A49" s="188"/>
      <c r="B49" s="221"/>
      <c r="C49" s="221"/>
      <c r="D49" s="222"/>
      <c r="E49" s="211"/>
      <c r="F49" s="214"/>
      <c r="G49" s="216"/>
      <c r="H49" s="221"/>
      <c r="I49" s="221"/>
      <c r="J49" s="222"/>
      <c r="K49" s="211"/>
      <c r="L49" s="214"/>
      <c r="M49" s="188"/>
    </row>
    <row r="50" spans="1:13" ht="18" customHeight="1" x14ac:dyDescent="0.25">
      <c r="A50" s="188"/>
      <c r="B50" s="221"/>
      <c r="C50" s="221"/>
      <c r="D50" s="222"/>
      <c r="E50" s="211"/>
      <c r="F50" s="214"/>
      <c r="G50" s="216"/>
      <c r="H50" s="221"/>
      <c r="I50" s="221"/>
      <c r="J50" s="222"/>
      <c r="K50" s="211"/>
      <c r="L50" s="214"/>
      <c r="M50" s="188"/>
    </row>
    <row r="51" spans="1:13" ht="18" customHeight="1" x14ac:dyDescent="0.25">
      <c r="A51" s="188"/>
      <c r="B51" s="221"/>
      <c r="C51" s="221"/>
      <c r="D51" s="222"/>
      <c r="E51" s="211"/>
      <c r="F51" s="214"/>
      <c r="G51" s="216"/>
      <c r="H51" s="221"/>
      <c r="I51" s="221"/>
      <c r="J51" s="222"/>
      <c r="K51" s="211"/>
      <c r="L51" s="214"/>
      <c r="M51" s="188"/>
    </row>
    <row r="52" spans="1:13" ht="18" customHeight="1" x14ac:dyDescent="0.25">
      <c r="A52" s="188"/>
      <c r="B52" s="221"/>
      <c r="C52" s="221"/>
      <c r="D52" s="222"/>
      <c r="E52" s="211"/>
      <c r="F52" s="214"/>
      <c r="G52" s="216"/>
      <c r="H52" s="221"/>
      <c r="I52" s="221"/>
      <c r="J52" s="222"/>
      <c r="K52" s="211"/>
      <c r="L52" s="214"/>
      <c r="M52" s="188"/>
    </row>
    <row r="53" spans="1:13" ht="18" customHeight="1" x14ac:dyDescent="0.25">
      <c r="A53" s="188"/>
      <c r="B53" s="221"/>
      <c r="C53" s="221"/>
      <c r="D53" s="222"/>
      <c r="E53" s="211"/>
      <c r="F53" s="214"/>
      <c r="G53" s="216"/>
      <c r="H53" s="221"/>
      <c r="I53" s="221"/>
      <c r="J53" s="222"/>
      <c r="K53" s="211"/>
      <c r="L53" s="214"/>
      <c r="M53" s="188"/>
    </row>
    <row r="54" spans="1:13" ht="18" customHeight="1" x14ac:dyDescent="0.25">
      <c r="A54" s="188"/>
      <c r="B54" s="221"/>
      <c r="C54" s="221"/>
      <c r="D54" s="222"/>
      <c r="E54" s="211"/>
      <c r="F54" s="214"/>
      <c r="G54" s="216"/>
      <c r="H54" s="221"/>
      <c r="I54" s="221"/>
      <c r="J54" s="222"/>
      <c r="K54" s="211"/>
      <c r="L54" s="214"/>
      <c r="M54" s="188"/>
    </row>
    <row r="55" spans="1:13" ht="18" customHeight="1" x14ac:dyDescent="0.25">
      <c r="A55" s="188"/>
      <c r="B55" s="221"/>
      <c r="C55" s="221"/>
      <c r="D55" s="222"/>
      <c r="E55" s="211"/>
      <c r="F55" s="214"/>
      <c r="G55" s="216"/>
      <c r="H55" s="221"/>
      <c r="I55" s="221"/>
      <c r="J55" s="222"/>
      <c r="K55" s="211"/>
      <c r="L55" s="214"/>
      <c r="M55" s="188"/>
    </row>
    <row r="56" spans="1:13" ht="18" customHeight="1" x14ac:dyDescent="0.25">
      <c r="A56" s="188"/>
      <c r="B56" s="221"/>
      <c r="C56" s="221"/>
      <c r="D56" s="222"/>
      <c r="E56" s="211"/>
      <c r="F56" s="214"/>
      <c r="G56" s="216"/>
      <c r="H56" s="221"/>
      <c r="I56" s="221"/>
      <c r="J56" s="222"/>
      <c r="K56" s="211"/>
      <c r="L56" s="214"/>
      <c r="M56" s="188"/>
    </row>
    <row r="57" spans="1:13" ht="18" customHeight="1" x14ac:dyDescent="0.25">
      <c r="A57" s="188"/>
      <c r="B57" s="221"/>
      <c r="C57" s="221"/>
      <c r="D57" s="222"/>
      <c r="E57" s="211"/>
      <c r="F57" s="214"/>
      <c r="G57" s="216"/>
      <c r="H57" s="221"/>
      <c r="I57" s="221"/>
      <c r="J57" s="222"/>
      <c r="K57" s="211"/>
      <c r="L57" s="214"/>
      <c r="M57" s="188"/>
    </row>
    <row r="58" spans="1:13" ht="18" customHeight="1" x14ac:dyDescent="0.25">
      <c r="A58" s="188"/>
      <c r="B58" s="221"/>
      <c r="C58" s="221"/>
      <c r="D58" s="222"/>
      <c r="E58" s="211"/>
      <c r="F58" s="214"/>
      <c r="G58" s="216"/>
      <c r="H58" s="221"/>
      <c r="I58" s="221"/>
      <c r="J58" s="222"/>
      <c r="K58" s="211"/>
      <c r="L58" s="214"/>
      <c r="M58" s="188"/>
    </row>
    <row r="59" spans="1:13" ht="18" customHeight="1" x14ac:dyDescent="0.25">
      <c r="A59" s="188"/>
      <c r="B59" s="221"/>
      <c r="C59" s="221"/>
      <c r="D59" s="222"/>
      <c r="E59" s="211"/>
      <c r="F59" s="214"/>
      <c r="G59" s="216"/>
      <c r="H59" s="221"/>
      <c r="I59" s="221"/>
      <c r="J59" s="222"/>
      <c r="K59" s="211"/>
      <c r="L59" s="214"/>
      <c r="M59" s="188"/>
    </row>
    <row r="60" spans="1:13" ht="18" customHeight="1" x14ac:dyDescent="0.25">
      <c r="A60" s="188"/>
      <c r="B60" s="221"/>
      <c r="C60" s="221"/>
      <c r="D60" s="222"/>
      <c r="E60" s="211"/>
      <c r="F60" s="214"/>
      <c r="G60" s="216"/>
      <c r="H60" s="221"/>
      <c r="I60" s="221"/>
      <c r="J60" s="222"/>
      <c r="K60" s="211"/>
      <c r="L60" s="214"/>
      <c r="M60" s="188"/>
    </row>
    <row r="61" spans="1:13" ht="18" customHeight="1" x14ac:dyDescent="0.25">
      <c r="A61" s="188"/>
      <c r="B61" s="221"/>
      <c r="C61" s="221"/>
      <c r="D61" s="222"/>
      <c r="E61" s="211"/>
      <c r="F61" s="214"/>
      <c r="G61" s="216"/>
      <c r="H61" s="221"/>
      <c r="I61" s="221"/>
      <c r="J61" s="222"/>
      <c r="K61" s="211"/>
      <c r="L61" s="214"/>
      <c r="M61" s="188"/>
    </row>
    <row r="62" spans="1:13" ht="18" customHeight="1" x14ac:dyDescent="0.25">
      <c r="A62" s="188"/>
      <c r="B62" s="221"/>
      <c r="C62" s="221"/>
      <c r="D62" s="222"/>
      <c r="E62" s="211"/>
      <c r="F62" s="214"/>
      <c r="G62" s="216"/>
      <c r="H62" s="221"/>
      <c r="I62" s="221"/>
      <c r="J62" s="222"/>
      <c r="K62" s="211"/>
      <c r="L62" s="214"/>
      <c r="M62" s="188"/>
    </row>
    <row r="63" spans="1:13" ht="18" customHeight="1" x14ac:dyDescent="0.25">
      <c r="A63" s="188"/>
      <c r="B63" s="221"/>
      <c r="C63" s="221"/>
      <c r="D63" s="222"/>
      <c r="E63" s="211"/>
      <c r="F63" s="214"/>
      <c r="G63" s="216"/>
      <c r="H63" s="221"/>
      <c r="I63" s="221"/>
      <c r="J63" s="222"/>
      <c r="K63" s="211"/>
      <c r="L63" s="214"/>
      <c r="M63" s="188"/>
    </row>
    <row r="64" spans="1:13" ht="18" customHeight="1" x14ac:dyDescent="0.25">
      <c r="A64" s="188"/>
      <c r="B64" s="221"/>
      <c r="C64" s="221"/>
      <c r="D64" s="222"/>
      <c r="E64" s="211"/>
      <c r="F64" s="214"/>
      <c r="G64" s="216"/>
      <c r="H64" s="221"/>
      <c r="I64" s="221"/>
      <c r="J64" s="222"/>
      <c r="K64" s="211"/>
      <c r="L64" s="214"/>
      <c r="M64" s="188"/>
    </row>
    <row r="65" spans="1:13" ht="18" customHeight="1" x14ac:dyDescent="0.25">
      <c r="A65" s="188"/>
      <c r="B65" s="221"/>
      <c r="C65" s="221"/>
      <c r="D65" s="222"/>
      <c r="E65" s="211"/>
      <c r="F65" s="214"/>
      <c r="G65" s="216"/>
      <c r="H65" s="221"/>
      <c r="I65" s="221"/>
      <c r="J65" s="222"/>
      <c r="K65" s="211"/>
      <c r="L65" s="214"/>
      <c r="M65" s="188"/>
    </row>
    <row r="66" spans="1:13" ht="18" customHeight="1" x14ac:dyDescent="0.25">
      <c r="A66" s="188"/>
      <c r="B66" s="221"/>
      <c r="C66" s="221"/>
      <c r="D66" s="222"/>
      <c r="E66" s="211"/>
      <c r="F66" s="214"/>
      <c r="G66" s="216"/>
      <c r="H66" s="221"/>
      <c r="I66" s="221"/>
      <c r="J66" s="222"/>
      <c r="K66" s="211"/>
      <c r="L66" s="214"/>
      <c r="M66" s="188"/>
    </row>
    <row r="67" spans="1:13" ht="18" customHeight="1" x14ac:dyDescent="0.25">
      <c r="A67" s="188"/>
      <c r="B67" s="221"/>
      <c r="C67" s="221"/>
      <c r="D67" s="222"/>
      <c r="E67" s="211"/>
      <c r="F67" s="214"/>
      <c r="G67" s="216"/>
      <c r="H67" s="221"/>
      <c r="I67" s="221"/>
      <c r="J67" s="222"/>
      <c r="K67" s="211"/>
      <c r="L67" s="214"/>
      <c r="M67" s="188"/>
    </row>
    <row r="68" spans="1:13" ht="18" customHeight="1" x14ac:dyDescent="0.25">
      <c r="A68" s="188"/>
      <c r="B68" s="221"/>
      <c r="C68" s="221"/>
      <c r="D68" s="222"/>
      <c r="E68" s="211"/>
      <c r="F68" s="214"/>
      <c r="G68" s="216"/>
      <c r="H68" s="221"/>
      <c r="I68" s="221"/>
      <c r="J68" s="222"/>
      <c r="K68" s="211"/>
      <c r="L68" s="214"/>
      <c r="M68" s="188"/>
    </row>
    <row r="69" spans="1:13" ht="18" customHeight="1" x14ac:dyDescent="0.25">
      <c r="A69" s="188"/>
      <c r="B69" s="221"/>
      <c r="C69" s="221"/>
      <c r="D69" s="222"/>
      <c r="E69" s="211"/>
      <c r="F69" s="214"/>
      <c r="G69" s="216"/>
      <c r="H69" s="221"/>
      <c r="I69" s="221"/>
      <c r="J69" s="222"/>
      <c r="K69" s="211"/>
      <c r="L69" s="214"/>
      <c r="M69" s="188"/>
    </row>
    <row r="70" spans="1:13" ht="18" customHeight="1" x14ac:dyDescent="0.25">
      <c r="A70" s="188"/>
      <c r="B70" s="221"/>
      <c r="C70" s="221"/>
      <c r="D70" s="222"/>
      <c r="E70" s="211"/>
      <c r="F70" s="214"/>
      <c r="G70" s="216"/>
      <c r="H70" s="221"/>
      <c r="I70" s="221"/>
      <c r="J70" s="222"/>
      <c r="K70" s="211"/>
      <c r="L70" s="214"/>
      <c r="M70" s="188"/>
    </row>
    <row r="71" spans="1:13" ht="18" customHeight="1" x14ac:dyDescent="0.25">
      <c r="A71" s="188"/>
      <c r="B71" s="221"/>
      <c r="C71" s="221"/>
      <c r="D71" s="222"/>
      <c r="E71" s="211"/>
      <c r="F71" s="214"/>
      <c r="G71" s="216"/>
      <c r="H71" s="221"/>
      <c r="I71" s="221"/>
      <c r="J71" s="222"/>
      <c r="K71" s="211"/>
      <c r="L71" s="214"/>
      <c r="M71" s="188"/>
    </row>
    <row r="72" spans="1:13" ht="18" customHeight="1" x14ac:dyDescent="0.25">
      <c r="A72" s="188"/>
      <c r="B72" s="221"/>
      <c r="C72" s="221"/>
      <c r="D72" s="222"/>
      <c r="E72" s="211"/>
      <c r="F72" s="214"/>
      <c r="G72" s="216"/>
      <c r="H72" s="221"/>
      <c r="I72" s="221"/>
      <c r="J72" s="222"/>
      <c r="K72" s="211"/>
      <c r="L72" s="214"/>
      <c r="M72" s="188"/>
    </row>
    <row r="73" spans="1:13" ht="18" customHeight="1" x14ac:dyDescent="0.25">
      <c r="A73" s="188"/>
      <c r="B73" s="221"/>
      <c r="C73" s="221"/>
      <c r="D73" s="222"/>
      <c r="E73" s="211"/>
      <c r="F73" s="214"/>
      <c r="G73" s="216"/>
      <c r="H73" s="221"/>
      <c r="I73" s="221"/>
      <c r="J73" s="222"/>
      <c r="K73" s="211"/>
      <c r="L73" s="214"/>
      <c r="M73" s="188"/>
    </row>
    <row r="74" spans="1:13" ht="18" customHeight="1" x14ac:dyDescent="0.25">
      <c r="A74" s="188"/>
      <c r="B74" s="221"/>
      <c r="C74" s="221"/>
      <c r="D74" s="222"/>
      <c r="E74" s="211"/>
      <c r="F74" s="214"/>
      <c r="G74" s="216"/>
      <c r="H74" s="221"/>
      <c r="I74" s="221"/>
      <c r="J74" s="222"/>
      <c r="K74" s="211"/>
      <c r="L74" s="214"/>
      <c r="M74" s="188"/>
    </row>
    <row r="75" spans="1:13" ht="18" customHeight="1" x14ac:dyDescent="0.25">
      <c r="A75" s="188"/>
      <c r="B75" s="221"/>
      <c r="C75" s="221"/>
      <c r="D75" s="222"/>
      <c r="E75" s="211"/>
      <c r="F75" s="214"/>
      <c r="G75" s="216"/>
      <c r="H75" s="221"/>
      <c r="I75" s="221"/>
      <c r="J75" s="222"/>
      <c r="K75" s="211"/>
      <c r="L75" s="214"/>
      <c r="M75" s="188"/>
    </row>
    <row r="76" spans="1:13" ht="18" customHeight="1" x14ac:dyDescent="0.25">
      <c r="A76" s="188"/>
      <c r="B76" s="221"/>
      <c r="C76" s="221"/>
      <c r="D76" s="222"/>
      <c r="E76" s="211"/>
      <c r="F76" s="214"/>
      <c r="G76" s="216"/>
      <c r="H76" s="221"/>
      <c r="I76" s="221"/>
      <c r="J76" s="222"/>
      <c r="K76" s="211"/>
      <c r="L76" s="214"/>
      <c r="M76" s="188"/>
    </row>
    <row r="77" spans="1:13" ht="18" customHeight="1" x14ac:dyDescent="0.25">
      <c r="A77" s="188"/>
      <c r="B77" s="221"/>
      <c r="C77" s="221"/>
      <c r="D77" s="222"/>
      <c r="E77" s="211"/>
      <c r="F77" s="214"/>
      <c r="G77" s="216"/>
      <c r="H77" s="221"/>
      <c r="I77" s="221"/>
      <c r="J77" s="222"/>
      <c r="K77" s="211"/>
      <c r="L77" s="214"/>
      <c r="M77" s="188"/>
    </row>
    <row r="78" spans="1:13" ht="18" customHeight="1" x14ac:dyDescent="0.25">
      <c r="A78" s="188"/>
      <c r="B78" s="221"/>
      <c r="C78" s="221"/>
      <c r="D78" s="222"/>
      <c r="E78" s="211"/>
      <c r="F78" s="214"/>
      <c r="G78" s="216"/>
      <c r="H78" s="221"/>
      <c r="I78" s="221"/>
      <c r="J78" s="222"/>
      <c r="K78" s="211"/>
      <c r="L78" s="214"/>
      <c r="M78" s="188"/>
    </row>
    <row r="79" spans="1:13" ht="18" customHeight="1" x14ac:dyDescent="0.25">
      <c r="A79" s="188"/>
      <c r="B79" s="221"/>
      <c r="C79" s="221"/>
      <c r="D79" s="222"/>
      <c r="E79" s="211"/>
      <c r="F79" s="214"/>
      <c r="G79" s="216"/>
      <c r="H79" s="221"/>
      <c r="I79" s="221"/>
      <c r="J79" s="222"/>
      <c r="K79" s="211"/>
      <c r="L79" s="214"/>
      <c r="M79" s="188"/>
    </row>
    <row r="80" spans="1:13" ht="18" customHeight="1" x14ac:dyDescent="0.25">
      <c r="A80" s="188"/>
      <c r="B80" s="221"/>
      <c r="C80" s="221"/>
      <c r="D80" s="222"/>
      <c r="E80" s="211"/>
      <c r="F80" s="214"/>
      <c r="G80" s="216"/>
      <c r="H80" s="221"/>
      <c r="I80" s="221"/>
      <c r="J80" s="222"/>
      <c r="K80" s="211"/>
      <c r="L80" s="214"/>
      <c r="M80" s="188"/>
    </row>
    <row r="81" spans="1:13" ht="18" customHeight="1" x14ac:dyDescent="0.25">
      <c r="A81" s="188"/>
      <c r="B81" s="221"/>
      <c r="C81" s="221"/>
      <c r="D81" s="222"/>
      <c r="E81" s="211"/>
      <c r="F81" s="214"/>
      <c r="G81" s="216"/>
      <c r="H81" s="221"/>
      <c r="I81" s="221"/>
      <c r="J81" s="222"/>
      <c r="K81" s="211"/>
      <c r="L81" s="214"/>
      <c r="M81" s="188"/>
    </row>
    <row r="82" spans="1:13" ht="18" customHeight="1" x14ac:dyDescent="0.25">
      <c r="A82" s="188"/>
      <c r="B82" s="221"/>
      <c r="C82" s="221"/>
      <c r="D82" s="222"/>
      <c r="E82" s="211"/>
      <c r="F82" s="214"/>
      <c r="G82" s="216"/>
      <c r="H82" s="221"/>
      <c r="I82" s="221"/>
      <c r="J82" s="222"/>
      <c r="K82" s="211"/>
      <c r="L82" s="214"/>
      <c r="M82" s="188"/>
    </row>
    <row r="83" spans="1:13" ht="18" customHeight="1" x14ac:dyDescent="0.25">
      <c r="A83" s="188"/>
      <c r="B83" s="221"/>
      <c r="C83" s="221"/>
      <c r="D83" s="222"/>
      <c r="E83" s="211"/>
      <c r="F83" s="214"/>
      <c r="G83" s="216"/>
      <c r="H83" s="221"/>
      <c r="I83" s="221"/>
      <c r="J83" s="222"/>
      <c r="K83" s="211"/>
      <c r="L83" s="214"/>
      <c r="M83" s="188"/>
    </row>
    <row r="84" spans="1:13" ht="18" customHeight="1" x14ac:dyDescent="0.25">
      <c r="A84" s="188"/>
      <c r="B84" s="221"/>
      <c r="C84" s="221"/>
      <c r="D84" s="222"/>
      <c r="E84" s="211"/>
      <c r="F84" s="214"/>
      <c r="G84" s="216"/>
      <c r="H84" s="221"/>
      <c r="I84" s="221"/>
      <c r="J84" s="222"/>
      <c r="K84" s="211"/>
      <c r="L84" s="214"/>
      <c r="M84" s="188"/>
    </row>
    <row r="85" spans="1:13" ht="18" customHeight="1" x14ac:dyDescent="0.25">
      <c r="A85" s="188"/>
      <c r="B85" s="221"/>
      <c r="C85" s="221"/>
      <c r="D85" s="222"/>
      <c r="E85" s="211"/>
      <c r="F85" s="214"/>
      <c r="G85" s="216"/>
      <c r="H85" s="221"/>
      <c r="I85" s="221"/>
      <c r="J85" s="222"/>
      <c r="K85" s="211"/>
      <c r="L85" s="214"/>
      <c r="M85" s="188"/>
    </row>
    <row r="86" spans="1:13" ht="18" customHeight="1" x14ac:dyDescent="0.25">
      <c r="A86" s="188"/>
      <c r="B86" s="221"/>
      <c r="C86" s="221"/>
      <c r="D86" s="222"/>
      <c r="E86" s="211"/>
      <c r="F86" s="214"/>
      <c r="G86" s="216"/>
      <c r="H86" s="221"/>
      <c r="I86" s="221"/>
      <c r="J86" s="222"/>
      <c r="K86" s="211"/>
      <c r="L86" s="214"/>
      <c r="M86" s="188"/>
    </row>
    <row r="87" spans="1:13" ht="18" customHeight="1" x14ac:dyDescent="0.25">
      <c r="A87" s="188"/>
      <c r="B87" s="221"/>
      <c r="C87" s="221"/>
      <c r="D87" s="222"/>
      <c r="E87" s="211"/>
      <c r="F87" s="214"/>
      <c r="G87" s="216"/>
      <c r="H87" s="221"/>
      <c r="I87" s="221"/>
      <c r="J87" s="222"/>
      <c r="K87" s="211"/>
      <c r="L87" s="214"/>
      <c r="M87" s="188"/>
    </row>
    <row r="88" spans="1:13" ht="18" customHeight="1" x14ac:dyDescent="0.25">
      <c r="A88" s="188"/>
      <c r="B88" s="221"/>
      <c r="C88" s="221"/>
      <c r="D88" s="222"/>
      <c r="E88" s="211"/>
      <c r="F88" s="214"/>
      <c r="G88" s="216"/>
      <c r="H88" s="221"/>
      <c r="I88" s="221"/>
      <c r="J88" s="222"/>
      <c r="K88" s="211"/>
      <c r="L88" s="214"/>
      <c r="M88" s="188"/>
    </row>
    <row r="89" spans="1:13" ht="18" customHeight="1" x14ac:dyDescent="0.25">
      <c r="A89" s="188"/>
      <c r="B89" s="221"/>
      <c r="C89" s="221"/>
      <c r="D89" s="222"/>
      <c r="E89" s="211"/>
      <c r="F89" s="214"/>
      <c r="G89" s="216"/>
      <c r="H89" s="221"/>
      <c r="I89" s="221"/>
      <c r="J89" s="222"/>
      <c r="K89" s="211"/>
      <c r="L89" s="214"/>
      <c r="M89" s="188"/>
    </row>
    <row r="90" spans="1:13" ht="18" customHeight="1" x14ac:dyDescent="0.25">
      <c r="A90" s="188"/>
      <c r="B90" s="221"/>
      <c r="C90" s="221"/>
      <c r="D90" s="222"/>
      <c r="E90" s="211"/>
      <c r="F90" s="214"/>
      <c r="G90" s="216"/>
      <c r="H90" s="221"/>
      <c r="I90" s="221"/>
      <c r="J90" s="222"/>
      <c r="K90" s="211"/>
      <c r="L90" s="214"/>
      <c r="M90" s="188"/>
    </row>
    <row r="91" spans="1:13" ht="18" customHeight="1" x14ac:dyDescent="0.25">
      <c r="A91" s="188"/>
      <c r="B91" s="221"/>
      <c r="C91" s="221"/>
      <c r="D91" s="222"/>
      <c r="E91" s="211"/>
      <c r="F91" s="214"/>
      <c r="G91" s="216"/>
      <c r="H91" s="221"/>
      <c r="I91" s="221"/>
      <c r="J91" s="222"/>
      <c r="K91" s="211"/>
      <c r="L91" s="214"/>
      <c r="M91" s="188"/>
    </row>
    <row r="92" spans="1:13" ht="18" customHeight="1" x14ac:dyDescent="0.25">
      <c r="A92" s="188"/>
      <c r="B92" s="221"/>
      <c r="C92" s="221"/>
      <c r="D92" s="222"/>
      <c r="E92" s="211"/>
      <c r="F92" s="214"/>
      <c r="G92" s="216"/>
      <c r="H92" s="221"/>
      <c r="I92" s="221"/>
      <c r="J92" s="222"/>
      <c r="K92" s="211"/>
      <c r="L92" s="214"/>
      <c r="M92" s="188"/>
    </row>
    <row r="93" spans="1:13" ht="18" customHeight="1" x14ac:dyDescent="0.25">
      <c r="A93" s="188"/>
      <c r="B93" s="221"/>
      <c r="C93" s="221"/>
      <c r="D93" s="222"/>
      <c r="E93" s="211"/>
      <c r="F93" s="214"/>
      <c r="G93" s="216"/>
      <c r="H93" s="221"/>
      <c r="I93" s="221"/>
      <c r="J93" s="222"/>
      <c r="K93" s="211"/>
      <c r="L93" s="214"/>
      <c r="M93" s="188"/>
    </row>
    <row r="94" spans="1:13" ht="18" customHeight="1" x14ac:dyDescent="0.25">
      <c r="A94" s="188"/>
      <c r="B94" s="221"/>
      <c r="C94" s="221"/>
      <c r="D94" s="222"/>
      <c r="E94" s="211"/>
      <c r="F94" s="214"/>
      <c r="G94" s="216"/>
      <c r="H94" s="221"/>
      <c r="I94" s="221"/>
      <c r="J94" s="222"/>
      <c r="K94" s="211"/>
      <c r="L94" s="214"/>
      <c r="M94" s="188"/>
    </row>
    <row r="95" spans="1:13" ht="18" customHeight="1" x14ac:dyDescent="0.25">
      <c r="A95" s="188"/>
      <c r="B95" s="221"/>
      <c r="C95" s="221"/>
      <c r="D95" s="222"/>
      <c r="E95" s="211"/>
      <c r="F95" s="214"/>
      <c r="G95" s="216"/>
      <c r="H95" s="221"/>
      <c r="I95" s="221"/>
      <c r="J95" s="222"/>
      <c r="K95" s="211"/>
      <c r="L95" s="214"/>
      <c r="M95" s="188"/>
    </row>
    <row r="96" spans="1:13" ht="18" customHeight="1" x14ac:dyDescent="0.25">
      <c r="A96" s="188"/>
      <c r="B96" s="221"/>
      <c r="C96" s="221"/>
      <c r="D96" s="222"/>
      <c r="E96" s="211"/>
      <c r="F96" s="214"/>
      <c r="G96" s="216"/>
      <c r="H96" s="221"/>
      <c r="I96" s="221"/>
      <c r="J96" s="222"/>
      <c r="K96" s="211"/>
      <c r="L96" s="214"/>
      <c r="M96" s="188"/>
    </row>
    <row r="97" spans="1:13" ht="18" customHeight="1" x14ac:dyDescent="0.25">
      <c r="A97" s="188"/>
      <c r="B97" s="221"/>
      <c r="C97" s="221"/>
      <c r="D97" s="222"/>
      <c r="E97" s="211"/>
      <c r="F97" s="214"/>
      <c r="G97" s="216"/>
      <c r="H97" s="221"/>
      <c r="I97" s="221"/>
      <c r="J97" s="222"/>
      <c r="K97" s="211"/>
      <c r="L97" s="214"/>
      <c r="M97" s="188"/>
    </row>
    <row r="98" spans="1:13" ht="18" customHeight="1" x14ac:dyDescent="0.25">
      <c r="A98" s="188"/>
      <c r="B98" s="221"/>
      <c r="C98" s="221"/>
      <c r="D98" s="222"/>
      <c r="E98" s="211"/>
      <c r="F98" s="214"/>
      <c r="G98" s="216"/>
      <c r="H98" s="221"/>
      <c r="I98" s="221"/>
      <c r="J98" s="222"/>
      <c r="K98" s="211"/>
      <c r="L98" s="214"/>
      <c r="M98" s="188"/>
    </row>
    <row r="99" spans="1:13" ht="18" customHeight="1" x14ac:dyDescent="0.25">
      <c r="A99" s="188"/>
      <c r="B99" s="221"/>
      <c r="C99" s="221"/>
      <c r="D99" s="222"/>
      <c r="E99" s="211"/>
      <c r="F99" s="214"/>
      <c r="G99" s="216"/>
      <c r="H99" s="221"/>
      <c r="I99" s="221"/>
      <c r="J99" s="222"/>
      <c r="K99" s="211"/>
      <c r="L99" s="214"/>
      <c r="M99" s="188"/>
    </row>
    <row r="100" spans="1:13" ht="18" customHeight="1" x14ac:dyDescent="0.25">
      <c r="A100" s="188"/>
      <c r="B100" s="221"/>
      <c r="C100" s="221"/>
      <c r="D100" s="222"/>
      <c r="E100" s="211"/>
      <c r="F100" s="214"/>
      <c r="G100" s="216"/>
      <c r="H100" s="221"/>
      <c r="I100" s="221"/>
      <c r="J100" s="222"/>
      <c r="K100" s="211"/>
      <c r="L100" s="214"/>
      <c r="M100" s="188"/>
    </row>
    <row r="101" spans="1:13" ht="18" customHeight="1" x14ac:dyDescent="0.25">
      <c r="A101" s="188"/>
      <c r="B101" s="221"/>
      <c r="C101" s="221"/>
      <c r="D101" s="222"/>
      <c r="E101" s="211"/>
      <c r="F101" s="214"/>
      <c r="G101" s="216"/>
      <c r="H101" s="221"/>
      <c r="I101" s="221"/>
      <c r="J101" s="222"/>
      <c r="K101" s="211"/>
      <c r="L101" s="214"/>
      <c r="M101" s="188"/>
    </row>
    <row r="102" spans="1:13" ht="18" customHeight="1" x14ac:dyDescent="0.25">
      <c r="A102" s="188"/>
      <c r="B102" s="221"/>
      <c r="C102" s="221"/>
      <c r="D102" s="222"/>
      <c r="E102" s="211"/>
      <c r="F102" s="214"/>
      <c r="G102" s="216"/>
      <c r="H102" s="221"/>
      <c r="I102" s="221"/>
      <c r="J102" s="222"/>
      <c r="K102" s="211"/>
      <c r="L102" s="214"/>
      <c r="M102" s="188"/>
    </row>
    <row r="103" spans="1:13" ht="18" customHeight="1" x14ac:dyDescent="0.25">
      <c r="A103" s="188"/>
      <c r="B103" s="221"/>
      <c r="C103" s="221"/>
      <c r="D103" s="222"/>
      <c r="E103" s="211"/>
      <c r="F103" s="214"/>
      <c r="G103" s="216"/>
      <c r="H103" s="221"/>
      <c r="I103" s="221"/>
      <c r="J103" s="222"/>
      <c r="K103" s="211"/>
      <c r="L103" s="214"/>
      <c r="M103" s="188"/>
    </row>
    <row r="104" spans="1:13" ht="18" customHeight="1" x14ac:dyDescent="0.25">
      <c r="A104" s="188"/>
      <c r="B104" s="221"/>
      <c r="C104" s="221"/>
      <c r="D104" s="222"/>
      <c r="E104" s="211"/>
      <c r="F104" s="214"/>
      <c r="G104" s="216"/>
      <c r="H104" s="221"/>
      <c r="I104" s="221"/>
      <c r="J104" s="222"/>
      <c r="K104" s="211"/>
      <c r="L104" s="214"/>
      <c r="M104" s="188"/>
    </row>
    <row r="105" spans="1:13" ht="18" customHeight="1" x14ac:dyDescent="0.25">
      <c r="A105" s="188"/>
      <c r="B105" s="221"/>
      <c r="C105" s="221"/>
      <c r="D105" s="222"/>
      <c r="E105" s="211"/>
      <c r="F105" s="214"/>
      <c r="G105" s="216"/>
      <c r="H105" s="221"/>
      <c r="I105" s="221"/>
      <c r="J105" s="222"/>
      <c r="K105" s="211"/>
      <c r="L105" s="214"/>
      <c r="M105" s="188"/>
    </row>
    <row r="106" spans="1:13" ht="18" customHeight="1" x14ac:dyDescent="0.25">
      <c r="A106" s="188"/>
      <c r="B106" s="221"/>
      <c r="C106" s="221"/>
      <c r="D106" s="222"/>
      <c r="E106" s="211"/>
      <c r="F106" s="214"/>
      <c r="G106" s="216"/>
      <c r="H106" s="221"/>
      <c r="I106" s="221"/>
      <c r="J106" s="222"/>
      <c r="K106" s="211"/>
      <c r="L106" s="214"/>
      <c r="M106" s="188"/>
    </row>
    <row r="107" spans="1:13" ht="18" customHeight="1" x14ac:dyDescent="0.25">
      <c r="A107" s="188"/>
      <c r="B107" s="221"/>
      <c r="C107" s="221"/>
      <c r="D107" s="222"/>
      <c r="E107" s="211"/>
      <c r="F107" s="214"/>
      <c r="G107" s="216"/>
      <c r="H107" s="221"/>
      <c r="I107" s="221"/>
      <c r="J107" s="222"/>
      <c r="K107" s="211"/>
      <c r="L107" s="214"/>
      <c r="M107" s="188"/>
    </row>
    <row r="108" spans="1:13" ht="18" customHeight="1" x14ac:dyDescent="0.25">
      <c r="A108" s="188"/>
      <c r="B108" s="221"/>
      <c r="C108" s="221"/>
      <c r="D108" s="222"/>
      <c r="E108" s="211"/>
      <c r="F108" s="214"/>
      <c r="G108" s="216"/>
      <c r="H108" s="221"/>
      <c r="I108" s="221"/>
      <c r="J108" s="222"/>
      <c r="K108" s="211"/>
      <c r="L108" s="214"/>
      <c r="M108" s="188"/>
    </row>
    <row r="109" spans="1:13" ht="18" customHeight="1" x14ac:dyDescent="0.25">
      <c r="A109" s="188"/>
      <c r="B109" s="221"/>
      <c r="C109" s="221"/>
      <c r="D109" s="222"/>
      <c r="E109" s="211"/>
      <c r="F109" s="214"/>
      <c r="G109" s="216"/>
      <c r="H109" s="221"/>
      <c r="I109" s="221"/>
      <c r="J109" s="222"/>
      <c r="K109" s="211"/>
      <c r="L109" s="214"/>
      <c r="M109" s="188"/>
    </row>
    <row r="110" spans="1:13" ht="18" customHeight="1" x14ac:dyDescent="0.25">
      <c r="A110" s="188"/>
      <c r="B110" s="221"/>
      <c r="C110" s="221"/>
      <c r="D110" s="222"/>
      <c r="E110" s="211"/>
      <c r="F110" s="214"/>
      <c r="G110" s="216"/>
      <c r="H110" s="221"/>
      <c r="I110" s="221"/>
      <c r="J110" s="222"/>
      <c r="K110" s="211"/>
      <c r="L110" s="214"/>
      <c r="M110" s="188"/>
    </row>
    <row r="111" spans="1:13" ht="18" customHeight="1" x14ac:dyDescent="0.25">
      <c r="A111" s="188"/>
      <c r="B111" s="221"/>
      <c r="C111" s="221"/>
      <c r="D111" s="222"/>
      <c r="E111" s="211"/>
      <c r="F111" s="214"/>
      <c r="G111" s="216"/>
      <c r="H111" s="221"/>
      <c r="I111" s="221"/>
      <c r="J111" s="222"/>
      <c r="K111" s="211"/>
      <c r="L111" s="214"/>
      <c r="M111" s="188"/>
    </row>
    <row r="112" spans="1:13" ht="18" customHeight="1" x14ac:dyDescent="0.25">
      <c r="A112" s="188"/>
      <c r="B112" s="221"/>
      <c r="C112" s="221"/>
      <c r="D112" s="222"/>
      <c r="E112" s="211"/>
      <c r="F112" s="214"/>
      <c r="G112" s="216"/>
      <c r="H112" s="221"/>
      <c r="I112" s="221"/>
      <c r="J112" s="222"/>
      <c r="K112" s="211"/>
      <c r="L112" s="214"/>
      <c r="M112" s="188"/>
    </row>
    <row r="113" spans="1:13" ht="18" customHeight="1" x14ac:dyDescent="0.25">
      <c r="A113" s="188"/>
      <c r="B113" s="221"/>
      <c r="C113" s="221"/>
      <c r="D113" s="222"/>
      <c r="E113" s="211"/>
      <c r="F113" s="214"/>
      <c r="G113" s="216"/>
      <c r="H113" s="221"/>
      <c r="I113" s="221"/>
      <c r="J113" s="222"/>
      <c r="K113" s="211"/>
      <c r="L113" s="214"/>
      <c r="M113" s="188"/>
    </row>
    <row r="114" spans="1:13" ht="18" customHeight="1" x14ac:dyDescent="0.25">
      <c r="A114" s="188"/>
      <c r="B114" s="221"/>
      <c r="C114" s="221"/>
      <c r="D114" s="222"/>
      <c r="E114" s="211"/>
      <c r="F114" s="214"/>
      <c r="G114" s="216"/>
      <c r="H114" s="221"/>
      <c r="I114" s="221"/>
      <c r="J114" s="222"/>
      <c r="K114" s="211"/>
      <c r="L114" s="214"/>
      <c r="M114" s="188"/>
    </row>
    <row r="115" spans="1:13" ht="18" customHeight="1" x14ac:dyDescent="0.25">
      <c r="A115" s="188"/>
      <c r="B115" s="221"/>
      <c r="C115" s="221"/>
      <c r="D115" s="222"/>
      <c r="E115" s="211"/>
      <c r="F115" s="214"/>
      <c r="G115" s="216"/>
      <c r="H115" s="221"/>
      <c r="I115" s="221"/>
      <c r="J115" s="222"/>
      <c r="K115" s="211"/>
      <c r="L115" s="214"/>
      <c r="M115" s="188"/>
    </row>
    <row r="116" spans="1:13" ht="18" customHeight="1" x14ac:dyDescent="0.25">
      <c r="A116" s="188"/>
      <c r="B116" s="221"/>
      <c r="C116" s="221"/>
      <c r="D116" s="222"/>
      <c r="E116" s="211"/>
      <c r="F116" s="214"/>
      <c r="G116" s="216"/>
      <c r="H116" s="221"/>
      <c r="I116" s="221"/>
      <c r="J116" s="222"/>
      <c r="K116" s="211"/>
      <c r="L116" s="214"/>
      <c r="M116" s="188"/>
    </row>
    <row r="117" spans="1:13" ht="18" customHeight="1" x14ac:dyDescent="0.25">
      <c r="A117" s="188"/>
      <c r="B117" s="221"/>
      <c r="C117" s="221"/>
      <c r="D117" s="222"/>
      <c r="E117" s="211"/>
      <c r="F117" s="214"/>
      <c r="G117" s="216"/>
      <c r="H117" s="221"/>
      <c r="I117" s="221"/>
      <c r="J117" s="222"/>
      <c r="K117" s="211"/>
      <c r="L117" s="214"/>
      <c r="M117" s="188"/>
    </row>
    <row r="118" spans="1:13" ht="18" customHeight="1" x14ac:dyDescent="0.25">
      <c r="A118" s="188"/>
      <c r="B118" s="221"/>
      <c r="C118" s="221"/>
      <c r="D118" s="222"/>
      <c r="E118" s="211"/>
      <c r="F118" s="214"/>
      <c r="G118" s="216"/>
      <c r="H118" s="221"/>
      <c r="I118" s="221"/>
      <c r="J118" s="222"/>
      <c r="K118" s="211"/>
      <c r="L118" s="214"/>
      <c r="M118" s="188"/>
    </row>
    <row r="119" spans="1:13" ht="18" customHeight="1" x14ac:dyDescent="0.25">
      <c r="A119" s="188"/>
      <c r="B119" s="221"/>
      <c r="C119" s="221"/>
      <c r="D119" s="222"/>
      <c r="E119" s="211"/>
      <c r="F119" s="214"/>
      <c r="G119" s="216"/>
      <c r="H119" s="221"/>
      <c r="I119" s="221"/>
      <c r="J119" s="222"/>
      <c r="K119" s="211"/>
      <c r="L119" s="214"/>
      <c r="M119" s="188"/>
    </row>
    <row r="120" spans="1:13" ht="18" customHeight="1" x14ac:dyDescent="0.25">
      <c r="A120" s="188"/>
      <c r="B120" s="221"/>
      <c r="C120" s="221"/>
      <c r="D120" s="222"/>
      <c r="E120" s="211"/>
      <c r="F120" s="214"/>
      <c r="G120" s="216"/>
      <c r="H120" s="221"/>
      <c r="I120" s="221"/>
      <c r="J120" s="222"/>
      <c r="K120" s="211"/>
      <c r="L120" s="214"/>
      <c r="M120" s="188"/>
    </row>
    <row r="121" spans="1:13" ht="18" customHeight="1" x14ac:dyDescent="0.25">
      <c r="A121" s="188"/>
      <c r="B121" s="221"/>
      <c r="C121" s="221"/>
      <c r="D121" s="222"/>
      <c r="E121" s="211"/>
      <c r="F121" s="214"/>
      <c r="G121" s="216"/>
      <c r="H121" s="221"/>
      <c r="I121" s="221"/>
      <c r="J121" s="222"/>
      <c r="K121" s="211"/>
      <c r="L121" s="214"/>
      <c r="M121" s="188"/>
    </row>
    <row r="122" spans="1:13" ht="18" customHeight="1" x14ac:dyDescent="0.25">
      <c r="A122" s="188"/>
      <c r="B122" s="221"/>
      <c r="C122" s="221"/>
      <c r="D122" s="222"/>
      <c r="E122" s="211"/>
      <c r="F122" s="214"/>
      <c r="G122" s="216"/>
      <c r="H122" s="221"/>
      <c r="I122" s="221"/>
      <c r="J122" s="222"/>
      <c r="K122" s="211"/>
      <c r="L122" s="214"/>
      <c r="M122" s="188"/>
    </row>
    <row r="123" spans="1:13" ht="18" customHeight="1" x14ac:dyDescent="0.25">
      <c r="A123" s="188"/>
      <c r="B123" s="221"/>
      <c r="C123" s="221"/>
      <c r="D123" s="222"/>
      <c r="E123" s="211"/>
      <c r="F123" s="214"/>
      <c r="G123" s="216"/>
      <c r="H123" s="221"/>
      <c r="I123" s="221"/>
      <c r="J123" s="222"/>
      <c r="K123" s="211"/>
      <c r="L123" s="214"/>
      <c r="M123" s="188"/>
    </row>
    <row r="124" spans="1:13" ht="18" customHeight="1" x14ac:dyDescent="0.25">
      <c r="A124" s="188"/>
      <c r="B124" s="221"/>
      <c r="C124" s="221"/>
      <c r="D124" s="222"/>
      <c r="E124" s="211"/>
      <c r="F124" s="214"/>
      <c r="G124" s="216"/>
      <c r="H124" s="221"/>
      <c r="I124" s="221"/>
      <c r="J124" s="222"/>
      <c r="K124" s="211"/>
      <c r="L124" s="214"/>
      <c r="M124" s="188"/>
    </row>
    <row r="125" spans="1:13" ht="18" customHeight="1" x14ac:dyDescent="0.25">
      <c r="A125" s="188"/>
      <c r="B125" s="221"/>
      <c r="C125" s="221"/>
      <c r="D125" s="222"/>
      <c r="E125" s="211"/>
      <c r="F125" s="214"/>
      <c r="G125" s="216"/>
      <c r="H125" s="221"/>
      <c r="I125" s="221"/>
      <c r="J125" s="222"/>
      <c r="K125" s="211"/>
      <c r="L125" s="214"/>
      <c r="M125" s="188"/>
    </row>
    <row r="126" spans="1:13" ht="18" customHeight="1" x14ac:dyDescent="0.25">
      <c r="A126" s="188"/>
      <c r="B126" s="221"/>
      <c r="C126" s="221"/>
      <c r="D126" s="222"/>
      <c r="E126" s="211"/>
      <c r="F126" s="214"/>
      <c r="G126" s="216"/>
      <c r="H126" s="221"/>
      <c r="I126" s="221"/>
      <c r="J126" s="222"/>
      <c r="K126" s="211"/>
      <c r="L126" s="214"/>
      <c r="M126" s="188"/>
    </row>
    <row r="127" spans="1:13" ht="18" customHeight="1" x14ac:dyDescent="0.25">
      <c r="A127" s="188"/>
      <c r="B127" s="221"/>
      <c r="C127" s="221"/>
      <c r="D127" s="222"/>
      <c r="E127" s="211"/>
      <c r="F127" s="214"/>
      <c r="G127" s="216"/>
      <c r="H127" s="221"/>
      <c r="I127" s="221"/>
      <c r="J127" s="222"/>
      <c r="K127" s="211"/>
      <c r="L127" s="214"/>
      <c r="M127" s="188"/>
    </row>
    <row r="128" spans="1:13" ht="18" customHeight="1" x14ac:dyDescent="0.25">
      <c r="A128" s="188"/>
      <c r="B128" s="221"/>
      <c r="C128" s="221"/>
      <c r="D128" s="222"/>
      <c r="E128" s="211"/>
      <c r="F128" s="214"/>
      <c r="G128" s="216"/>
      <c r="H128" s="221"/>
      <c r="I128" s="221"/>
      <c r="J128" s="222"/>
      <c r="K128" s="211"/>
      <c r="L128" s="214"/>
      <c r="M128" s="188"/>
    </row>
    <row r="129" spans="1:13" ht="18" customHeight="1" x14ac:dyDescent="0.25">
      <c r="A129" s="188"/>
      <c r="B129" s="221"/>
      <c r="C129" s="221"/>
      <c r="D129" s="222"/>
      <c r="E129" s="211"/>
      <c r="F129" s="214"/>
      <c r="G129" s="216"/>
      <c r="H129" s="221"/>
      <c r="I129" s="221"/>
      <c r="J129" s="222"/>
      <c r="K129" s="211"/>
      <c r="L129" s="214"/>
      <c r="M129" s="188"/>
    </row>
    <row r="130" spans="1:13" ht="18" customHeight="1" x14ac:dyDescent="0.25">
      <c r="A130" s="188"/>
      <c r="B130" s="221"/>
      <c r="C130" s="221"/>
      <c r="D130" s="222"/>
      <c r="E130" s="211"/>
      <c r="F130" s="214"/>
      <c r="G130" s="216"/>
      <c r="H130" s="221"/>
      <c r="I130" s="221"/>
      <c r="J130" s="222"/>
      <c r="K130" s="211"/>
      <c r="L130" s="214"/>
      <c r="M130" s="188"/>
    </row>
    <row r="131" spans="1:13" ht="18" customHeight="1" x14ac:dyDescent="0.25">
      <c r="A131" s="188"/>
      <c r="B131" s="221"/>
      <c r="C131" s="221"/>
      <c r="D131" s="222"/>
      <c r="E131" s="211"/>
      <c r="F131" s="214"/>
      <c r="G131" s="216"/>
      <c r="H131" s="221"/>
      <c r="I131" s="221"/>
      <c r="J131" s="222"/>
      <c r="K131" s="211"/>
      <c r="L131" s="214"/>
      <c r="M131" s="188"/>
    </row>
    <row r="132" spans="1:13" ht="18" customHeight="1" x14ac:dyDescent="0.25">
      <c r="A132" s="188"/>
      <c r="B132" s="221"/>
      <c r="C132" s="221"/>
      <c r="D132" s="222"/>
      <c r="E132" s="211"/>
      <c r="F132" s="214"/>
      <c r="G132" s="216"/>
      <c r="H132" s="221"/>
      <c r="I132" s="221"/>
      <c r="J132" s="222"/>
      <c r="K132" s="211"/>
      <c r="L132" s="214"/>
      <c r="M132" s="188"/>
    </row>
    <row r="133" spans="1:13" ht="18" customHeight="1" x14ac:dyDescent="0.25">
      <c r="A133" s="188"/>
      <c r="B133" s="221"/>
      <c r="C133" s="221"/>
      <c r="D133" s="222"/>
      <c r="E133" s="211"/>
      <c r="F133" s="214"/>
      <c r="G133" s="216"/>
      <c r="H133" s="221"/>
      <c r="I133" s="221"/>
      <c r="J133" s="222"/>
      <c r="K133" s="211"/>
      <c r="L133" s="214"/>
      <c r="M133" s="188"/>
    </row>
    <row r="134" spans="1:13" ht="18" customHeight="1" x14ac:dyDescent="0.25">
      <c r="A134" s="188"/>
      <c r="B134" s="221"/>
      <c r="C134" s="221"/>
      <c r="D134" s="222"/>
      <c r="E134" s="211"/>
      <c r="F134" s="214"/>
      <c r="G134" s="216"/>
      <c r="H134" s="221"/>
      <c r="I134" s="221"/>
      <c r="J134" s="222"/>
      <c r="K134" s="211"/>
      <c r="L134" s="214"/>
      <c r="M134" s="188"/>
    </row>
    <row r="135" spans="1:13" ht="18" customHeight="1" x14ac:dyDescent="0.25">
      <c r="A135" s="188"/>
      <c r="B135" s="221"/>
      <c r="C135" s="221"/>
      <c r="D135" s="222"/>
      <c r="E135" s="211"/>
      <c r="F135" s="214"/>
      <c r="G135" s="216"/>
      <c r="H135" s="221"/>
      <c r="I135" s="221"/>
      <c r="J135" s="222"/>
      <c r="K135" s="211"/>
      <c r="L135" s="214"/>
      <c r="M135" s="188"/>
    </row>
    <row r="136" spans="1:13" ht="18" customHeight="1" x14ac:dyDescent="0.25">
      <c r="A136" s="188"/>
      <c r="B136" s="221"/>
      <c r="C136" s="221"/>
      <c r="D136" s="222"/>
      <c r="E136" s="211"/>
      <c r="F136" s="214"/>
      <c r="G136" s="216"/>
      <c r="H136" s="221"/>
      <c r="I136" s="221"/>
      <c r="J136" s="222"/>
      <c r="K136" s="211"/>
      <c r="L136" s="214"/>
      <c r="M136" s="188"/>
    </row>
    <row r="137" spans="1:13" ht="18" customHeight="1" x14ac:dyDescent="0.25">
      <c r="A137" s="188"/>
      <c r="B137" s="221"/>
      <c r="C137" s="221"/>
      <c r="D137" s="222"/>
      <c r="E137" s="211"/>
      <c r="F137" s="214"/>
      <c r="G137" s="216"/>
      <c r="H137" s="221"/>
      <c r="I137" s="221"/>
      <c r="J137" s="222"/>
      <c r="K137" s="211"/>
      <c r="L137" s="214"/>
      <c r="M137" s="188"/>
    </row>
    <row r="138" spans="1:13" ht="18" customHeight="1" x14ac:dyDescent="0.25">
      <c r="A138" s="188"/>
      <c r="B138" s="221"/>
      <c r="C138" s="221"/>
      <c r="D138" s="222"/>
      <c r="E138" s="211"/>
      <c r="F138" s="214"/>
      <c r="G138" s="216"/>
      <c r="H138" s="221"/>
      <c r="I138" s="221"/>
      <c r="J138" s="222"/>
      <c r="K138" s="211"/>
      <c r="L138" s="214"/>
      <c r="M138" s="188"/>
    </row>
    <row r="139" spans="1:13" ht="18" customHeight="1" x14ac:dyDescent="0.25">
      <c r="A139" s="188"/>
      <c r="B139" s="221"/>
      <c r="C139" s="221"/>
      <c r="D139" s="222"/>
      <c r="E139" s="211"/>
      <c r="F139" s="214"/>
      <c r="G139" s="216"/>
      <c r="H139" s="221"/>
      <c r="I139" s="221"/>
      <c r="J139" s="222"/>
      <c r="K139" s="211"/>
      <c r="L139" s="214"/>
      <c r="M139" s="188"/>
    </row>
    <row r="140" spans="1:13" ht="18" customHeight="1" x14ac:dyDescent="0.25">
      <c r="A140" s="188"/>
      <c r="B140" s="221"/>
      <c r="C140" s="221"/>
      <c r="D140" s="222"/>
      <c r="E140" s="211"/>
      <c r="F140" s="214"/>
      <c r="G140" s="216"/>
      <c r="H140" s="221"/>
      <c r="I140" s="221"/>
      <c r="J140" s="222"/>
      <c r="K140" s="211"/>
      <c r="L140" s="214"/>
      <c r="M140" s="188"/>
    </row>
    <row r="141" spans="1:13" ht="18" customHeight="1" x14ac:dyDescent="0.25">
      <c r="A141" s="188"/>
      <c r="B141" s="221"/>
      <c r="C141" s="221"/>
      <c r="D141" s="222"/>
      <c r="E141" s="211"/>
      <c r="F141" s="214"/>
      <c r="G141" s="216"/>
      <c r="H141" s="221"/>
      <c r="I141" s="221"/>
      <c r="J141" s="222"/>
      <c r="K141" s="211"/>
      <c r="L141" s="214"/>
      <c r="M141" s="188"/>
    </row>
    <row r="142" spans="1:13" ht="18" customHeight="1" x14ac:dyDescent="0.25">
      <c r="A142" s="188"/>
      <c r="B142" s="221"/>
      <c r="C142" s="221"/>
      <c r="D142" s="222"/>
      <c r="E142" s="211"/>
      <c r="F142" s="214"/>
      <c r="G142" s="216"/>
      <c r="H142" s="221"/>
      <c r="I142" s="221"/>
      <c r="J142" s="222"/>
      <c r="K142" s="211"/>
      <c r="L142" s="214"/>
      <c r="M142" s="188"/>
    </row>
    <row r="143" spans="1:13" ht="18" customHeight="1" x14ac:dyDescent="0.25">
      <c r="A143" s="188"/>
      <c r="B143" s="221"/>
      <c r="C143" s="221"/>
      <c r="D143" s="222"/>
      <c r="E143" s="211"/>
      <c r="F143" s="214"/>
      <c r="G143" s="216"/>
      <c r="H143" s="221"/>
      <c r="I143" s="221"/>
      <c r="J143" s="222"/>
      <c r="K143" s="211"/>
      <c r="L143" s="214"/>
      <c r="M143" s="188"/>
    </row>
    <row r="144" spans="1:13" ht="18" customHeight="1" x14ac:dyDescent="0.25">
      <c r="A144" s="188"/>
      <c r="B144" s="221"/>
      <c r="C144" s="221"/>
      <c r="D144" s="222"/>
      <c r="E144" s="211"/>
      <c r="F144" s="214"/>
      <c r="G144" s="216"/>
      <c r="H144" s="221"/>
      <c r="I144" s="221"/>
      <c r="J144" s="222"/>
      <c r="K144" s="211"/>
      <c r="L144" s="214"/>
      <c r="M144" s="188"/>
    </row>
    <row r="145" spans="1:13" ht="18" customHeight="1" x14ac:dyDescent="0.25">
      <c r="A145" s="188"/>
      <c r="B145" s="221"/>
      <c r="C145" s="221"/>
      <c r="D145" s="222"/>
      <c r="E145" s="211"/>
      <c r="F145" s="214"/>
      <c r="G145" s="216"/>
      <c r="H145" s="221"/>
      <c r="I145" s="221"/>
      <c r="J145" s="222"/>
      <c r="K145" s="211"/>
      <c r="L145" s="214"/>
      <c r="M145" s="188"/>
    </row>
    <row r="146" spans="1:13" ht="18" customHeight="1" x14ac:dyDescent="0.25">
      <c r="A146" s="188"/>
      <c r="B146" s="221"/>
      <c r="C146" s="221"/>
      <c r="D146" s="222"/>
      <c r="E146" s="211"/>
      <c r="F146" s="214"/>
      <c r="G146" s="216"/>
      <c r="H146" s="221"/>
      <c r="I146" s="221"/>
      <c r="J146" s="222"/>
      <c r="K146" s="211"/>
      <c r="L146" s="214"/>
      <c r="M146" s="188"/>
    </row>
    <row r="147" spans="1:13" ht="18" customHeight="1" x14ac:dyDescent="0.25">
      <c r="A147" s="188"/>
      <c r="B147" s="221"/>
      <c r="C147" s="221"/>
      <c r="D147" s="222"/>
      <c r="E147" s="211"/>
      <c r="F147" s="214"/>
      <c r="G147" s="216"/>
      <c r="H147" s="221"/>
      <c r="I147" s="221"/>
      <c r="J147" s="222"/>
      <c r="K147" s="211"/>
      <c r="L147" s="214"/>
      <c r="M147" s="188"/>
    </row>
    <row r="148" spans="1:13" ht="18" customHeight="1" x14ac:dyDescent="0.25">
      <c r="A148" s="188"/>
      <c r="B148" s="221"/>
      <c r="C148" s="221"/>
      <c r="D148" s="222"/>
      <c r="E148" s="211"/>
      <c r="F148" s="214"/>
      <c r="G148" s="216"/>
      <c r="H148" s="221"/>
      <c r="I148" s="221"/>
      <c r="J148" s="222"/>
      <c r="K148" s="211"/>
      <c r="L148" s="214"/>
      <c r="M148" s="188"/>
    </row>
    <row r="149" spans="1:13" ht="18" customHeight="1" x14ac:dyDescent="0.25">
      <c r="A149" s="188"/>
      <c r="B149" s="221"/>
      <c r="C149" s="221"/>
      <c r="D149" s="222"/>
      <c r="E149" s="211"/>
      <c r="F149" s="214"/>
      <c r="G149" s="216"/>
      <c r="H149" s="221"/>
      <c r="I149" s="221"/>
      <c r="J149" s="222"/>
      <c r="K149" s="211"/>
      <c r="L149" s="214"/>
      <c r="M149" s="188"/>
    </row>
    <row r="150" spans="1:13" ht="18" customHeight="1" x14ac:dyDescent="0.25">
      <c r="A150" s="188"/>
      <c r="B150" s="221"/>
      <c r="C150" s="221"/>
      <c r="D150" s="222"/>
      <c r="E150" s="211"/>
      <c r="F150" s="214"/>
      <c r="G150" s="216"/>
      <c r="H150" s="221"/>
      <c r="I150" s="221"/>
      <c r="J150" s="222"/>
      <c r="K150" s="211"/>
      <c r="L150" s="214"/>
      <c r="M150" s="188"/>
    </row>
    <row r="151" spans="1:13" ht="18" customHeight="1" x14ac:dyDescent="0.25">
      <c r="A151" s="188"/>
      <c r="B151" s="221"/>
      <c r="C151" s="221"/>
      <c r="D151" s="222"/>
      <c r="E151" s="211"/>
      <c r="F151" s="214"/>
      <c r="G151" s="216"/>
      <c r="H151" s="221"/>
      <c r="I151" s="221"/>
      <c r="J151" s="222"/>
      <c r="K151" s="211"/>
      <c r="L151" s="214"/>
      <c r="M151" s="188"/>
    </row>
    <row r="152" spans="1:13" ht="18" customHeight="1" x14ac:dyDescent="0.25">
      <c r="A152" s="188"/>
      <c r="B152" s="221"/>
      <c r="C152" s="221"/>
      <c r="D152" s="222"/>
      <c r="E152" s="211"/>
      <c r="F152" s="214"/>
      <c r="G152" s="216"/>
      <c r="H152" s="221"/>
      <c r="I152" s="221"/>
      <c r="J152" s="222"/>
      <c r="K152" s="211"/>
      <c r="L152" s="214"/>
      <c r="M152" s="188"/>
    </row>
    <row r="153" spans="1:13" ht="18" customHeight="1" x14ac:dyDescent="0.25">
      <c r="A153" s="188"/>
      <c r="B153" s="221"/>
      <c r="C153" s="221"/>
      <c r="D153" s="222"/>
      <c r="E153" s="211"/>
      <c r="F153" s="214"/>
      <c r="G153" s="216"/>
      <c r="H153" s="221"/>
      <c r="I153" s="221"/>
      <c r="J153" s="222"/>
      <c r="K153" s="211"/>
      <c r="L153" s="214"/>
      <c r="M153" s="188"/>
    </row>
    <row r="154" spans="1:13" ht="18" customHeight="1" x14ac:dyDescent="0.25">
      <c r="A154" s="188"/>
      <c r="B154" s="221"/>
      <c r="C154" s="221"/>
      <c r="D154" s="222"/>
      <c r="E154" s="211"/>
      <c r="F154" s="214"/>
      <c r="G154" s="216"/>
      <c r="H154" s="221"/>
      <c r="I154" s="221"/>
      <c r="J154" s="222"/>
      <c r="K154" s="211"/>
      <c r="L154" s="214"/>
      <c r="M154" s="188"/>
    </row>
    <row r="155" spans="1:13" ht="18" customHeight="1" x14ac:dyDescent="0.25">
      <c r="A155" s="188"/>
      <c r="B155" s="221"/>
      <c r="C155" s="221"/>
      <c r="D155" s="222"/>
      <c r="E155" s="211"/>
      <c r="F155" s="214"/>
      <c r="G155" s="216"/>
      <c r="H155" s="221"/>
      <c r="I155" s="221"/>
      <c r="J155" s="222"/>
      <c r="K155" s="211"/>
      <c r="L155" s="214"/>
      <c r="M155" s="188"/>
    </row>
    <row r="156" spans="1:13" ht="18" customHeight="1" x14ac:dyDescent="0.25">
      <c r="A156" s="188"/>
      <c r="B156" s="221"/>
      <c r="C156" s="221"/>
      <c r="D156" s="222"/>
      <c r="E156" s="211"/>
      <c r="F156" s="214"/>
      <c r="G156" s="216"/>
      <c r="H156" s="221"/>
      <c r="I156" s="221"/>
      <c r="J156" s="222"/>
      <c r="K156" s="211"/>
      <c r="L156" s="214"/>
      <c r="M156" s="188"/>
    </row>
    <row r="157" spans="1:13" ht="18" customHeight="1" x14ac:dyDescent="0.25">
      <c r="A157" s="188"/>
      <c r="B157" s="221"/>
      <c r="C157" s="221"/>
      <c r="D157" s="222"/>
      <c r="E157" s="211"/>
      <c r="F157" s="214"/>
      <c r="G157" s="216"/>
      <c r="H157" s="221"/>
      <c r="I157" s="221"/>
      <c r="J157" s="222"/>
      <c r="K157" s="211"/>
      <c r="L157" s="214"/>
      <c r="M157" s="188"/>
    </row>
    <row r="158" spans="1:13" ht="18" customHeight="1" x14ac:dyDescent="0.25">
      <c r="A158" s="188"/>
      <c r="B158" s="221"/>
      <c r="C158" s="221"/>
      <c r="D158" s="222"/>
      <c r="E158" s="211"/>
      <c r="F158" s="214"/>
      <c r="G158" s="216"/>
      <c r="H158" s="221"/>
      <c r="I158" s="221"/>
      <c r="J158" s="222"/>
      <c r="K158" s="211"/>
      <c r="L158" s="214"/>
      <c r="M158" s="188"/>
    </row>
    <row r="159" spans="1:13" ht="18" customHeight="1" x14ac:dyDescent="0.25">
      <c r="A159" s="188"/>
      <c r="B159" s="221"/>
      <c r="C159" s="221"/>
      <c r="D159" s="222"/>
      <c r="E159" s="211"/>
      <c r="F159" s="214"/>
      <c r="G159" s="216"/>
      <c r="H159" s="221"/>
      <c r="I159" s="221"/>
      <c r="J159" s="222"/>
      <c r="K159" s="211"/>
      <c r="L159" s="214"/>
      <c r="M159" s="188"/>
    </row>
    <row r="160" spans="1:13" ht="18" customHeight="1" x14ac:dyDescent="0.25">
      <c r="A160" s="188"/>
      <c r="B160" s="221"/>
      <c r="C160" s="221"/>
      <c r="D160" s="222"/>
      <c r="E160" s="211"/>
      <c r="F160" s="214"/>
      <c r="G160" s="216"/>
      <c r="H160" s="221"/>
      <c r="I160" s="221"/>
      <c r="J160" s="222"/>
      <c r="K160" s="211"/>
      <c r="L160" s="214"/>
      <c r="M160" s="188"/>
    </row>
    <row r="161" spans="1:13" ht="18" customHeight="1" x14ac:dyDescent="0.25">
      <c r="A161" s="188"/>
      <c r="B161" s="221"/>
      <c r="C161" s="221"/>
      <c r="D161" s="222"/>
      <c r="E161" s="211"/>
      <c r="F161" s="214"/>
      <c r="G161" s="216"/>
      <c r="H161" s="221"/>
      <c r="I161" s="221"/>
      <c r="J161" s="222"/>
      <c r="K161" s="211"/>
      <c r="L161" s="214"/>
      <c r="M161" s="188"/>
    </row>
    <row r="162" spans="1:13" ht="18" customHeight="1" x14ac:dyDescent="0.25">
      <c r="A162" s="188"/>
      <c r="B162" s="221"/>
      <c r="C162" s="221"/>
      <c r="D162" s="222"/>
      <c r="E162" s="211"/>
      <c r="F162" s="214"/>
      <c r="G162" s="216"/>
      <c r="H162" s="221"/>
      <c r="I162" s="221"/>
      <c r="J162" s="222"/>
      <c r="K162" s="211"/>
      <c r="L162" s="214"/>
      <c r="M162" s="188"/>
    </row>
    <row r="163" spans="1:13" ht="18" customHeight="1" x14ac:dyDescent="0.25">
      <c r="A163" s="188"/>
      <c r="B163" s="221"/>
      <c r="C163" s="221"/>
      <c r="D163" s="222"/>
      <c r="E163" s="211"/>
      <c r="F163" s="214"/>
      <c r="G163" s="216"/>
      <c r="H163" s="221"/>
      <c r="I163" s="221"/>
      <c r="J163" s="222"/>
      <c r="K163" s="211"/>
      <c r="L163" s="214"/>
      <c r="M163" s="188"/>
    </row>
    <row r="164" spans="1:13" ht="18" customHeight="1" x14ac:dyDescent="0.25">
      <c r="A164" s="188"/>
      <c r="B164" s="221"/>
      <c r="C164" s="221"/>
      <c r="D164" s="222"/>
      <c r="E164" s="211"/>
      <c r="F164" s="214"/>
      <c r="G164" s="216"/>
      <c r="H164" s="221"/>
      <c r="I164" s="221"/>
      <c r="J164" s="222"/>
      <c r="K164" s="211"/>
      <c r="L164" s="214"/>
      <c r="M164" s="188"/>
    </row>
    <row r="165" spans="1:13" ht="18" customHeight="1" x14ac:dyDescent="0.25">
      <c r="A165" s="188"/>
      <c r="B165" s="221"/>
      <c r="C165" s="221"/>
      <c r="D165" s="222"/>
      <c r="E165" s="211"/>
      <c r="F165" s="214"/>
      <c r="G165" s="216"/>
      <c r="H165" s="221"/>
      <c r="I165" s="221"/>
      <c r="J165" s="222"/>
      <c r="K165" s="211"/>
      <c r="L165" s="214"/>
      <c r="M165" s="188"/>
    </row>
    <row r="166" spans="1:13" ht="18" customHeight="1" x14ac:dyDescent="0.25">
      <c r="A166" s="188"/>
      <c r="B166" s="221"/>
      <c r="C166" s="221"/>
      <c r="D166" s="222"/>
      <c r="E166" s="211"/>
      <c r="F166" s="214"/>
      <c r="G166" s="216"/>
      <c r="H166" s="221"/>
      <c r="I166" s="221"/>
      <c r="J166" s="222"/>
      <c r="K166" s="211"/>
      <c r="L166" s="214"/>
      <c r="M166" s="188"/>
    </row>
    <row r="167" spans="1:13" ht="18" customHeight="1" x14ac:dyDescent="0.25">
      <c r="A167" s="188"/>
      <c r="B167" s="221"/>
      <c r="C167" s="221"/>
      <c r="D167" s="222"/>
      <c r="E167" s="211"/>
      <c r="F167" s="214"/>
      <c r="G167" s="216"/>
      <c r="H167" s="221"/>
      <c r="I167" s="221"/>
      <c r="J167" s="222"/>
      <c r="K167" s="211"/>
      <c r="L167" s="214"/>
      <c r="M167" s="188"/>
    </row>
    <row r="168" spans="1:13" ht="18" customHeight="1" x14ac:dyDescent="0.25">
      <c r="A168" s="188"/>
      <c r="B168" s="221"/>
      <c r="C168" s="221"/>
      <c r="D168" s="222"/>
      <c r="E168" s="211"/>
      <c r="F168" s="214"/>
      <c r="G168" s="216"/>
      <c r="H168" s="221"/>
      <c r="I168" s="221"/>
      <c r="J168" s="222"/>
      <c r="K168" s="211"/>
      <c r="L168" s="214"/>
      <c r="M168" s="188"/>
    </row>
    <row r="169" spans="1:13" ht="18" customHeight="1" x14ac:dyDescent="0.25">
      <c r="A169" s="188"/>
      <c r="B169" s="221"/>
      <c r="C169" s="221"/>
      <c r="D169" s="222"/>
      <c r="E169" s="211"/>
      <c r="F169" s="214"/>
      <c r="G169" s="216"/>
      <c r="H169" s="221"/>
      <c r="I169" s="221"/>
      <c r="J169" s="222"/>
      <c r="K169" s="211"/>
      <c r="L169" s="214"/>
      <c r="M169" s="188"/>
    </row>
    <row r="170" spans="1:13" ht="18" customHeight="1" x14ac:dyDescent="0.25">
      <c r="A170" s="188"/>
      <c r="B170" s="221"/>
      <c r="C170" s="221"/>
      <c r="D170" s="222"/>
      <c r="E170" s="211"/>
      <c r="F170" s="214"/>
      <c r="G170" s="216"/>
      <c r="H170" s="221"/>
      <c r="I170" s="221"/>
      <c r="J170" s="222"/>
      <c r="K170" s="211"/>
      <c r="L170" s="214"/>
      <c r="M170" s="188"/>
    </row>
    <row r="171" spans="1:13" ht="18" customHeight="1" x14ac:dyDescent="0.25">
      <c r="A171" s="188"/>
      <c r="B171" s="221"/>
      <c r="C171" s="221"/>
      <c r="D171" s="222"/>
      <c r="E171" s="211"/>
      <c r="F171" s="214"/>
      <c r="G171" s="216"/>
      <c r="H171" s="221"/>
      <c r="I171" s="221"/>
      <c r="J171" s="222"/>
      <c r="K171" s="211"/>
      <c r="L171" s="214"/>
      <c r="M171" s="188"/>
    </row>
    <row r="172" spans="1:13" ht="18" customHeight="1" x14ac:dyDescent="0.25">
      <c r="A172" s="188"/>
      <c r="B172" s="221"/>
      <c r="C172" s="221"/>
      <c r="D172" s="222"/>
      <c r="E172" s="211"/>
      <c r="F172" s="214"/>
      <c r="G172" s="216"/>
      <c r="H172" s="221"/>
      <c r="I172" s="221"/>
      <c r="J172" s="222"/>
      <c r="K172" s="211"/>
      <c r="L172" s="214"/>
      <c r="M172" s="188"/>
    </row>
    <row r="173" spans="1:13" ht="18" customHeight="1" x14ac:dyDescent="0.25">
      <c r="A173" s="188"/>
      <c r="B173" s="221"/>
      <c r="C173" s="221"/>
      <c r="D173" s="222"/>
      <c r="E173" s="211"/>
      <c r="F173" s="214"/>
      <c r="G173" s="216"/>
      <c r="H173" s="221"/>
      <c r="I173" s="221"/>
      <c r="J173" s="222"/>
      <c r="K173" s="211"/>
      <c r="L173" s="214"/>
      <c r="M173" s="188"/>
    </row>
    <row r="174" spans="1:13" ht="18" customHeight="1" x14ac:dyDescent="0.25">
      <c r="A174" s="188"/>
      <c r="B174" s="221"/>
      <c r="C174" s="221"/>
      <c r="D174" s="222"/>
      <c r="E174" s="211"/>
      <c r="F174" s="214"/>
      <c r="G174" s="216"/>
      <c r="H174" s="221"/>
      <c r="I174" s="221"/>
      <c r="J174" s="222"/>
      <c r="K174" s="211"/>
      <c r="L174" s="214"/>
      <c r="M174" s="188"/>
    </row>
    <row r="175" spans="1:13" ht="18" customHeight="1" x14ac:dyDescent="0.25">
      <c r="A175" s="188"/>
      <c r="B175" s="221"/>
      <c r="C175" s="221"/>
      <c r="D175" s="222"/>
      <c r="E175" s="211"/>
      <c r="F175" s="214"/>
      <c r="G175" s="216"/>
      <c r="H175" s="221"/>
      <c r="I175" s="221"/>
      <c r="J175" s="222"/>
      <c r="K175" s="211"/>
      <c r="L175" s="214"/>
      <c r="M175" s="188"/>
    </row>
    <row r="176" spans="1:13" ht="18" customHeight="1" x14ac:dyDescent="0.25">
      <c r="A176" s="188"/>
      <c r="B176" s="221"/>
      <c r="C176" s="221"/>
      <c r="D176" s="222"/>
      <c r="E176" s="211"/>
      <c r="F176" s="214"/>
      <c r="G176" s="216"/>
      <c r="H176" s="221"/>
      <c r="I176" s="221"/>
      <c r="J176" s="222"/>
      <c r="K176" s="211"/>
      <c r="L176" s="214"/>
      <c r="M176" s="188"/>
    </row>
    <row r="177" spans="1:13" ht="18" customHeight="1" x14ac:dyDescent="0.25">
      <c r="A177" s="188"/>
      <c r="B177" s="221"/>
      <c r="C177" s="221"/>
      <c r="D177" s="222"/>
      <c r="E177" s="211"/>
      <c r="F177" s="214"/>
      <c r="G177" s="216"/>
      <c r="H177" s="221"/>
      <c r="I177" s="221"/>
      <c r="J177" s="222"/>
      <c r="K177" s="211"/>
      <c r="L177" s="214"/>
      <c r="M177" s="188"/>
    </row>
    <row r="178" spans="1:13" ht="18" customHeight="1" x14ac:dyDescent="0.25">
      <c r="A178" s="188"/>
      <c r="B178" s="221"/>
      <c r="C178" s="221"/>
      <c r="D178" s="222"/>
      <c r="E178" s="211"/>
      <c r="F178" s="214"/>
      <c r="G178" s="216"/>
      <c r="H178" s="221"/>
      <c r="I178" s="221"/>
      <c r="J178" s="222"/>
      <c r="K178" s="211"/>
      <c r="L178" s="214"/>
      <c r="M178" s="188"/>
    </row>
    <row r="179" spans="1:13" ht="18" customHeight="1" x14ac:dyDescent="0.25">
      <c r="A179" s="188"/>
      <c r="B179" s="221"/>
      <c r="C179" s="221"/>
      <c r="D179" s="222"/>
      <c r="E179" s="211"/>
      <c r="F179" s="214"/>
      <c r="G179" s="216"/>
      <c r="H179" s="221"/>
      <c r="I179" s="221"/>
      <c r="J179" s="222"/>
      <c r="K179" s="211"/>
      <c r="L179" s="214"/>
      <c r="M179" s="188"/>
    </row>
    <row r="180" spans="1:13" ht="18" customHeight="1" x14ac:dyDescent="0.25">
      <c r="A180" s="188"/>
      <c r="B180" s="221"/>
      <c r="C180" s="221"/>
      <c r="D180" s="222"/>
      <c r="E180" s="211"/>
      <c r="F180" s="214"/>
      <c r="G180" s="216"/>
      <c r="H180" s="221"/>
      <c r="I180" s="221"/>
      <c r="J180" s="222"/>
      <c r="K180" s="211"/>
      <c r="L180" s="214"/>
      <c r="M180" s="188"/>
    </row>
    <row r="181" spans="1:13" ht="18" customHeight="1" x14ac:dyDescent="0.25">
      <c r="A181" s="188"/>
      <c r="B181" s="221"/>
      <c r="C181" s="221"/>
      <c r="D181" s="222"/>
      <c r="E181" s="211"/>
      <c r="F181" s="214"/>
      <c r="G181" s="216"/>
      <c r="H181" s="221"/>
      <c r="I181" s="221"/>
      <c r="J181" s="222"/>
      <c r="K181" s="211"/>
      <c r="L181" s="214"/>
      <c r="M181" s="188"/>
    </row>
    <row r="182" spans="1:13" ht="18" customHeight="1" x14ac:dyDescent="0.25">
      <c r="A182" s="188"/>
      <c r="B182" s="221"/>
      <c r="C182" s="221"/>
      <c r="D182" s="222"/>
      <c r="E182" s="211"/>
      <c r="F182" s="214"/>
      <c r="G182" s="216"/>
      <c r="H182" s="221"/>
      <c r="I182" s="221"/>
      <c r="J182" s="222"/>
      <c r="K182" s="211"/>
      <c r="L182" s="214"/>
      <c r="M182" s="188"/>
    </row>
    <row r="183" spans="1:13" ht="18" customHeight="1" x14ac:dyDescent="0.25">
      <c r="A183" s="188"/>
      <c r="B183" s="221"/>
      <c r="C183" s="221"/>
      <c r="D183" s="222"/>
      <c r="E183" s="211"/>
      <c r="F183" s="214"/>
      <c r="G183" s="216"/>
      <c r="H183" s="221"/>
      <c r="I183" s="221"/>
      <c r="J183" s="222"/>
      <c r="K183" s="211"/>
      <c r="L183" s="214"/>
      <c r="M183" s="188"/>
    </row>
    <row r="184" spans="1:13" ht="18" customHeight="1" x14ac:dyDescent="0.25">
      <c r="A184" s="188"/>
      <c r="B184" s="221"/>
      <c r="C184" s="221"/>
      <c r="D184" s="222"/>
      <c r="E184" s="211"/>
      <c r="F184" s="214"/>
      <c r="G184" s="216"/>
      <c r="H184" s="221"/>
      <c r="I184" s="221"/>
      <c r="J184" s="222"/>
      <c r="K184" s="211"/>
      <c r="L184" s="214"/>
      <c r="M184" s="188"/>
    </row>
    <row r="185" spans="1:13" ht="18" customHeight="1" x14ac:dyDescent="0.25">
      <c r="A185" s="188"/>
      <c r="B185" s="221"/>
      <c r="C185" s="221"/>
      <c r="D185" s="222"/>
      <c r="E185" s="211"/>
      <c r="F185" s="214"/>
      <c r="G185" s="216"/>
      <c r="H185" s="221"/>
      <c r="I185" s="221"/>
      <c r="J185" s="222"/>
      <c r="K185" s="211"/>
      <c r="L185" s="214"/>
      <c r="M185" s="188"/>
    </row>
    <row r="186" spans="1:13" ht="18" customHeight="1" x14ac:dyDescent="0.25">
      <c r="A186" s="188"/>
      <c r="B186" s="221"/>
      <c r="C186" s="221"/>
      <c r="D186" s="222"/>
      <c r="E186" s="211"/>
      <c r="F186" s="214"/>
      <c r="G186" s="216"/>
      <c r="H186" s="221"/>
      <c r="I186" s="221"/>
      <c r="J186" s="222"/>
      <c r="K186" s="211"/>
      <c r="L186" s="214"/>
      <c r="M186" s="188"/>
    </row>
    <row r="187" spans="1:13" ht="18" customHeight="1" x14ac:dyDescent="0.25">
      <c r="A187" s="188"/>
      <c r="B187" s="221"/>
      <c r="C187" s="221"/>
      <c r="D187" s="222"/>
      <c r="E187" s="211"/>
      <c r="F187" s="214"/>
      <c r="G187" s="216"/>
      <c r="H187" s="221"/>
      <c r="I187" s="221"/>
      <c r="J187" s="222"/>
      <c r="K187" s="211"/>
      <c r="L187" s="214"/>
      <c r="M187" s="188"/>
    </row>
    <row r="188" spans="1:13" ht="18" customHeight="1" x14ac:dyDescent="0.25">
      <c r="A188" s="188"/>
      <c r="B188" s="221"/>
      <c r="C188" s="221"/>
      <c r="D188" s="222"/>
      <c r="E188" s="211"/>
      <c r="F188" s="214"/>
      <c r="G188" s="216"/>
      <c r="H188" s="221"/>
      <c r="I188" s="221"/>
      <c r="J188" s="222"/>
      <c r="K188" s="211"/>
      <c r="L188" s="214"/>
      <c r="M188" s="188"/>
    </row>
    <row r="189" spans="1:13" ht="18" customHeight="1" x14ac:dyDescent="0.25">
      <c r="A189" s="188"/>
      <c r="B189" s="221"/>
      <c r="C189" s="221"/>
      <c r="D189" s="222"/>
      <c r="E189" s="211"/>
      <c r="F189" s="214"/>
      <c r="G189" s="216"/>
      <c r="H189" s="221"/>
      <c r="I189" s="221"/>
      <c r="J189" s="222"/>
      <c r="K189" s="211"/>
      <c r="L189" s="214"/>
      <c r="M189" s="188"/>
    </row>
    <row r="190" spans="1:13" ht="18" customHeight="1" x14ac:dyDescent="0.25">
      <c r="A190" s="188"/>
      <c r="B190" s="221"/>
      <c r="C190" s="221"/>
      <c r="D190" s="222"/>
      <c r="E190" s="211"/>
      <c r="F190" s="214"/>
      <c r="G190" s="216"/>
      <c r="H190" s="221"/>
      <c r="I190" s="221"/>
      <c r="J190" s="222"/>
      <c r="K190" s="211"/>
      <c r="L190" s="214"/>
      <c r="M190" s="188"/>
    </row>
    <row r="191" spans="1:13" ht="18" customHeight="1" x14ac:dyDescent="0.25">
      <c r="A191" s="188"/>
      <c r="B191" s="221"/>
      <c r="C191" s="221"/>
      <c r="D191" s="222"/>
      <c r="E191" s="211"/>
      <c r="F191" s="214"/>
      <c r="G191" s="216"/>
      <c r="H191" s="221"/>
      <c r="I191" s="221"/>
      <c r="J191" s="222"/>
      <c r="K191" s="211"/>
      <c r="L191" s="214"/>
      <c r="M191" s="188"/>
    </row>
    <row r="192" spans="1:13" ht="18" customHeight="1" x14ac:dyDescent="0.25">
      <c r="A192" s="188"/>
      <c r="B192" s="221"/>
      <c r="C192" s="221"/>
      <c r="D192" s="222"/>
      <c r="E192" s="211"/>
      <c r="F192" s="214"/>
      <c r="G192" s="216"/>
      <c r="H192" s="221"/>
      <c r="I192" s="221"/>
      <c r="J192" s="222"/>
      <c r="K192" s="211"/>
      <c r="L192" s="214"/>
      <c r="M192" s="188"/>
    </row>
    <row r="193" spans="1:13" ht="18" customHeight="1" x14ac:dyDescent="0.25">
      <c r="A193" s="188"/>
      <c r="B193" s="221"/>
      <c r="C193" s="221"/>
      <c r="D193" s="222"/>
      <c r="E193" s="211"/>
      <c r="F193" s="214"/>
      <c r="G193" s="216"/>
      <c r="H193" s="221"/>
      <c r="I193" s="221"/>
      <c r="J193" s="222"/>
      <c r="K193" s="211"/>
      <c r="L193" s="214"/>
      <c r="M193" s="188"/>
    </row>
    <row r="194" spans="1:13" ht="18" customHeight="1" x14ac:dyDescent="0.25">
      <c r="A194" s="188"/>
      <c r="B194" s="221"/>
      <c r="C194" s="221"/>
      <c r="D194" s="222"/>
      <c r="E194" s="211"/>
      <c r="F194" s="214"/>
      <c r="G194" s="216"/>
      <c r="H194" s="221"/>
      <c r="I194" s="221"/>
      <c r="J194" s="222"/>
      <c r="K194" s="211"/>
      <c r="L194" s="214"/>
      <c r="M194" s="188"/>
    </row>
    <row r="195" spans="1:13" ht="18" customHeight="1" x14ac:dyDescent="0.25">
      <c r="A195" s="188"/>
      <c r="B195" s="221"/>
      <c r="C195" s="221"/>
      <c r="D195" s="222"/>
      <c r="E195" s="211"/>
      <c r="F195" s="214"/>
      <c r="G195" s="216"/>
      <c r="H195" s="221"/>
      <c r="I195" s="221"/>
      <c r="J195" s="222"/>
      <c r="K195" s="211"/>
      <c r="L195" s="214"/>
      <c r="M195" s="188"/>
    </row>
    <row r="196" spans="1:13" ht="18" customHeight="1" x14ac:dyDescent="0.25">
      <c r="A196" s="188"/>
      <c r="B196" s="221"/>
      <c r="C196" s="221"/>
      <c r="D196" s="222"/>
      <c r="E196" s="211"/>
      <c r="F196" s="214"/>
      <c r="G196" s="216"/>
      <c r="H196" s="221"/>
      <c r="I196" s="221"/>
      <c r="J196" s="222"/>
      <c r="K196" s="211"/>
      <c r="L196" s="214"/>
      <c r="M196" s="188"/>
    </row>
    <row r="197" spans="1:13" ht="18" customHeight="1" x14ac:dyDescent="0.25">
      <c r="A197" s="188"/>
      <c r="B197" s="221"/>
      <c r="C197" s="221"/>
      <c r="D197" s="222"/>
      <c r="E197" s="211"/>
      <c r="F197" s="214"/>
      <c r="G197" s="216"/>
      <c r="H197" s="221"/>
      <c r="I197" s="221"/>
      <c r="J197" s="222"/>
      <c r="K197" s="211"/>
      <c r="L197" s="214"/>
      <c r="M197" s="188"/>
    </row>
    <row r="198" spans="1:13" ht="18" customHeight="1" x14ac:dyDescent="0.25">
      <c r="A198" s="188"/>
      <c r="B198" s="221"/>
      <c r="C198" s="221"/>
      <c r="D198" s="222"/>
      <c r="E198" s="211"/>
      <c r="F198" s="214"/>
      <c r="G198" s="216"/>
      <c r="H198" s="221"/>
      <c r="I198" s="221"/>
      <c r="J198" s="222"/>
      <c r="K198" s="211"/>
      <c r="L198" s="214"/>
      <c r="M198" s="188"/>
    </row>
    <row r="199" spans="1:13" ht="18" customHeight="1" x14ac:dyDescent="0.25">
      <c r="A199" s="188"/>
      <c r="B199" s="221"/>
      <c r="C199" s="221"/>
      <c r="D199" s="222"/>
      <c r="E199" s="211"/>
      <c r="F199" s="214"/>
      <c r="G199" s="216"/>
      <c r="H199" s="221"/>
      <c r="I199" s="221"/>
      <c r="J199" s="222"/>
      <c r="K199" s="211"/>
      <c r="L199" s="214"/>
      <c r="M199" s="188"/>
    </row>
    <row r="200" spans="1:13" ht="18" customHeight="1" x14ac:dyDescent="0.25">
      <c r="A200" s="188"/>
      <c r="B200" s="221"/>
      <c r="C200" s="221"/>
      <c r="D200" s="222"/>
      <c r="E200" s="211"/>
      <c r="F200" s="214"/>
      <c r="G200" s="216"/>
      <c r="H200" s="221"/>
      <c r="I200" s="221"/>
      <c r="J200" s="222"/>
      <c r="K200" s="211"/>
      <c r="L200" s="214"/>
      <c r="M200" s="188"/>
    </row>
    <row r="201" spans="1:13" ht="18" customHeight="1" x14ac:dyDescent="0.25">
      <c r="A201" s="188"/>
      <c r="B201" s="221"/>
      <c r="C201" s="221"/>
      <c r="D201" s="222"/>
      <c r="E201" s="211"/>
      <c r="F201" s="214"/>
      <c r="G201" s="216"/>
      <c r="H201" s="221"/>
      <c r="I201" s="221"/>
      <c r="J201" s="222"/>
      <c r="K201" s="211"/>
      <c r="L201" s="214"/>
      <c r="M201" s="188"/>
    </row>
    <row r="202" spans="1:13" ht="18" customHeight="1" x14ac:dyDescent="0.25">
      <c r="A202" s="188"/>
      <c r="B202" s="221"/>
      <c r="C202" s="221"/>
      <c r="D202" s="222"/>
      <c r="E202" s="211"/>
      <c r="F202" s="214"/>
      <c r="G202" s="216"/>
      <c r="H202" s="221"/>
      <c r="I202" s="221"/>
      <c r="J202" s="222"/>
      <c r="K202" s="211"/>
      <c r="L202" s="214"/>
      <c r="M202" s="188"/>
    </row>
    <row r="203" spans="1:13" ht="18" customHeight="1" x14ac:dyDescent="0.25">
      <c r="A203" s="188"/>
      <c r="B203" s="221"/>
      <c r="C203" s="221"/>
      <c r="D203" s="222"/>
      <c r="E203" s="211"/>
      <c r="F203" s="214"/>
      <c r="G203" s="216"/>
      <c r="H203" s="221"/>
      <c r="I203" s="221"/>
      <c r="J203" s="222"/>
      <c r="K203" s="211"/>
      <c r="L203" s="214"/>
      <c r="M203" s="188"/>
    </row>
    <row r="204" spans="1:13" ht="18" customHeight="1" x14ac:dyDescent="0.25">
      <c r="A204" s="188"/>
      <c r="B204" s="221"/>
      <c r="C204" s="221"/>
      <c r="D204" s="222"/>
      <c r="E204" s="211"/>
      <c r="F204" s="214"/>
      <c r="G204" s="216"/>
      <c r="H204" s="221"/>
      <c r="I204" s="221"/>
      <c r="J204" s="222"/>
      <c r="K204" s="211"/>
      <c r="L204" s="214"/>
      <c r="M204" s="188"/>
    </row>
    <row r="205" spans="1:13" ht="18" customHeight="1" x14ac:dyDescent="0.25">
      <c r="A205" s="188"/>
      <c r="B205" s="221"/>
      <c r="C205" s="221"/>
      <c r="D205" s="222"/>
      <c r="E205" s="211"/>
      <c r="F205" s="214"/>
      <c r="G205" s="216"/>
      <c r="H205" s="221"/>
      <c r="I205" s="221"/>
      <c r="J205" s="222"/>
      <c r="K205" s="211"/>
      <c r="L205" s="214"/>
      <c r="M205" s="188"/>
    </row>
    <row r="206" spans="1:13" ht="18" customHeight="1" x14ac:dyDescent="0.25">
      <c r="A206" s="188"/>
      <c r="B206" s="221"/>
      <c r="C206" s="221"/>
      <c r="D206" s="222"/>
      <c r="E206" s="211"/>
      <c r="F206" s="214"/>
      <c r="G206" s="216"/>
      <c r="H206" s="221"/>
      <c r="I206" s="221"/>
      <c r="J206" s="222"/>
      <c r="K206" s="211"/>
      <c r="L206" s="214"/>
      <c r="M206" s="188"/>
    </row>
    <row r="207" spans="1:13" ht="18" customHeight="1" x14ac:dyDescent="0.25">
      <c r="A207" s="188"/>
      <c r="B207" s="221"/>
      <c r="C207" s="221"/>
      <c r="D207" s="222"/>
      <c r="E207" s="211"/>
      <c r="F207" s="214"/>
      <c r="G207" s="216"/>
      <c r="H207" s="221"/>
      <c r="I207" s="221"/>
      <c r="J207" s="222"/>
      <c r="K207" s="211"/>
      <c r="L207" s="214"/>
      <c r="M207" s="188"/>
    </row>
    <row r="208" spans="1:13" ht="18" customHeight="1" x14ac:dyDescent="0.25">
      <c r="A208" s="188"/>
      <c r="B208" s="221"/>
      <c r="C208" s="221"/>
      <c r="D208" s="222"/>
      <c r="E208" s="211"/>
      <c r="F208" s="214"/>
      <c r="G208" s="216"/>
      <c r="H208" s="221"/>
      <c r="I208" s="221"/>
      <c r="J208" s="222"/>
      <c r="K208" s="211"/>
      <c r="L208" s="214"/>
      <c r="M208" s="188"/>
    </row>
    <row r="209" spans="1:13" ht="18" customHeight="1" x14ac:dyDescent="0.25">
      <c r="A209" s="188"/>
      <c r="B209" s="221"/>
      <c r="C209" s="221"/>
      <c r="D209" s="222"/>
      <c r="E209" s="211"/>
      <c r="F209" s="214"/>
      <c r="G209" s="216"/>
      <c r="H209" s="221"/>
      <c r="I209" s="221"/>
      <c r="J209" s="222"/>
      <c r="K209" s="211"/>
      <c r="L209" s="214"/>
      <c r="M209" s="188"/>
    </row>
    <row r="210" spans="1:13" ht="18" customHeight="1" x14ac:dyDescent="0.25">
      <c r="A210" s="188"/>
      <c r="B210" s="221"/>
      <c r="C210" s="221"/>
      <c r="D210" s="222"/>
      <c r="E210" s="211"/>
      <c r="F210" s="214"/>
      <c r="G210" s="216"/>
      <c r="H210" s="221"/>
      <c r="I210" s="221"/>
      <c r="J210" s="222"/>
      <c r="K210" s="211"/>
      <c r="L210" s="214"/>
      <c r="M210" s="188"/>
    </row>
    <row r="211" spans="1:13" ht="18" customHeight="1" x14ac:dyDescent="0.25">
      <c r="A211" s="188"/>
      <c r="B211" s="221"/>
      <c r="C211" s="221"/>
      <c r="D211" s="222"/>
      <c r="E211" s="211"/>
      <c r="F211" s="214"/>
      <c r="G211" s="216"/>
      <c r="H211" s="221"/>
      <c r="I211" s="221"/>
      <c r="J211" s="222"/>
      <c r="K211" s="211"/>
      <c r="L211" s="214"/>
      <c r="M211" s="188"/>
    </row>
    <row r="212" spans="1:13" ht="18" customHeight="1" x14ac:dyDescent="0.25">
      <c r="A212" s="188"/>
      <c r="B212" s="221"/>
      <c r="C212" s="221"/>
      <c r="D212" s="222"/>
      <c r="E212" s="211"/>
      <c r="F212" s="214"/>
      <c r="G212" s="216"/>
      <c r="H212" s="221"/>
      <c r="I212" s="221"/>
      <c r="J212" s="222"/>
      <c r="K212" s="211"/>
      <c r="L212" s="214"/>
      <c r="M212" s="188"/>
    </row>
    <row r="213" spans="1:13" ht="18" customHeight="1" x14ac:dyDescent="0.25">
      <c r="A213" s="188"/>
      <c r="B213" s="221"/>
      <c r="C213" s="221"/>
      <c r="D213" s="222"/>
      <c r="E213" s="211"/>
      <c r="F213" s="214"/>
      <c r="G213" s="216"/>
      <c r="H213" s="221"/>
      <c r="I213" s="221"/>
      <c r="J213" s="222"/>
      <c r="K213" s="211"/>
      <c r="L213" s="214"/>
      <c r="M213" s="188"/>
    </row>
    <row r="214" spans="1:13" ht="18" customHeight="1" x14ac:dyDescent="0.25">
      <c r="A214" s="188"/>
      <c r="B214" s="221"/>
      <c r="C214" s="221"/>
      <c r="D214" s="222"/>
      <c r="E214" s="211"/>
      <c r="F214" s="214"/>
      <c r="G214" s="216"/>
      <c r="H214" s="221"/>
      <c r="I214" s="221"/>
      <c r="J214" s="222"/>
      <c r="K214" s="211"/>
      <c r="L214" s="214"/>
      <c r="M214" s="188"/>
    </row>
    <row r="215" spans="1:13" ht="18" customHeight="1" x14ac:dyDescent="0.25">
      <c r="A215" s="188"/>
      <c r="B215" s="221"/>
      <c r="C215" s="221"/>
      <c r="D215" s="222"/>
      <c r="E215" s="211"/>
      <c r="F215" s="214"/>
      <c r="G215" s="216"/>
      <c r="H215" s="221"/>
      <c r="I215" s="221"/>
      <c r="J215" s="222"/>
      <c r="K215" s="211"/>
      <c r="L215" s="214"/>
      <c r="M215" s="188"/>
    </row>
    <row r="216" spans="1:13" ht="18" customHeight="1" x14ac:dyDescent="0.25">
      <c r="A216" s="188"/>
      <c r="B216" s="221"/>
      <c r="C216" s="221"/>
      <c r="D216" s="222"/>
      <c r="E216" s="211"/>
      <c r="F216" s="214"/>
      <c r="G216" s="216"/>
      <c r="H216" s="221"/>
      <c r="I216" s="221"/>
      <c r="J216" s="222"/>
      <c r="K216" s="211"/>
      <c r="L216" s="214"/>
      <c r="M216" s="188"/>
    </row>
    <row r="217" spans="1:13" ht="18" customHeight="1" x14ac:dyDescent="0.25">
      <c r="A217" s="188"/>
      <c r="B217" s="221"/>
      <c r="C217" s="221"/>
      <c r="D217" s="222"/>
      <c r="E217" s="211"/>
      <c r="F217" s="214"/>
      <c r="G217" s="216"/>
      <c r="H217" s="221"/>
      <c r="I217" s="221"/>
      <c r="J217" s="222"/>
      <c r="K217" s="211"/>
      <c r="L217" s="214"/>
      <c r="M217" s="188"/>
    </row>
    <row r="218" spans="1:13" ht="18" customHeight="1" x14ac:dyDescent="0.25">
      <c r="A218" s="188"/>
      <c r="B218" s="221"/>
      <c r="C218" s="221"/>
      <c r="D218" s="222"/>
      <c r="E218" s="211"/>
      <c r="F218" s="214"/>
      <c r="G218" s="216"/>
      <c r="H218" s="221"/>
      <c r="I218" s="221"/>
      <c r="J218" s="222"/>
      <c r="K218" s="211"/>
      <c r="L218" s="214"/>
      <c r="M218" s="188"/>
    </row>
    <row r="219" spans="1:13" ht="18" customHeight="1" x14ac:dyDescent="0.25">
      <c r="A219" s="188"/>
      <c r="B219" s="221"/>
      <c r="C219" s="221"/>
      <c r="D219" s="222"/>
      <c r="E219" s="211"/>
      <c r="F219" s="214"/>
      <c r="G219" s="216"/>
      <c r="H219" s="221"/>
      <c r="I219" s="221"/>
      <c r="J219" s="222"/>
      <c r="K219" s="211"/>
      <c r="L219" s="214"/>
      <c r="M219" s="188"/>
    </row>
    <row r="220" spans="1:13" ht="18" customHeight="1" x14ac:dyDescent="0.25">
      <c r="A220" s="188"/>
      <c r="B220" s="221"/>
      <c r="C220" s="221"/>
      <c r="D220" s="222"/>
      <c r="E220" s="211"/>
      <c r="F220" s="214"/>
      <c r="G220" s="216"/>
      <c r="H220" s="221"/>
      <c r="I220" s="221"/>
      <c r="J220" s="222"/>
      <c r="K220" s="211"/>
      <c r="L220" s="214"/>
      <c r="M220" s="188"/>
    </row>
    <row r="221" spans="1:13" ht="18" customHeight="1" x14ac:dyDescent="0.25">
      <c r="A221" s="188"/>
      <c r="B221" s="221"/>
      <c r="C221" s="221"/>
      <c r="D221" s="222"/>
      <c r="E221" s="211"/>
      <c r="F221" s="214"/>
      <c r="G221" s="216"/>
      <c r="H221" s="221"/>
      <c r="I221" s="221"/>
      <c r="J221" s="222"/>
      <c r="K221" s="211"/>
      <c r="L221" s="214"/>
      <c r="M221" s="188"/>
    </row>
    <row r="222" spans="1:13" ht="18" customHeight="1" x14ac:dyDescent="0.25">
      <c r="A222" s="188"/>
      <c r="B222" s="221"/>
      <c r="C222" s="221"/>
      <c r="D222" s="222"/>
      <c r="E222" s="211"/>
      <c r="F222" s="214"/>
      <c r="G222" s="216"/>
      <c r="H222" s="221"/>
      <c r="I222" s="221"/>
      <c r="J222" s="222"/>
      <c r="K222" s="211"/>
      <c r="L222" s="214"/>
      <c r="M222" s="188"/>
    </row>
    <row r="223" spans="1:13" ht="18" customHeight="1" x14ac:dyDescent="0.25">
      <c r="A223" s="188"/>
      <c r="B223" s="221"/>
      <c r="C223" s="221"/>
      <c r="D223" s="222"/>
      <c r="E223" s="211"/>
      <c r="F223" s="214"/>
      <c r="G223" s="216"/>
      <c r="H223" s="221"/>
      <c r="I223" s="221"/>
      <c r="J223" s="222"/>
      <c r="K223" s="211"/>
      <c r="L223" s="214"/>
      <c r="M223" s="188"/>
    </row>
    <row r="224" spans="1:13" ht="18" customHeight="1" x14ac:dyDescent="0.25">
      <c r="A224" s="188"/>
      <c r="B224" s="221"/>
      <c r="C224" s="221"/>
      <c r="D224" s="222"/>
      <c r="E224" s="211"/>
      <c r="F224" s="214"/>
      <c r="G224" s="216"/>
      <c r="H224" s="221"/>
      <c r="I224" s="221"/>
      <c r="J224" s="222"/>
      <c r="K224" s="211"/>
      <c r="L224" s="214"/>
      <c r="M224" s="188"/>
    </row>
    <row r="225" spans="1:13" ht="18" customHeight="1" x14ac:dyDescent="0.25">
      <c r="A225" s="188"/>
      <c r="B225" s="221"/>
      <c r="C225" s="221"/>
      <c r="D225" s="222"/>
      <c r="E225" s="211"/>
      <c r="F225" s="214"/>
      <c r="G225" s="216"/>
      <c r="H225" s="221"/>
      <c r="I225" s="221"/>
      <c r="J225" s="222"/>
      <c r="K225" s="211"/>
      <c r="L225" s="214"/>
      <c r="M225" s="188"/>
    </row>
    <row r="226" spans="1:13" ht="18" customHeight="1" x14ac:dyDescent="0.25">
      <c r="A226" s="188"/>
      <c r="B226" s="221"/>
      <c r="C226" s="221"/>
      <c r="D226" s="222"/>
      <c r="E226" s="211"/>
      <c r="F226" s="214"/>
      <c r="G226" s="216"/>
      <c r="H226" s="221"/>
      <c r="I226" s="221"/>
      <c r="J226" s="222"/>
      <c r="K226" s="211"/>
      <c r="L226" s="214"/>
      <c r="M226" s="188"/>
    </row>
    <row r="227" spans="1:13" ht="18" customHeight="1" x14ac:dyDescent="0.25">
      <c r="A227" s="188"/>
      <c r="B227" s="221"/>
      <c r="C227" s="221"/>
      <c r="D227" s="222"/>
      <c r="E227" s="211"/>
      <c r="F227" s="214"/>
      <c r="G227" s="216"/>
      <c r="H227" s="221"/>
      <c r="I227" s="221"/>
      <c r="J227" s="222"/>
      <c r="K227" s="211"/>
      <c r="L227" s="214"/>
      <c r="M227" s="188"/>
    </row>
    <row r="228" spans="1:13" ht="18" customHeight="1" x14ac:dyDescent="0.25">
      <c r="A228" s="188"/>
      <c r="B228" s="221"/>
      <c r="C228" s="221"/>
      <c r="D228" s="222"/>
      <c r="E228" s="211"/>
      <c r="F228" s="214"/>
      <c r="G228" s="216"/>
      <c r="H228" s="221"/>
      <c r="I228" s="221"/>
      <c r="J228" s="222"/>
      <c r="K228" s="211"/>
      <c r="L228" s="214"/>
      <c r="M228" s="188"/>
    </row>
    <row r="229" spans="1:13" ht="18" customHeight="1" x14ac:dyDescent="0.25">
      <c r="A229" s="188"/>
      <c r="B229" s="221"/>
      <c r="C229" s="221"/>
      <c r="D229" s="222"/>
      <c r="E229" s="211"/>
      <c r="F229" s="214"/>
      <c r="G229" s="216"/>
      <c r="H229" s="221"/>
      <c r="I229" s="221"/>
      <c r="J229" s="222"/>
      <c r="K229" s="211"/>
      <c r="L229" s="214"/>
      <c r="M229" s="188"/>
    </row>
    <row r="230" spans="1:13" ht="18" customHeight="1" x14ac:dyDescent="0.25">
      <c r="A230" s="188"/>
      <c r="B230" s="221"/>
      <c r="C230" s="221"/>
      <c r="D230" s="222"/>
      <c r="E230" s="211"/>
      <c r="F230" s="214"/>
      <c r="G230" s="216"/>
      <c r="H230" s="221"/>
      <c r="I230" s="221"/>
      <c r="J230" s="222"/>
      <c r="K230" s="211"/>
      <c r="L230" s="214"/>
      <c r="M230" s="188"/>
    </row>
    <row r="231" spans="1:13" ht="18" customHeight="1" x14ac:dyDescent="0.25">
      <c r="A231" s="188"/>
      <c r="B231" s="221"/>
      <c r="C231" s="221"/>
      <c r="D231" s="222"/>
      <c r="E231" s="211"/>
      <c r="F231" s="214"/>
      <c r="G231" s="216"/>
      <c r="H231" s="221"/>
      <c r="I231" s="221"/>
      <c r="J231" s="222"/>
      <c r="K231" s="211"/>
      <c r="L231" s="214"/>
      <c r="M231" s="188"/>
    </row>
    <row r="232" spans="1:13" ht="18" customHeight="1" x14ac:dyDescent="0.25">
      <c r="A232" s="188"/>
      <c r="B232" s="221"/>
      <c r="C232" s="221"/>
      <c r="D232" s="222"/>
      <c r="E232" s="211"/>
      <c r="F232" s="214"/>
      <c r="G232" s="216"/>
      <c r="H232" s="221"/>
      <c r="I232" s="221"/>
      <c r="J232" s="222"/>
      <c r="K232" s="211"/>
      <c r="L232" s="214"/>
      <c r="M232" s="188"/>
    </row>
    <row r="233" spans="1:13" ht="18" customHeight="1" x14ac:dyDescent="0.25">
      <c r="A233" s="188"/>
      <c r="B233" s="221"/>
      <c r="C233" s="221"/>
      <c r="D233" s="222"/>
      <c r="E233" s="211"/>
      <c r="F233" s="214"/>
      <c r="G233" s="216"/>
      <c r="H233" s="221"/>
      <c r="I233" s="221"/>
      <c r="J233" s="222"/>
      <c r="K233" s="211"/>
      <c r="L233" s="214"/>
      <c r="M233" s="188"/>
    </row>
    <row r="234" spans="1:13" ht="18" customHeight="1" x14ac:dyDescent="0.25">
      <c r="A234" s="188"/>
      <c r="B234" s="221"/>
      <c r="C234" s="221"/>
      <c r="D234" s="222"/>
      <c r="E234" s="211"/>
      <c r="F234" s="214"/>
      <c r="G234" s="216"/>
      <c r="H234" s="221"/>
      <c r="I234" s="221"/>
      <c r="J234" s="222"/>
      <c r="K234" s="211"/>
      <c r="L234" s="214"/>
      <c r="M234" s="188"/>
    </row>
    <row r="235" spans="1:13" ht="18" customHeight="1" x14ac:dyDescent="0.25">
      <c r="A235" s="188"/>
      <c r="B235" s="221"/>
      <c r="C235" s="221"/>
      <c r="D235" s="222"/>
      <c r="E235" s="211"/>
      <c r="F235" s="214"/>
      <c r="G235" s="216"/>
      <c r="H235" s="221"/>
      <c r="I235" s="221"/>
      <c r="J235" s="222"/>
      <c r="K235" s="211"/>
      <c r="L235" s="214"/>
      <c r="M235" s="188"/>
    </row>
    <row r="236" spans="1:13" ht="18" customHeight="1" x14ac:dyDescent="0.25">
      <c r="A236" s="188"/>
      <c r="B236" s="221"/>
      <c r="C236" s="221"/>
      <c r="D236" s="222"/>
      <c r="E236" s="211"/>
      <c r="F236" s="214"/>
      <c r="G236" s="216"/>
      <c r="H236" s="221"/>
      <c r="I236" s="221"/>
      <c r="J236" s="222"/>
      <c r="K236" s="211"/>
      <c r="L236" s="214"/>
      <c r="M236" s="188"/>
    </row>
    <row r="237" spans="1:13" ht="18" customHeight="1" x14ac:dyDescent="0.25">
      <c r="A237" s="188"/>
      <c r="B237" s="221"/>
      <c r="C237" s="221"/>
      <c r="D237" s="222"/>
      <c r="E237" s="211"/>
      <c r="F237" s="214"/>
      <c r="G237" s="216"/>
      <c r="H237" s="221"/>
      <c r="I237" s="221"/>
      <c r="J237" s="222"/>
      <c r="K237" s="211"/>
      <c r="L237" s="214"/>
      <c r="M237" s="188"/>
    </row>
    <row r="238" spans="1:13" ht="18" customHeight="1" x14ac:dyDescent="0.25">
      <c r="A238" s="188"/>
      <c r="B238" s="221"/>
      <c r="C238" s="221"/>
      <c r="D238" s="222"/>
      <c r="E238" s="211"/>
      <c r="F238" s="214"/>
      <c r="G238" s="216"/>
      <c r="H238" s="221"/>
      <c r="I238" s="221"/>
      <c r="J238" s="222"/>
      <c r="K238" s="211"/>
      <c r="L238" s="214"/>
      <c r="M238" s="188"/>
    </row>
    <row r="239" spans="1:13" ht="18" customHeight="1" x14ac:dyDescent="0.25">
      <c r="A239" s="188"/>
      <c r="B239" s="221"/>
      <c r="C239" s="221"/>
      <c r="D239" s="222"/>
      <c r="E239" s="211"/>
      <c r="F239" s="214"/>
      <c r="G239" s="216"/>
      <c r="H239" s="221"/>
      <c r="I239" s="221"/>
      <c r="J239" s="222"/>
      <c r="K239" s="211"/>
      <c r="L239" s="214"/>
      <c r="M239" s="188"/>
    </row>
    <row r="240" spans="1:13" ht="18" customHeight="1" x14ac:dyDescent="0.25">
      <c r="A240" s="188"/>
      <c r="B240" s="221"/>
      <c r="C240" s="221"/>
      <c r="D240" s="222"/>
      <c r="E240" s="211"/>
      <c r="F240" s="214"/>
      <c r="G240" s="216"/>
      <c r="H240" s="221"/>
      <c r="I240" s="221"/>
      <c r="J240" s="222"/>
      <c r="K240" s="211"/>
      <c r="L240" s="214"/>
      <c r="M240" s="188"/>
    </row>
    <row r="241" spans="1:13" ht="18" customHeight="1" x14ac:dyDescent="0.25">
      <c r="A241" s="188"/>
      <c r="B241" s="221"/>
      <c r="C241" s="221"/>
      <c r="D241" s="222"/>
      <c r="E241" s="211"/>
      <c r="F241" s="214"/>
      <c r="G241" s="216"/>
      <c r="H241" s="221"/>
      <c r="I241" s="221"/>
      <c r="J241" s="222"/>
      <c r="K241" s="211"/>
      <c r="L241" s="214"/>
      <c r="M241" s="188"/>
    </row>
    <row r="242" spans="1:13" ht="18" customHeight="1" x14ac:dyDescent="0.25">
      <c r="A242" s="188"/>
      <c r="B242" s="221"/>
      <c r="C242" s="221"/>
      <c r="D242" s="222"/>
      <c r="E242" s="211"/>
      <c r="F242" s="214"/>
      <c r="G242" s="216"/>
      <c r="H242" s="221"/>
      <c r="I242" s="221"/>
      <c r="J242" s="222"/>
      <c r="K242" s="211"/>
      <c r="L242" s="214"/>
      <c r="M242" s="188"/>
    </row>
    <row r="243" spans="1:13" ht="18" customHeight="1" x14ac:dyDescent="0.25">
      <c r="A243" s="188"/>
      <c r="B243" s="221"/>
      <c r="C243" s="221"/>
      <c r="D243" s="222"/>
      <c r="E243" s="211"/>
      <c r="F243" s="214"/>
      <c r="G243" s="216"/>
      <c r="H243" s="221"/>
      <c r="I243" s="221"/>
      <c r="J243" s="222"/>
      <c r="K243" s="211"/>
      <c r="L243" s="214"/>
      <c r="M243" s="188"/>
    </row>
    <row r="244" spans="1:13" ht="18" customHeight="1" x14ac:dyDescent="0.25">
      <c r="A244" s="188"/>
      <c r="B244" s="221"/>
      <c r="C244" s="221"/>
      <c r="D244" s="222"/>
      <c r="E244" s="211"/>
      <c r="F244" s="214"/>
      <c r="G244" s="216"/>
      <c r="H244" s="221"/>
      <c r="I244" s="221"/>
      <c r="J244" s="222"/>
      <c r="K244" s="211"/>
      <c r="L244" s="214"/>
      <c r="M244" s="188"/>
    </row>
    <row r="245" spans="1:13" ht="15.75" customHeight="1" x14ac:dyDescent="0.25"/>
    <row r="246" spans="1:13" ht="15.75" customHeight="1" x14ac:dyDescent="0.25"/>
    <row r="247" spans="1:13" ht="15.75" customHeight="1" x14ac:dyDescent="0.25"/>
    <row r="248" spans="1:13" ht="15.75" customHeight="1" x14ac:dyDescent="0.25"/>
    <row r="249" spans="1:13" ht="15.75" customHeight="1" x14ac:dyDescent="0.25"/>
    <row r="250" spans="1:13" ht="15.75" customHeight="1" x14ac:dyDescent="0.25"/>
    <row r="251" spans="1:13" ht="15.75" customHeight="1" x14ac:dyDescent="0.25"/>
    <row r="252" spans="1:13" ht="15.75" customHeight="1" x14ac:dyDescent="0.25"/>
    <row r="253" spans="1:13" ht="15.75" customHeight="1" x14ac:dyDescent="0.25"/>
    <row r="254" spans="1:13" ht="15.75" customHeight="1" x14ac:dyDescent="0.25"/>
    <row r="255" spans="1:13" ht="15.75" customHeight="1" x14ac:dyDescent="0.25"/>
    <row r="256" spans="1:1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9">
    <mergeCell ref="H41:I41"/>
    <mergeCell ref="H42:I42"/>
    <mergeCell ref="H43:I43"/>
    <mergeCell ref="H44:I44"/>
    <mergeCell ref="H30:I30"/>
    <mergeCell ref="H31:I31"/>
    <mergeCell ref="H32:I32"/>
    <mergeCell ref="H33:I33"/>
    <mergeCell ref="H34:I34"/>
    <mergeCell ref="H35:I35"/>
    <mergeCell ref="H36:I36"/>
    <mergeCell ref="B35:C35"/>
    <mergeCell ref="H37:I37"/>
    <mergeCell ref="H38:I38"/>
    <mergeCell ref="H39:I39"/>
    <mergeCell ref="H40:I40"/>
    <mergeCell ref="B30:C30"/>
    <mergeCell ref="B31:C31"/>
    <mergeCell ref="B32:C32"/>
    <mergeCell ref="B33:C33"/>
    <mergeCell ref="B34:C34"/>
    <mergeCell ref="B27:C27"/>
    <mergeCell ref="H27:I27"/>
    <mergeCell ref="B28:C28"/>
    <mergeCell ref="H28:I28"/>
    <mergeCell ref="H29:I29"/>
    <mergeCell ref="B29:C29"/>
    <mergeCell ref="D22:F22"/>
    <mergeCell ref="J22:L22"/>
    <mergeCell ref="J23:L23"/>
    <mergeCell ref="D23:F23"/>
    <mergeCell ref="B24:C24"/>
    <mergeCell ref="I16:K16"/>
    <mergeCell ref="I17:K17"/>
    <mergeCell ref="B20:F20"/>
    <mergeCell ref="D21:F21"/>
    <mergeCell ref="J21:L21"/>
    <mergeCell ref="J8:K8"/>
    <mergeCell ref="B8:E9"/>
    <mergeCell ref="D12:D15"/>
    <mergeCell ref="E12:E15"/>
    <mergeCell ref="I13:K13"/>
    <mergeCell ref="I14:K14"/>
    <mergeCell ref="I15:K15"/>
    <mergeCell ref="B2:H2"/>
    <mergeCell ref="I2:L2"/>
    <mergeCell ref="B3:G4"/>
    <mergeCell ref="I3:L3"/>
    <mergeCell ref="I4:M5"/>
    <mergeCell ref="B5:G6"/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</mergeCells>
  <conditionalFormatting sqref="B27:C1000 H27:H1000">
    <cfRule type="notContainsBlanks" dxfId="9" priority="1">
      <formula>LEN(TRIM(B27))&gt;0</formula>
    </cfRule>
  </conditionalFormatting>
  <conditionalFormatting sqref="D27:D1000">
    <cfRule type="expression" dxfId="8" priority="2">
      <formula>NOT(ISBLANK(B27))</formula>
    </cfRule>
  </conditionalFormatting>
  <conditionalFormatting sqref="F26:F1000 L26:L1000 E28:E42">
    <cfRule type="cellIs" dxfId="7" priority="4" operator="lessThan">
      <formula>0</formula>
    </cfRule>
  </conditionalFormatting>
  <conditionalFormatting sqref="F27:F1000 L27:L1000 E28:E42">
    <cfRule type="cellIs" dxfId="6" priority="5" operator="equal">
      <formula>0</formula>
    </cfRule>
  </conditionalFormatting>
  <conditionalFormatting sqref="J27:J1000">
    <cfRule type="expression" dxfId="5" priority="3">
      <formula>NOT(ISBLANK(H27))</formula>
    </cfRule>
  </conditionalFormatting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FF"/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5.109375" customWidth="1"/>
    <col min="2" max="2" width="10.44140625" customWidth="1"/>
    <col min="3" max="3" width="14.77734375" customWidth="1"/>
    <col min="4" max="4" width="16.33203125" customWidth="1"/>
    <col min="5" max="5" width="19.44140625" customWidth="1"/>
    <col min="6" max="6" width="5.109375" customWidth="1"/>
    <col min="9" max="9" width="13.21875" customWidth="1"/>
    <col min="11" max="11" width="5.109375" customWidth="1"/>
  </cols>
  <sheetData>
    <row r="1" spans="1:11" ht="33" customHeight="1" x14ac:dyDescent="0.25">
      <c r="A1" s="223"/>
      <c r="B1" s="294" t="s">
        <v>60</v>
      </c>
      <c r="C1" s="266"/>
      <c r="D1" s="266"/>
      <c r="E1" s="266"/>
      <c r="F1" s="266"/>
      <c r="G1" s="266"/>
      <c r="H1" s="266"/>
      <c r="I1" s="266"/>
      <c r="J1" s="266"/>
      <c r="K1" s="223"/>
    </row>
    <row r="2" spans="1:11" ht="48" customHeight="1" x14ac:dyDescent="0.45">
      <c r="A2" s="224"/>
      <c r="B2" s="225" t="s">
        <v>10</v>
      </c>
      <c r="C2" s="226"/>
      <c r="D2" s="227"/>
      <c r="E2" s="227"/>
      <c r="F2" s="227"/>
      <c r="G2" s="225" t="s">
        <v>9</v>
      </c>
      <c r="H2" s="228"/>
      <c r="I2" s="224"/>
      <c r="J2" s="224"/>
      <c r="K2" s="224"/>
    </row>
    <row r="3" spans="1:11" ht="12" customHeight="1" x14ac:dyDescent="0.3">
      <c r="A3" s="13"/>
      <c r="B3" s="229"/>
      <c r="C3" s="230"/>
      <c r="D3" s="229"/>
      <c r="E3" s="229"/>
      <c r="F3" s="13"/>
      <c r="G3" s="229"/>
      <c r="H3" s="231"/>
      <c r="I3" s="229"/>
      <c r="J3" s="229"/>
      <c r="K3" s="13"/>
    </row>
    <row r="4" spans="1:11" ht="24" customHeight="1" x14ac:dyDescent="0.25">
      <c r="A4" s="19"/>
      <c r="B4" s="232" t="s">
        <v>61</v>
      </c>
      <c r="C4" s="232" t="s">
        <v>62</v>
      </c>
      <c r="D4" s="232" t="s">
        <v>63</v>
      </c>
      <c r="E4" s="232" t="s">
        <v>64</v>
      </c>
      <c r="F4" s="19"/>
      <c r="G4" s="232" t="s">
        <v>61</v>
      </c>
      <c r="H4" s="232" t="s">
        <v>62</v>
      </c>
      <c r="I4" s="232" t="s">
        <v>63</v>
      </c>
      <c r="J4" s="232" t="s">
        <v>64</v>
      </c>
      <c r="K4" s="19"/>
    </row>
    <row r="5" spans="1:11" ht="19.5" customHeight="1" x14ac:dyDescent="0.25">
      <c r="A5" s="19"/>
      <c r="B5" s="233"/>
      <c r="C5" s="238"/>
      <c r="D5" s="239"/>
      <c r="E5" s="240"/>
      <c r="F5" s="19"/>
      <c r="G5" s="233"/>
      <c r="H5" s="238"/>
      <c r="I5" s="237"/>
      <c r="J5" s="236"/>
      <c r="K5" s="19"/>
    </row>
    <row r="6" spans="1:11" ht="19.5" customHeight="1" x14ac:dyDescent="0.25">
      <c r="A6" s="19"/>
      <c r="B6" s="233"/>
      <c r="C6" s="238"/>
      <c r="D6" s="239"/>
      <c r="E6" s="240"/>
      <c r="F6" s="19"/>
      <c r="G6" s="233"/>
      <c r="H6" s="238"/>
      <c r="I6" s="237"/>
      <c r="J6" s="236"/>
      <c r="K6" s="19"/>
    </row>
    <row r="7" spans="1:11" ht="19.5" customHeight="1" x14ac:dyDescent="0.25">
      <c r="A7" s="19"/>
      <c r="B7" s="233"/>
      <c r="C7" s="238"/>
      <c r="D7" s="239"/>
      <c r="E7" s="240"/>
      <c r="F7" s="19"/>
      <c r="G7" s="233"/>
      <c r="H7" s="238"/>
      <c r="I7" s="237"/>
      <c r="J7" s="236"/>
      <c r="K7" s="19"/>
    </row>
    <row r="8" spans="1:11" ht="19.5" customHeight="1" x14ac:dyDescent="0.25">
      <c r="A8" s="19"/>
      <c r="B8" s="233"/>
      <c r="C8" s="238"/>
      <c r="D8" s="239"/>
      <c r="E8" s="240"/>
      <c r="F8" s="19"/>
      <c r="G8" s="233"/>
      <c r="H8" s="238"/>
      <c r="I8" s="237"/>
      <c r="J8" s="236"/>
      <c r="K8" s="19"/>
    </row>
    <row r="9" spans="1:11" ht="19.5" customHeight="1" x14ac:dyDescent="0.25">
      <c r="A9" s="19"/>
      <c r="B9" s="233"/>
      <c r="C9" s="238"/>
      <c r="D9" s="239"/>
      <c r="E9" s="240"/>
      <c r="F9" s="19"/>
      <c r="G9" s="233"/>
      <c r="H9" s="238"/>
      <c r="I9" s="237"/>
      <c r="J9" s="236"/>
      <c r="K9" s="19"/>
    </row>
    <row r="10" spans="1:11" ht="19.5" customHeight="1" x14ac:dyDescent="0.25">
      <c r="A10" s="19"/>
      <c r="B10" s="233"/>
      <c r="C10" s="238"/>
      <c r="D10" s="239"/>
      <c r="E10" s="240"/>
      <c r="F10" s="19"/>
      <c r="G10" s="233"/>
      <c r="H10" s="238"/>
      <c r="I10" s="237"/>
      <c r="J10" s="236"/>
      <c r="K10" s="19"/>
    </row>
    <row r="11" spans="1:11" ht="19.5" customHeight="1" x14ac:dyDescent="0.25">
      <c r="A11" s="19"/>
      <c r="B11" s="233"/>
      <c r="C11" s="238"/>
      <c r="D11" s="239"/>
      <c r="E11" s="240"/>
      <c r="F11" s="19"/>
      <c r="G11" s="233"/>
      <c r="H11" s="238"/>
      <c r="I11" s="237"/>
      <c r="J11" s="236"/>
      <c r="K11" s="19"/>
    </row>
    <row r="12" spans="1:11" ht="19.5" customHeight="1" x14ac:dyDescent="0.25">
      <c r="A12" s="19"/>
      <c r="B12" s="233"/>
      <c r="C12" s="238"/>
      <c r="D12" s="239"/>
      <c r="E12" s="240"/>
      <c r="F12" s="19"/>
      <c r="G12" s="233"/>
      <c r="H12" s="238"/>
      <c r="I12" s="237"/>
      <c r="J12" s="236"/>
      <c r="K12" s="19"/>
    </row>
    <row r="13" spans="1:11" ht="19.5" customHeight="1" x14ac:dyDescent="0.25">
      <c r="A13" s="19"/>
      <c r="B13" s="233"/>
      <c r="C13" s="238"/>
      <c r="D13" s="239"/>
      <c r="E13" s="240"/>
      <c r="F13" s="19"/>
      <c r="G13" s="233"/>
      <c r="H13" s="238"/>
      <c r="I13" s="237"/>
      <c r="J13" s="236"/>
      <c r="K13" s="19"/>
    </row>
    <row r="14" spans="1:11" ht="19.5" customHeight="1" x14ac:dyDescent="0.25">
      <c r="A14" s="19"/>
      <c r="B14" s="233"/>
      <c r="C14" s="238"/>
      <c r="D14" s="239"/>
      <c r="E14" s="240"/>
      <c r="F14" s="19"/>
      <c r="G14" s="233"/>
      <c r="H14" s="238"/>
      <c r="I14" s="237"/>
      <c r="J14" s="236"/>
      <c r="K14" s="19"/>
    </row>
    <row r="15" spans="1:11" ht="19.5" customHeight="1" x14ac:dyDescent="0.25">
      <c r="A15" s="19"/>
      <c r="B15" s="233"/>
      <c r="C15" s="238"/>
      <c r="D15" s="239"/>
      <c r="E15" s="240"/>
      <c r="F15" s="19"/>
      <c r="G15" s="233"/>
      <c r="H15" s="238"/>
      <c r="I15" s="237"/>
      <c r="J15" s="236"/>
      <c r="K15" s="19"/>
    </row>
    <row r="16" spans="1:11" ht="19.5" customHeight="1" x14ac:dyDescent="0.25">
      <c r="A16" s="19"/>
      <c r="B16" s="233"/>
      <c r="C16" s="238"/>
      <c r="D16" s="239"/>
      <c r="E16" s="240"/>
      <c r="F16" s="19"/>
      <c r="G16" s="233"/>
      <c r="H16" s="238"/>
      <c r="I16" s="237"/>
      <c r="J16" s="236"/>
      <c r="K16" s="19"/>
    </row>
    <row r="17" spans="1:11" ht="19.5" customHeight="1" x14ac:dyDescent="0.25">
      <c r="A17" s="19"/>
      <c r="B17" s="233"/>
      <c r="C17" s="238"/>
      <c r="D17" s="239"/>
      <c r="E17" s="240"/>
      <c r="F17" s="19"/>
      <c r="G17" s="242"/>
      <c r="H17" s="238"/>
      <c r="I17" s="237"/>
      <c r="J17" s="236"/>
      <c r="K17" s="19"/>
    </row>
    <row r="18" spans="1:11" ht="19.5" customHeight="1" x14ac:dyDescent="0.25">
      <c r="A18" s="19"/>
      <c r="B18" s="233"/>
      <c r="C18" s="238"/>
      <c r="D18" s="239"/>
      <c r="E18" s="240"/>
      <c r="F18" s="19"/>
      <c r="G18" s="242"/>
      <c r="H18" s="238"/>
      <c r="I18" s="237"/>
      <c r="J18" s="236"/>
      <c r="K18" s="19"/>
    </row>
    <row r="19" spans="1:11" ht="19.5" customHeight="1" x14ac:dyDescent="0.25">
      <c r="A19" s="19"/>
      <c r="B19" s="233"/>
      <c r="C19" s="238"/>
      <c r="D19" s="239"/>
      <c r="E19" s="240"/>
      <c r="F19" s="19"/>
      <c r="G19" s="242"/>
      <c r="H19" s="238"/>
      <c r="I19" s="237"/>
      <c r="J19" s="236"/>
      <c r="K19" s="19"/>
    </row>
    <row r="20" spans="1:11" ht="19.5" customHeight="1" x14ac:dyDescent="0.25">
      <c r="A20" s="19"/>
      <c r="B20" s="233"/>
      <c r="C20" s="254"/>
      <c r="D20" s="255"/>
      <c r="E20" s="240"/>
      <c r="F20" s="19"/>
      <c r="G20" s="242"/>
      <c r="H20" s="238"/>
      <c r="I20" s="237"/>
      <c r="J20" s="236"/>
      <c r="K20" s="19"/>
    </row>
    <row r="21" spans="1:11" ht="19.5" customHeight="1" x14ac:dyDescent="0.25">
      <c r="A21" s="19"/>
      <c r="B21" s="233"/>
      <c r="C21" s="238"/>
      <c r="D21" s="239"/>
      <c r="E21" s="240"/>
      <c r="F21" s="19"/>
      <c r="G21" s="242"/>
      <c r="H21" s="238"/>
      <c r="I21" s="237"/>
      <c r="J21" s="236"/>
      <c r="K21" s="19"/>
    </row>
    <row r="22" spans="1:11" ht="19.5" customHeight="1" x14ac:dyDescent="0.25">
      <c r="A22" s="19"/>
      <c r="B22" s="233"/>
      <c r="C22" s="238"/>
      <c r="D22" s="239"/>
      <c r="E22" s="240"/>
      <c r="F22" s="19"/>
      <c r="G22" s="242"/>
      <c r="H22" s="238"/>
      <c r="I22" s="237"/>
      <c r="J22" s="236"/>
      <c r="K22" s="19"/>
    </row>
    <row r="23" spans="1:11" ht="19.5" customHeight="1" x14ac:dyDescent="0.25">
      <c r="A23" s="19"/>
      <c r="B23" s="242"/>
      <c r="C23" s="238"/>
      <c r="D23" s="239"/>
      <c r="E23" s="240"/>
      <c r="F23" s="19"/>
      <c r="G23" s="242"/>
      <c r="H23" s="238"/>
      <c r="I23" s="237"/>
      <c r="J23" s="236"/>
      <c r="K23" s="19"/>
    </row>
    <row r="24" spans="1:11" ht="19.5" customHeight="1" x14ac:dyDescent="0.25">
      <c r="A24" s="19"/>
      <c r="B24" s="242"/>
      <c r="C24" s="238"/>
      <c r="D24" s="239"/>
      <c r="E24" s="240"/>
      <c r="F24" s="19"/>
      <c r="G24" s="242"/>
      <c r="H24" s="238"/>
      <c r="I24" s="237"/>
      <c r="J24" s="236"/>
      <c r="K24" s="19"/>
    </row>
    <row r="25" spans="1:11" ht="19.5" customHeight="1" x14ac:dyDescent="0.25">
      <c r="A25" s="19"/>
      <c r="B25" s="242"/>
      <c r="C25" s="238"/>
      <c r="D25" s="239"/>
      <c r="E25" s="240"/>
      <c r="F25" s="19"/>
      <c r="G25" s="242"/>
      <c r="H25" s="238"/>
      <c r="I25" s="237"/>
      <c r="J25" s="236"/>
      <c r="K25" s="19"/>
    </row>
    <row r="26" spans="1:11" ht="19.5" customHeight="1" x14ac:dyDescent="0.25">
      <c r="A26" s="19"/>
      <c r="B26" s="242"/>
      <c r="C26" s="238"/>
      <c r="D26" s="239"/>
      <c r="E26" s="240"/>
      <c r="F26" s="19"/>
      <c r="G26" s="242"/>
      <c r="H26" s="238"/>
      <c r="I26" s="237"/>
      <c r="J26" s="236"/>
      <c r="K26" s="19"/>
    </row>
    <row r="27" spans="1:11" ht="19.5" customHeight="1" x14ac:dyDescent="0.25">
      <c r="A27" s="19"/>
      <c r="B27" s="242"/>
      <c r="C27" s="238"/>
      <c r="D27" s="239"/>
      <c r="E27" s="240"/>
      <c r="F27" s="19"/>
      <c r="G27" s="242"/>
      <c r="H27" s="238"/>
      <c r="I27" s="237"/>
      <c r="J27" s="236"/>
      <c r="K27" s="19"/>
    </row>
    <row r="28" spans="1:11" ht="19.5" customHeight="1" x14ac:dyDescent="0.25">
      <c r="A28" s="19"/>
      <c r="B28" s="242"/>
      <c r="C28" s="238"/>
      <c r="D28" s="239"/>
      <c r="E28" s="240"/>
      <c r="F28" s="19"/>
      <c r="G28" s="242"/>
      <c r="H28" s="238"/>
      <c r="I28" s="237"/>
      <c r="J28" s="236"/>
      <c r="K28" s="19"/>
    </row>
    <row r="29" spans="1:11" ht="19.5" customHeight="1" x14ac:dyDescent="0.25">
      <c r="A29" s="19"/>
      <c r="B29" s="242"/>
      <c r="C29" s="238"/>
      <c r="D29" s="239"/>
      <c r="E29" s="240"/>
      <c r="F29" s="19"/>
      <c r="G29" s="242"/>
      <c r="H29" s="238"/>
      <c r="I29" s="237"/>
      <c r="J29" s="236"/>
      <c r="K29" s="19"/>
    </row>
    <row r="30" spans="1:11" ht="19.5" customHeight="1" x14ac:dyDescent="0.25">
      <c r="A30" s="19"/>
      <c r="B30" s="242"/>
      <c r="C30" s="238"/>
      <c r="D30" s="239"/>
      <c r="E30" s="240"/>
      <c r="F30" s="19"/>
      <c r="G30" s="242"/>
      <c r="H30" s="238"/>
      <c r="I30" s="237"/>
      <c r="J30" s="236"/>
      <c r="K30" s="19"/>
    </row>
    <row r="31" spans="1:11" ht="19.5" customHeight="1" x14ac:dyDescent="0.25">
      <c r="A31" s="19"/>
      <c r="B31" s="242"/>
      <c r="C31" s="238"/>
      <c r="D31" s="239"/>
      <c r="E31" s="240"/>
      <c r="F31" s="19"/>
      <c r="G31" s="233"/>
      <c r="H31" s="238"/>
      <c r="I31" s="237"/>
      <c r="J31" s="236"/>
      <c r="K31" s="19"/>
    </row>
    <row r="32" spans="1:11" ht="19.5" customHeight="1" x14ac:dyDescent="0.25">
      <c r="A32" s="19"/>
      <c r="B32" s="242"/>
      <c r="C32" s="238"/>
      <c r="D32" s="239"/>
      <c r="E32" s="240"/>
      <c r="F32" s="19"/>
      <c r="G32" s="233"/>
      <c r="H32" s="238"/>
      <c r="I32" s="237"/>
      <c r="J32" s="236"/>
      <c r="K32" s="19"/>
    </row>
    <row r="33" spans="1:11" ht="19.5" customHeight="1" x14ac:dyDescent="0.25">
      <c r="A33" s="19"/>
      <c r="B33" s="242"/>
      <c r="C33" s="254"/>
      <c r="D33" s="255"/>
      <c r="E33" s="240"/>
      <c r="F33" s="19"/>
      <c r="G33" s="233"/>
      <c r="H33" s="238"/>
      <c r="I33" s="237"/>
      <c r="J33" s="236"/>
      <c r="K33" s="19"/>
    </row>
    <row r="34" spans="1:11" ht="19.5" customHeight="1" x14ac:dyDescent="0.25">
      <c r="A34" s="19"/>
      <c r="B34" s="242"/>
      <c r="C34" s="238"/>
      <c r="D34" s="239"/>
      <c r="E34" s="240"/>
      <c r="F34" s="19"/>
      <c r="G34" s="242"/>
      <c r="H34" s="238"/>
      <c r="I34" s="237"/>
      <c r="J34" s="236"/>
      <c r="K34" s="19"/>
    </row>
    <row r="35" spans="1:11" ht="19.5" customHeight="1" x14ac:dyDescent="0.25">
      <c r="A35" s="19"/>
      <c r="B35" s="242"/>
      <c r="C35" s="238"/>
      <c r="D35" s="239"/>
      <c r="E35" s="240"/>
      <c r="F35" s="19"/>
      <c r="G35" s="242"/>
      <c r="H35" s="238"/>
      <c r="I35" s="237"/>
      <c r="J35" s="236"/>
      <c r="K35" s="19"/>
    </row>
    <row r="36" spans="1:11" ht="19.5" customHeight="1" x14ac:dyDescent="0.25">
      <c r="A36" s="19"/>
      <c r="B36" s="242"/>
      <c r="C36" s="238"/>
      <c r="D36" s="239"/>
      <c r="E36" s="240"/>
      <c r="F36" s="19"/>
      <c r="G36" s="242"/>
      <c r="H36" s="238"/>
      <c r="I36" s="237"/>
      <c r="J36" s="236"/>
      <c r="K36" s="19"/>
    </row>
    <row r="37" spans="1:11" ht="19.5" customHeight="1" x14ac:dyDescent="0.25">
      <c r="A37" s="19"/>
      <c r="B37" s="233"/>
      <c r="C37" s="238"/>
      <c r="D37" s="239"/>
      <c r="E37" s="240"/>
      <c r="F37" s="19"/>
      <c r="G37" s="242"/>
      <c r="H37" s="238"/>
      <c r="I37" s="237"/>
      <c r="J37" s="236"/>
      <c r="K37" s="19"/>
    </row>
    <row r="38" spans="1:11" ht="19.5" customHeight="1" x14ac:dyDescent="0.25">
      <c r="A38" s="19"/>
      <c r="B38" s="233"/>
      <c r="C38" s="238"/>
      <c r="D38" s="239"/>
      <c r="E38" s="240"/>
      <c r="F38" s="19"/>
      <c r="G38" s="242"/>
      <c r="H38" s="238"/>
      <c r="I38" s="237"/>
      <c r="J38" s="236"/>
      <c r="K38" s="19"/>
    </row>
    <row r="39" spans="1:11" ht="19.5" customHeight="1" x14ac:dyDescent="0.25">
      <c r="A39" s="19"/>
      <c r="B39" s="233"/>
      <c r="C39" s="238"/>
      <c r="D39" s="239"/>
      <c r="E39" s="240"/>
      <c r="F39" s="19"/>
      <c r="G39" s="242"/>
      <c r="H39" s="238"/>
      <c r="I39" s="237"/>
      <c r="J39" s="236"/>
      <c r="K39" s="19"/>
    </row>
    <row r="40" spans="1:11" ht="19.5" customHeight="1" x14ac:dyDescent="0.25">
      <c r="A40" s="19"/>
      <c r="B40" s="233"/>
      <c r="C40" s="238"/>
      <c r="D40" s="239"/>
      <c r="E40" s="240"/>
      <c r="F40" s="19"/>
      <c r="G40" s="242"/>
      <c r="H40" s="238"/>
      <c r="I40" s="237"/>
      <c r="J40" s="236"/>
      <c r="K40" s="19"/>
    </row>
    <row r="41" spans="1:11" ht="19.5" customHeight="1" x14ac:dyDescent="0.25">
      <c r="A41" s="19"/>
      <c r="B41" s="233"/>
      <c r="C41" s="238"/>
      <c r="D41" s="239"/>
      <c r="E41" s="240"/>
      <c r="F41" s="19"/>
      <c r="G41" s="242"/>
      <c r="H41" s="238"/>
      <c r="I41" s="237"/>
      <c r="J41" s="236"/>
      <c r="K41" s="19"/>
    </row>
    <row r="42" spans="1:11" ht="19.5" customHeight="1" x14ac:dyDescent="0.25">
      <c r="A42" s="19"/>
      <c r="B42" s="233"/>
      <c r="C42" s="238"/>
      <c r="D42" s="239"/>
      <c r="E42" s="240"/>
      <c r="F42" s="19"/>
      <c r="G42" s="242"/>
      <c r="H42" s="238"/>
      <c r="I42" s="237"/>
      <c r="J42" s="236"/>
      <c r="K42" s="19"/>
    </row>
    <row r="43" spans="1:11" ht="19.5" customHeight="1" x14ac:dyDescent="0.25">
      <c r="A43" s="19"/>
      <c r="B43" s="233"/>
      <c r="C43" s="238"/>
      <c r="D43" s="239"/>
      <c r="E43" s="240"/>
      <c r="F43" s="19"/>
      <c r="G43" s="242"/>
      <c r="H43" s="238"/>
      <c r="I43" s="237"/>
      <c r="J43" s="236"/>
      <c r="K43" s="19"/>
    </row>
    <row r="44" spans="1:11" ht="19.5" customHeight="1" x14ac:dyDescent="0.25">
      <c r="A44" s="19"/>
      <c r="B44" s="233"/>
      <c r="C44" s="238"/>
      <c r="D44" s="239"/>
      <c r="E44" s="240"/>
      <c r="F44" s="19"/>
      <c r="G44" s="242"/>
      <c r="H44" s="238"/>
      <c r="I44" s="241"/>
      <c r="J44" s="236"/>
      <c r="K44" s="19"/>
    </row>
    <row r="45" spans="1:11" ht="19.5" customHeight="1" x14ac:dyDescent="0.25">
      <c r="A45" s="19"/>
      <c r="B45" s="233"/>
      <c r="C45" s="238"/>
      <c r="D45" s="239"/>
      <c r="E45" s="240"/>
      <c r="F45" s="19"/>
      <c r="G45" s="242"/>
      <c r="H45" s="238"/>
      <c r="I45" s="241"/>
      <c r="J45" s="236"/>
      <c r="K45" s="19"/>
    </row>
    <row r="46" spans="1:11" ht="19.5" customHeight="1" x14ac:dyDescent="0.25">
      <c r="A46" s="19"/>
      <c r="B46" s="233"/>
      <c r="C46" s="238"/>
      <c r="D46" s="239"/>
      <c r="E46" s="240"/>
      <c r="F46" s="19"/>
      <c r="G46" s="242"/>
      <c r="H46" s="238"/>
      <c r="I46" s="241"/>
      <c r="J46" s="236"/>
      <c r="K46" s="19"/>
    </row>
    <row r="47" spans="1:11" ht="19.5" customHeight="1" x14ac:dyDescent="0.25">
      <c r="A47" s="19"/>
      <c r="B47" s="233"/>
      <c r="C47" s="238"/>
      <c r="D47" s="239"/>
      <c r="E47" s="240"/>
      <c r="F47" s="19"/>
      <c r="G47" s="242"/>
      <c r="H47" s="238"/>
      <c r="I47" s="241"/>
      <c r="J47" s="236"/>
      <c r="K47" s="19"/>
    </row>
    <row r="48" spans="1:11" ht="19.5" customHeight="1" x14ac:dyDescent="0.25">
      <c r="A48" s="19"/>
      <c r="B48" s="233"/>
      <c r="C48" s="238"/>
      <c r="D48" s="239"/>
      <c r="E48" s="240"/>
      <c r="F48" s="19"/>
      <c r="G48" s="242"/>
      <c r="H48" s="238"/>
      <c r="I48" s="241"/>
      <c r="J48" s="236"/>
      <c r="K48" s="19"/>
    </row>
    <row r="49" spans="1:11" ht="19.5" customHeight="1" x14ac:dyDescent="0.25">
      <c r="A49" s="19"/>
      <c r="B49" s="233"/>
      <c r="C49" s="238"/>
      <c r="D49" s="239"/>
      <c r="E49" s="240"/>
      <c r="F49" s="19"/>
      <c r="G49" s="242"/>
      <c r="H49" s="238"/>
      <c r="I49" s="237"/>
      <c r="J49" s="236"/>
      <c r="K49" s="19"/>
    </row>
    <row r="50" spans="1:11" ht="19.5" customHeight="1" x14ac:dyDescent="0.25">
      <c r="A50" s="19"/>
      <c r="B50" s="233"/>
      <c r="C50" s="238"/>
      <c r="D50" s="239"/>
      <c r="E50" s="240"/>
      <c r="F50" s="19"/>
      <c r="G50" s="242"/>
      <c r="H50" s="238"/>
      <c r="I50" s="241"/>
      <c r="J50" s="236"/>
      <c r="K50" s="19"/>
    </row>
    <row r="51" spans="1:11" ht="19.5" customHeight="1" x14ac:dyDescent="0.25">
      <c r="A51" s="19"/>
      <c r="B51" s="233"/>
      <c r="C51" s="238"/>
      <c r="D51" s="239"/>
      <c r="E51" s="240"/>
      <c r="F51" s="19"/>
      <c r="G51" s="242"/>
      <c r="H51" s="238"/>
      <c r="I51" s="237"/>
      <c r="J51" s="236"/>
      <c r="K51" s="19"/>
    </row>
    <row r="52" spans="1:11" ht="19.5" customHeight="1" x14ac:dyDescent="0.25">
      <c r="A52" s="19"/>
      <c r="B52" s="233"/>
      <c r="C52" s="238"/>
      <c r="D52" s="239"/>
      <c r="E52" s="240"/>
      <c r="F52" s="19"/>
      <c r="G52" s="242"/>
      <c r="H52" s="238"/>
      <c r="I52" s="237"/>
      <c r="J52" s="236"/>
      <c r="K52" s="19"/>
    </row>
    <row r="53" spans="1:11" ht="19.5" customHeight="1" x14ac:dyDescent="0.25">
      <c r="A53" s="19"/>
      <c r="B53" s="233"/>
      <c r="C53" s="238"/>
      <c r="D53" s="239"/>
      <c r="E53" s="240"/>
      <c r="F53" s="19"/>
      <c r="G53" s="242"/>
      <c r="H53" s="238"/>
      <c r="I53" s="241"/>
      <c r="J53" s="236"/>
      <c r="K53" s="19"/>
    </row>
    <row r="54" spans="1:11" ht="19.5" customHeight="1" x14ac:dyDescent="0.25">
      <c r="A54" s="19"/>
      <c r="B54" s="233"/>
      <c r="C54" s="238"/>
      <c r="D54" s="239"/>
      <c r="E54" s="240"/>
      <c r="F54" s="19"/>
      <c r="G54" s="242"/>
      <c r="H54" s="238"/>
      <c r="I54" s="241"/>
      <c r="J54" s="240"/>
      <c r="K54" s="19"/>
    </row>
    <row r="55" spans="1:11" ht="19.5" customHeight="1" x14ac:dyDescent="0.25">
      <c r="A55" s="19"/>
      <c r="B55" s="233"/>
      <c r="C55" s="238"/>
      <c r="D55" s="239"/>
      <c r="E55" s="240"/>
      <c r="F55" s="19"/>
      <c r="G55" s="242"/>
      <c r="H55" s="238"/>
      <c r="I55" s="241"/>
      <c r="J55" s="240"/>
      <c r="K55" s="19"/>
    </row>
    <row r="56" spans="1:11" ht="19.5" customHeight="1" x14ac:dyDescent="0.25">
      <c r="A56" s="19"/>
      <c r="B56" s="233"/>
      <c r="C56" s="238"/>
      <c r="D56" s="239"/>
      <c r="E56" s="240"/>
      <c r="F56" s="19"/>
      <c r="G56" s="242"/>
      <c r="H56" s="238"/>
      <c r="I56" s="241"/>
      <c r="J56" s="240"/>
      <c r="K56" s="19"/>
    </row>
    <row r="57" spans="1:11" ht="19.5" customHeight="1" x14ac:dyDescent="0.25">
      <c r="A57" s="19"/>
      <c r="B57" s="233"/>
      <c r="C57" s="238"/>
      <c r="D57" s="239"/>
      <c r="E57" s="240"/>
      <c r="F57" s="19"/>
      <c r="G57" s="242"/>
      <c r="H57" s="238"/>
      <c r="I57" s="241"/>
      <c r="J57" s="236"/>
      <c r="K57" s="19"/>
    </row>
    <row r="58" spans="1:11" ht="19.5" customHeight="1" x14ac:dyDescent="0.25">
      <c r="A58" s="19"/>
      <c r="B58" s="233"/>
      <c r="C58" s="238"/>
      <c r="D58" s="239"/>
      <c r="E58" s="240"/>
      <c r="F58" s="19"/>
      <c r="G58" s="242"/>
      <c r="H58" s="238"/>
      <c r="I58" s="237"/>
      <c r="J58" s="236"/>
      <c r="K58" s="19"/>
    </row>
    <row r="59" spans="1:11" ht="19.5" customHeight="1" x14ac:dyDescent="0.25">
      <c r="A59" s="19"/>
      <c r="B59" s="233"/>
      <c r="C59" s="238"/>
      <c r="D59" s="239"/>
      <c r="E59" s="240"/>
      <c r="F59" s="19"/>
      <c r="G59" s="242"/>
      <c r="H59" s="238"/>
      <c r="I59" s="237"/>
      <c r="J59" s="236"/>
      <c r="K59" s="19"/>
    </row>
    <row r="60" spans="1:11" ht="19.5" customHeight="1" x14ac:dyDescent="0.3">
      <c r="A60" s="19"/>
      <c r="B60" s="233"/>
      <c r="C60" s="238"/>
      <c r="D60" s="253"/>
      <c r="E60" s="240"/>
      <c r="F60" s="19"/>
      <c r="G60" s="242"/>
      <c r="H60" s="238"/>
      <c r="I60" s="237"/>
      <c r="J60" s="236"/>
      <c r="K60" s="19"/>
    </row>
    <row r="61" spans="1:11" ht="19.5" customHeight="1" x14ac:dyDescent="0.25">
      <c r="A61" s="19"/>
      <c r="B61" s="233"/>
      <c r="C61" s="238"/>
      <c r="D61" s="239"/>
      <c r="E61" s="240"/>
      <c r="F61" s="19"/>
      <c r="G61" s="242"/>
      <c r="H61" s="238"/>
      <c r="I61" s="237"/>
      <c r="J61" s="236"/>
      <c r="K61" s="19"/>
    </row>
    <row r="62" spans="1:11" ht="19.5" customHeight="1" x14ac:dyDescent="0.25">
      <c r="A62" s="19"/>
      <c r="B62" s="233"/>
      <c r="C62" s="254"/>
      <c r="D62" s="255"/>
      <c r="E62" s="240"/>
      <c r="F62" s="19"/>
      <c r="G62" s="242"/>
      <c r="H62" s="238"/>
      <c r="I62" s="241"/>
      <c r="J62" s="236"/>
      <c r="K62" s="19"/>
    </row>
    <row r="63" spans="1:11" ht="19.5" customHeight="1" x14ac:dyDescent="0.25">
      <c r="A63" s="19"/>
      <c r="B63" s="233"/>
      <c r="C63" s="238"/>
      <c r="D63" s="239"/>
      <c r="E63" s="240"/>
      <c r="F63" s="19"/>
      <c r="G63" s="242"/>
      <c r="H63" s="238"/>
      <c r="I63" s="241"/>
      <c r="J63" s="240"/>
      <c r="K63" s="19"/>
    </row>
    <row r="64" spans="1:11" ht="19.5" customHeight="1" x14ac:dyDescent="0.25">
      <c r="A64" s="19"/>
      <c r="B64" s="233"/>
      <c r="C64" s="238"/>
      <c r="D64" s="239"/>
      <c r="E64" s="240"/>
      <c r="F64" s="19"/>
      <c r="G64" s="242"/>
      <c r="H64" s="238"/>
      <c r="I64" s="241"/>
      <c r="J64" s="240"/>
      <c r="K64" s="19"/>
    </row>
    <row r="65" spans="1:11" ht="19.5" customHeight="1" x14ac:dyDescent="0.25">
      <c r="A65" s="19"/>
      <c r="B65" s="233"/>
      <c r="C65" s="238"/>
      <c r="D65" s="239"/>
      <c r="E65" s="240"/>
      <c r="F65" s="19"/>
      <c r="G65" s="242"/>
      <c r="H65" s="238"/>
      <c r="I65" s="241"/>
      <c r="J65" s="240"/>
      <c r="K65" s="19"/>
    </row>
    <row r="66" spans="1:11" ht="19.5" customHeight="1" x14ac:dyDescent="0.25">
      <c r="A66" s="19"/>
      <c r="B66" s="233"/>
      <c r="C66" s="238"/>
      <c r="D66" s="239"/>
      <c r="E66" s="240"/>
      <c r="F66" s="19"/>
      <c r="G66" s="242"/>
      <c r="H66" s="238"/>
      <c r="I66" s="241"/>
      <c r="J66" s="240"/>
      <c r="K66" s="19"/>
    </row>
    <row r="67" spans="1:11" ht="19.5" customHeight="1" x14ac:dyDescent="0.25">
      <c r="A67" s="19"/>
      <c r="B67" s="233"/>
      <c r="C67" s="238"/>
      <c r="D67" s="239"/>
      <c r="E67" s="240"/>
      <c r="F67" s="19"/>
      <c r="G67" s="242"/>
      <c r="H67" s="238"/>
      <c r="I67" s="241"/>
      <c r="J67" s="240"/>
      <c r="K67" s="19"/>
    </row>
    <row r="68" spans="1:11" ht="19.5" customHeight="1" x14ac:dyDescent="0.25">
      <c r="A68" s="19"/>
      <c r="B68" s="233"/>
      <c r="C68" s="238"/>
      <c r="D68" s="239"/>
      <c r="E68" s="240"/>
      <c r="F68" s="19"/>
      <c r="G68" s="242"/>
      <c r="H68" s="238"/>
      <c r="I68" s="241"/>
      <c r="J68" s="240"/>
      <c r="K68" s="19"/>
    </row>
    <row r="69" spans="1:11" ht="19.5" customHeight="1" x14ac:dyDescent="0.25">
      <c r="A69" s="19"/>
      <c r="B69" s="233"/>
      <c r="C69" s="238"/>
      <c r="D69" s="261"/>
      <c r="E69" s="240"/>
      <c r="F69" s="19"/>
      <c r="G69" s="242"/>
      <c r="H69" s="238"/>
      <c r="I69" s="241"/>
      <c r="J69" s="240"/>
      <c r="K69" s="19"/>
    </row>
    <row r="70" spans="1:11" ht="19.5" customHeight="1" x14ac:dyDescent="0.25">
      <c r="A70" s="19"/>
      <c r="B70" s="233"/>
      <c r="C70" s="262"/>
      <c r="D70" s="263"/>
      <c r="E70" s="240"/>
      <c r="F70" s="19"/>
      <c r="G70" s="242"/>
      <c r="H70" s="238"/>
      <c r="I70" s="241"/>
      <c r="J70" s="240"/>
      <c r="K70" s="19"/>
    </row>
    <row r="71" spans="1:11" ht="19.5" customHeight="1" x14ac:dyDescent="0.25">
      <c r="A71" s="19"/>
      <c r="B71" s="233"/>
      <c r="C71" s="254"/>
      <c r="D71" s="255"/>
      <c r="E71" s="240"/>
      <c r="F71" s="19"/>
      <c r="G71" s="242"/>
      <c r="H71" s="238"/>
      <c r="I71" s="241"/>
      <c r="J71" s="240"/>
      <c r="K71" s="19"/>
    </row>
    <row r="72" spans="1:11" ht="19.5" customHeight="1" x14ac:dyDescent="0.25">
      <c r="A72" s="19"/>
      <c r="B72" s="233"/>
      <c r="C72" s="238"/>
      <c r="D72" s="239"/>
      <c r="E72" s="240"/>
      <c r="F72" s="19"/>
      <c r="G72" s="242"/>
      <c r="H72" s="238"/>
      <c r="I72" s="241"/>
      <c r="J72" s="240"/>
      <c r="K72" s="19"/>
    </row>
    <row r="73" spans="1:11" ht="19.5" customHeight="1" x14ac:dyDescent="0.25">
      <c r="A73" s="19"/>
      <c r="B73" s="233"/>
      <c r="C73" s="238"/>
      <c r="D73" s="239"/>
      <c r="E73" s="240"/>
      <c r="F73" s="19"/>
      <c r="G73" s="242"/>
      <c r="H73" s="238"/>
      <c r="I73" s="241"/>
      <c r="J73" s="240"/>
      <c r="K73" s="19"/>
    </row>
    <row r="74" spans="1:11" ht="19.5" customHeight="1" x14ac:dyDescent="0.25">
      <c r="A74" s="19"/>
      <c r="B74" s="233"/>
      <c r="C74" s="238"/>
      <c r="D74" s="239"/>
      <c r="E74" s="240"/>
      <c r="F74" s="19"/>
      <c r="G74" s="242"/>
      <c r="H74" s="238"/>
      <c r="I74" s="241"/>
      <c r="J74" s="240"/>
      <c r="K74" s="19"/>
    </row>
    <row r="75" spans="1:11" ht="19.5" customHeight="1" x14ac:dyDescent="0.25">
      <c r="A75" s="19"/>
      <c r="B75" s="233"/>
      <c r="C75" s="238"/>
      <c r="D75" s="239"/>
      <c r="E75" s="240"/>
      <c r="F75" s="19"/>
      <c r="G75" s="242"/>
      <c r="H75" s="238"/>
      <c r="I75" s="241"/>
      <c r="J75" s="240"/>
      <c r="K75" s="19"/>
    </row>
    <row r="76" spans="1:11" ht="19.5" customHeight="1" x14ac:dyDescent="0.25">
      <c r="A76" s="19"/>
      <c r="B76" s="233"/>
      <c r="C76" s="238"/>
      <c r="D76" s="239"/>
      <c r="E76" s="240"/>
      <c r="F76" s="19"/>
      <c r="G76" s="242"/>
      <c r="H76" s="238"/>
      <c r="I76" s="241"/>
      <c r="J76" s="240"/>
      <c r="K76" s="19"/>
    </row>
    <row r="77" spans="1:11" ht="19.5" customHeight="1" x14ac:dyDescent="0.25">
      <c r="A77" s="19"/>
      <c r="B77" s="233"/>
      <c r="C77" s="238"/>
      <c r="D77" s="239"/>
      <c r="E77" s="240"/>
      <c r="F77" s="19"/>
      <c r="G77" s="242"/>
      <c r="H77" s="238"/>
      <c r="I77" s="241"/>
      <c r="J77" s="240"/>
      <c r="K77" s="19"/>
    </row>
    <row r="78" spans="1:11" ht="19.5" customHeight="1" x14ac:dyDescent="0.25">
      <c r="A78" s="19"/>
      <c r="B78" s="233"/>
      <c r="C78" s="238"/>
      <c r="D78" s="239"/>
      <c r="E78" s="240"/>
      <c r="F78" s="19"/>
      <c r="G78" s="242"/>
      <c r="H78" s="238"/>
      <c r="I78" s="241"/>
      <c r="J78" s="240"/>
      <c r="K78" s="19"/>
    </row>
    <row r="79" spans="1:11" ht="19.5" customHeight="1" x14ac:dyDescent="0.25">
      <c r="A79" s="19"/>
      <c r="B79" s="233"/>
      <c r="C79" s="238"/>
      <c r="D79" s="239"/>
      <c r="E79" s="240"/>
      <c r="F79" s="19"/>
      <c r="G79" s="242"/>
      <c r="H79" s="238"/>
      <c r="I79" s="241"/>
      <c r="J79" s="240"/>
      <c r="K79" s="19"/>
    </row>
    <row r="80" spans="1:11" ht="19.5" customHeight="1" x14ac:dyDescent="0.25">
      <c r="A80" s="19"/>
      <c r="B80" s="233"/>
      <c r="C80" s="238"/>
      <c r="D80" s="239"/>
      <c r="E80" s="240"/>
      <c r="F80" s="19"/>
      <c r="G80" s="242"/>
      <c r="H80" s="238"/>
      <c r="I80" s="241"/>
      <c r="J80" s="240"/>
      <c r="K80" s="19"/>
    </row>
    <row r="81" spans="1:11" ht="19.5" customHeight="1" x14ac:dyDescent="0.25">
      <c r="A81" s="19"/>
      <c r="B81" s="233"/>
      <c r="C81" s="238"/>
      <c r="D81" s="239"/>
      <c r="E81" s="240"/>
      <c r="F81" s="19"/>
      <c r="G81" s="242"/>
      <c r="H81" s="238"/>
      <c r="I81" s="241"/>
      <c r="J81" s="240"/>
      <c r="K81" s="19"/>
    </row>
    <row r="82" spans="1:11" ht="19.5" customHeight="1" x14ac:dyDescent="0.25">
      <c r="A82" s="19"/>
      <c r="B82" s="233"/>
      <c r="C82" s="238"/>
      <c r="D82" s="239"/>
      <c r="E82" s="240"/>
      <c r="F82" s="19"/>
      <c r="G82" s="242"/>
      <c r="H82" s="238"/>
      <c r="I82" s="241"/>
      <c r="J82" s="240"/>
      <c r="K82" s="19"/>
    </row>
    <row r="83" spans="1:11" ht="19.5" customHeight="1" x14ac:dyDescent="0.25">
      <c r="A83" s="19"/>
      <c r="B83" s="233"/>
      <c r="C83" s="238"/>
      <c r="D83" s="239"/>
      <c r="E83" s="240"/>
      <c r="F83" s="19"/>
      <c r="G83" s="242"/>
      <c r="H83" s="238"/>
      <c r="I83" s="241"/>
      <c r="J83" s="240"/>
      <c r="K83" s="19"/>
    </row>
    <row r="84" spans="1:11" ht="19.5" customHeight="1" x14ac:dyDescent="0.25">
      <c r="A84" s="19"/>
      <c r="B84" s="233"/>
      <c r="C84" s="238"/>
      <c r="D84" s="239"/>
      <c r="E84" s="240"/>
      <c r="F84" s="19"/>
      <c r="G84" s="242"/>
      <c r="H84" s="238"/>
      <c r="I84" s="241"/>
      <c r="J84" s="240"/>
      <c r="K84" s="19"/>
    </row>
    <row r="85" spans="1:11" ht="19.5" customHeight="1" x14ac:dyDescent="0.25">
      <c r="A85" s="19"/>
      <c r="B85" s="233"/>
      <c r="C85" s="238"/>
      <c r="D85" s="239"/>
      <c r="E85" s="240"/>
      <c r="F85" s="19"/>
      <c r="G85" s="242"/>
      <c r="H85" s="238"/>
      <c r="I85" s="241"/>
      <c r="J85" s="240"/>
      <c r="K85" s="19"/>
    </row>
    <row r="86" spans="1:11" ht="19.5" customHeight="1" x14ac:dyDescent="0.25">
      <c r="A86" s="19"/>
      <c r="B86" s="233"/>
      <c r="C86" s="238"/>
      <c r="D86" s="239"/>
      <c r="E86" s="240"/>
      <c r="F86" s="19"/>
      <c r="G86" s="242"/>
      <c r="H86" s="238"/>
      <c r="I86" s="241"/>
      <c r="J86" s="240"/>
      <c r="K86" s="19"/>
    </row>
    <row r="87" spans="1:11" ht="19.5" customHeight="1" x14ac:dyDescent="0.25">
      <c r="A87" s="19"/>
      <c r="B87" s="233"/>
      <c r="C87" s="238"/>
      <c r="D87" s="239"/>
      <c r="E87" s="240"/>
      <c r="F87" s="19"/>
      <c r="G87" s="242"/>
      <c r="H87" s="238"/>
      <c r="I87" s="241"/>
      <c r="J87" s="240"/>
      <c r="K87" s="19"/>
    </row>
    <row r="88" spans="1:11" ht="19.5" customHeight="1" x14ac:dyDescent="0.25">
      <c r="A88" s="19"/>
      <c r="B88" s="233"/>
      <c r="C88" s="238"/>
      <c r="D88" s="239"/>
      <c r="E88" s="240"/>
      <c r="F88" s="19"/>
      <c r="G88" s="242"/>
      <c r="H88" s="238"/>
      <c r="I88" s="241"/>
      <c r="J88" s="240"/>
      <c r="K88" s="19"/>
    </row>
    <row r="89" spans="1:11" ht="19.5" customHeight="1" x14ac:dyDescent="0.25">
      <c r="A89" s="19"/>
      <c r="B89" s="233"/>
      <c r="C89" s="238"/>
      <c r="D89" s="239"/>
      <c r="E89" s="240"/>
      <c r="F89" s="19"/>
      <c r="G89" s="242"/>
      <c r="H89" s="238"/>
      <c r="I89" s="241"/>
      <c r="J89" s="240"/>
      <c r="K89" s="19"/>
    </row>
    <row r="90" spans="1:11" ht="19.5" customHeight="1" x14ac:dyDescent="0.25">
      <c r="A90" s="19"/>
      <c r="B90" s="233"/>
      <c r="C90" s="238"/>
      <c r="D90" s="239"/>
      <c r="E90" s="240"/>
      <c r="F90" s="19"/>
      <c r="G90" s="242"/>
      <c r="H90" s="238"/>
      <c r="I90" s="241"/>
      <c r="J90" s="240"/>
      <c r="K90" s="19"/>
    </row>
    <row r="91" spans="1:11" ht="19.5" customHeight="1" x14ac:dyDescent="0.25">
      <c r="A91" s="19"/>
      <c r="B91" s="233"/>
      <c r="C91" s="238"/>
      <c r="D91" s="239"/>
      <c r="E91" s="240"/>
      <c r="F91" s="19"/>
      <c r="G91" s="242"/>
      <c r="H91" s="238"/>
      <c r="I91" s="241"/>
      <c r="J91" s="240"/>
      <c r="K91" s="19"/>
    </row>
    <row r="92" spans="1:11" ht="19.5" customHeight="1" x14ac:dyDescent="0.25">
      <c r="A92" s="19"/>
      <c r="B92" s="233"/>
      <c r="C92" s="254"/>
      <c r="D92" s="255"/>
      <c r="E92" s="240"/>
      <c r="F92" s="19"/>
      <c r="G92" s="242"/>
      <c r="H92" s="238"/>
      <c r="I92" s="241"/>
      <c r="J92" s="240"/>
      <c r="K92" s="19"/>
    </row>
    <row r="93" spans="1:11" ht="19.5" customHeight="1" x14ac:dyDescent="0.25">
      <c r="A93" s="19"/>
      <c r="B93" s="233"/>
      <c r="C93" s="238"/>
      <c r="D93" s="239"/>
      <c r="E93" s="240"/>
      <c r="F93" s="19"/>
      <c r="G93" s="242"/>
      <c r="H93" s="238"/>
      <c r="I93" s="241"/>
      <c r="J93" s="240"/>
      <c r="K93" s="19"/>
    </row>
    <row r="94" spans="1:11" ht="19.5" customHeight="1" x14ac:dyDescent="0.25">
      <c r="A94" s="19"/>
      <c r="B94" s="233"/>
      <c r="C94" s="238"/>
      <c r="D94" s="239"/>
      <c r="E94" s="240"/>
      <c r="F94" s="19"/>
      <c r="G94" s="242"/>
      <c r="H94" s="238"/>
      <c r="I94" s="241"/>
      <c r="J94" s="240"/>
      <c r="K94" s="19"/>
    </row>
    <row r="95" spans="1:11" ht="19.5" customHeight="1" x14ac:dyDescent="0.25">
      <c r="A95" s="19"/>
      <c r="B95" s="233"/>
      <c r="C95" s="238"/>
      <c r="D95" s="239"/>
      <c r="E95" s="240"/>
      <c r="F95" s="19"/>
      <c r="G95" s="242"/>
      <c r="H95" s="238"/>
      <c r="I95" s="241"/>
      <c r="J95" s="240"/>
      <c r="K95" s="19"/>
    </row>
    <row r="96" spans="1:11" ht="19.5" customHeight="1" x14ac:dyDescent="0.25">
      <c r="A96" s="19"/>
      <c r="B96" s="233"/>
      <c r="C96" s="238"/>
      <c r="D96" s="239"/>
      <c r="E96" s="240"/>
      <c r="F96" s="19"/>
      <c r="G96" s="242"/>
      <c r="H96" s="238"/>
      <c r="I96" s="241"/>
      <c r="J96" s="240"/>
      <c r="K96" s="19"/>
    </row>
    <row r="97" spans="1:11" ht="19.5" customHeight="1" x14ac:dyDescent="0.25">
      <c r="A97" s="19"/>
      <c r="B97" s="233"/>
      <c r="C97" s="238"/>
      <c r="D97" s="239"/>
      <c r="E97" s="240"/>
      <c r="F97" s="19"/>
      <c r="G97" s="242"/>
      <c r="H97" s="238"/>
      <c r="I97" s="241"/>
      <c r="J97" s="240"/>
      <c r="K97" s="19"/>
    </row>
    <row r="98" spans="1:11" ht="19.5" customHeight="1" x14ac:dyDescent="0.25">
      <c r="A98" s="19"/>
      <c r="B98" s="233"/>
      <c r="C98" s="238"/>
      <c r="D98" s="239"/>
      <c r="E98" s="240"/>
      <c r="F98" s="19"/>
      <c r="G98" s="242"/>
      <c r="H98" s="238"/>
      <c r="I98" s="241"/>
      <c r="J98" s="240"/>
      <c r="K98" s="19"/>
    </row>
    <row r="99" spans="1:11" ht="19.5" customHeight="1" x14ac:dyDescent="0.25">
      <c r="A99" s="19"/>
      <c r="B99" s="233"/>
      <c r="C99" s="238"/>
      <c r="D99" s="239"/>
      <c r="E99" s="240"/>
      <c r="F99" s="19"/>
      <c r="G99" s="242"/>
      <c r="H99" s="238"/>
      <c r="I99" s="241"/>
      <c r="J99" s="240"/>
      <c r="K99" s="19"/>
    </row>
    <row r="100" spans="1:11" ht="19.5" customHeight="1" x14ac:dyDescent="0.25">
      <c r="A100" s="19"/>
      <c r="B100" s="233"/>
      <c r="C100" s="238"/>
      <c r="D100" s="239"/>
      <c r="E100" s="240"/>
      <c r="F100" s="19"/>
      <c r="G100" s="242"/>
      <c r="H100" s="238"/>
      <c r="I100" s="241"/>
      <c r="J100" s="240"/>
      <c r="K100" s="19"/>
    </row>
    <row r="101" spans="1:11" ht="19.5" customHeight="1" x14ac:dyDescent="0.25">
      <c r="A101" s="19"/>
      <c r="B101" s="233"/>
      <c r="C101" s="238"/>
      <c r="D101" s="239"/>
      <c r="E101" s="240"/>
      <c r="F101" s="19"/>
      <c r="G101" s="242"/>
      <c r="H101" s="238"/>
      <c r="I101" s="241"/>
      <c r="J101" s="240"/>
      <c r="K101" s="19"/>
    </row>
    <row r="102" spans="1:11" ht="19.5" customHeight="1" x14ac:dyDescent="0.25">
      <c r="A102" s="19"/>
      <c r="B102" s="233"/>
      <c r="C102" s="238"/>
      <c r="D102" s="239"/>
      <c r="E102" s="240"/>
      <c r="F102" s="19"/>
      <c r="G102" s="242"/>
      <c r="H102" s="238"/>
      <c r="I102" s="241"/>
      <c r="J102" s="240"/>
      <c r="K102" s="19"/>
    </row>
    <row r="103" spans="1:11" ht="19.5" customHeight="1" x14ac:dyDescent="0.25">
      <c r="A103" s="19"/>
      <c r="B103" s="233"/>
      <c r="C103" s="238"/>
      <c r="D103" s="239"/>
      <c r="E103" s="240"/>
      <c r="F103" s="19"/>
      <c r="G103" s="242"/>
      <c r="H103" s="238"/>
      <c r="I103" s="241"/>
      <c r="J103" s="240"/>
      <c r="K103" s="19"/>
    </row>
    <row r="104" spans="1:11" ht="19.5" customHeight="1" x14ac:dyDescent="0.25">
      <c r="A104" s="19"/>
      <c r="B104" s="233"/>
      <c r="C104" s="238"/>
      <c r="D104" s="239"/>
      <c r="E104" s="240"/>
      <c r="F104" s="19"/>
      <c r="G104" s="242"/>
      <c r="H104" s="238"/>
      <c r="I104" s="241"/>
      <c r="J104" s="240"/>
      <c r="K104" s="19"/>
    </row>
    <row r="105" spans="1:11" ht="19.5" customHeight="1" x14ac:dyDescent="0.25">
      <c r="A105" s="19"/>
      <c r="B105" s="233"/>
      <c r="C105" s="238"/>
      <c r="D105" s="239"/>
      <c r="E105" s="240"/>
      <c r="F105" s="19"/>
      <c r="G105" s="242"/>
      <c r="H105" s="238"/>
      <c r="I105" s="241"/>
      <c r="J105" s="240"/>
      <c r="K105" s="19"/>
    </row>
    <row r="106" spans="1:11" ht="19.5" customHeight="1" x14ac:dyDescent="0.25">
      <c r="A106" s="19"/>
      <c r="B106" s="233"/>
      <c r="C106" s="238"/>
      <c r="D106" s="239"/>
      <c r="E106" s="240"/>
      <c r="F106" s="19"/>
      <c r="G106" s="242"/>
      <c r="H106" s="238"/>
      <c r="I106" s="241"/>
      <c r="J106" s="240"/>
      <c r="K106" s="19"/>
    </row>
    <row r="107" spans="1:11" ht="19.5" customHeight="1" x14ac:dyDescent="0.25">
      <c r="A107" s="19"/>
      <c r="B107" s="233"/>
      <c r="C107" s="238"/>
      <c r="D107" s="239"/>
      <c r="E107" s="240"/>
      <c r="F107" s="19"/>
      <c r="G107" s="242"/>
      <c r="H107" s="238"/>
      <c r="I107" s="241"/>
      <c r="J107" s="240"/>
      <c r="K107" s="19"/>
    </row>
    <row r="108" spans="1:11" ht="19.5" customHeight="1" x14ac:dyDescent="0.25">
      <c r="A108" s="19"/>
      <c r="B108" s="233"/>
      <c r="C108" s="238"/>
      <c r="D108" s="239"/>
      <c r="E108" s="240"/>
      <c r="F108" s="19"/>
      <c r="G108" s="242"/>
      <c r="H108" s="238"/>
      <c r="I108" s="241"/>
      <c r="J108" s="240"/>
      <c r="K108" s="19"/>
    </row>
    <row r="109" spans="1:11" ht="19.5" customHeight="1" x14ac:dyDescent="0.25">
      <c r="A109" s="19"/>
      <c r="B109" s="233"/>
      <c r="C109" s="238"/>
      <c r="D109" s="239"/>
      <c r="E109" s="240"/>
      <c r="F109" s="19"/>
      <c r="G109" s="242"/>
      <c r="H109" s="238"/>
      <c r="I109" s="241"/>
      <c r="J109" s="240"/>
      <c r="K109" s="19"/>
    </row>
    <row r="110" spans="1:11" ht="19.5" customHeight="1" x14ac:dyDescent="0.25">
      <c r="A110" s="19"/>
      <c r="B110" s="233"/>
      <c r="C110" s="238"/>
      <c r="D110" s="239"/>
      <c r="E110" s="240"/>
      <c r="F110" s="19"/>
      <c r="G110" s="242"/>
      <c r="H110" s="238"/>
      <c r="I110" s="241"/>
      <c r="J110" s="240"/>
      <c r="K110" s="19"/>
    </row>
    <row r="111" spans="1:11" ht="19.5" customHeight="1" x14ac:dyDescent="0.25">
      <c r="A111" s="19"/>
      <c r="B111" s="233"/>
      <c r="C111" s="238"/>
      <c r="D111" s="239"/>
      <c r="E111" s="240"/>
      <c r="F111" s="19"/>
      <c r="G111" s="242"/>
      <c r="H111" s="238"/>
      <c r="I111" s="241"/>
      <c r="J111" s="240"/>
      <c r="K111" s="19"/>
    </row>
    <row r="112" spans="1:11" ht="19.5" customHeight="1" x14ac:dyDescent="0.25">
      <c r="A112" s="19"/>
      <c r="B112" s="233"/>
      <c r="C112" s="238"/>
      <c r="D112" s="239"/>
      <c r="E112" s="240"/>
      <c r="F112" s="19"/>
      <c r="G112" s="242"/>
      <c r="H112" s="238"/>
      <c r="I112" s="241"/>
      <c r="J112" s="240"/>
      <c r="K112" s="19"/>
    </row>
    <row r="113" spans="1:11" ht="19.5" customHeight="1" x14ac:dyDescent="0.25">
      <c r="A113" s="19"/>
      <c r="B113" s="233"/>
      <c r="C113" s="238"/>
      <c r="D113" s="239"/>
      <c r="E113" s="240"/>
      <c r="F113" s="19"/>
      <c r="G113" s="242"/>
      <c r="H113" s="238"/>
      <c r="I113" s="241"/>
      <c r="J113" s="240"/>
      <c r="K113" s="19"/>
    </row>
    <row r="114" spans="1:11" ht="19.5" customHeight="1" x14ac:dyDescent="0.25">
      <c r="A114" s="19"/>
      <c r="B114" s="233"/>
      <c r="C114" s="238"/>
      <c r="D114" s="239"/>
      <c r="E114" s="240"/>
      <c r="F114" s="19"/>
      <c r="G114" s="242"/>
      <c r="H114" s="238"/>
      <c r="I114" s="241"/>
      <c r="J114" s="240"/>
      <c r="K114" s="19"/>
    </row>
    <row r="115" spans="1:11" ht="19.5" customHeight="1" x14ac:dyDescent="0.25">
      <c r="A115" s="19"/>
      <c r="B115" s="233"/>
      <c r="C115" s="238"/>
      <c r="D115" s="239"/>
      <c r="E115" s="240"/>
      <c r="F115" s="19"/>
      <c r="G115" s="242"/>
      <c r="H115" s="238"/>
      <c r="I115" s="241"/>
      <c r="J115" s="240"/>
      <c r="K115" s="19"/>
    </row>
    <row r="116" spans="1:11" ht="19.5" customHeight="1" x14ac:dyDescent="0.25">
      <c r="A116" s="19"/>
      <c r="B116" s="233"/>
      <c r="C116" s="238"/>
      <c r="D116" s="239"/>
      <c r="E116" s="240"/>
      <c r="F116" s="19"/>
      <c r="G116" s="242"/>
      <c r="H116" s="238"/>
      <c r="I116" s="241"/>
      <c r="J116" s="240"/>
      <c r="K116" s="19"/>
    </row>
    <row r="117" spans="1:11" ht="19.5" customHeight="1" x14ac:dyDescent="0.25">
      <c r="A117" s="19"/>
      <c r="B117" s="233"/>
      <c r="C117" s="238"/>
      <c r="D117" s="239"/>
      <c r="E117" s="240"/>
      <c r="F117" s="19"/>
      <c r="G117" s="242"/>
      <c r="H117" s="238"/>
      <c r="I117" s="241"/>
      <c r="J117" s="240"/>
      <c r="K117" s="19"/>
    </row>
    <row r="118" spans="1:11" ht="19.5" customHeight="1" x14ac:dyDescent="0.25">
      <c r="A118" s="19"/>
      <c r="B118" s="233"/>
      <c r="C118" s="238"/>
      <c r="D118" s="239"/>
      <c r="E118" s="240"/>
      <c r="F118" s="19"/>
      <c r="G118" s="242"/>
      <c r="H118" s="238"/>
      <c r="I118" s="241"/>
      <c r="J118" s="240"/>
      <c r="K118" s="19"/>
    </row>
    <row r="119" spans="1:11" ht="19.5" customHeight="1" x14ac:dyDescent="0.25">
      <c r="A119" s="19"/>
      <c r="B119" s="233"/>
      <c r="C119" s="238"/>
      <c r="D119" s="239"/>
      <c r="E119" s="240"/>
      <c r="F119" s="19"/>
      <c r="G119" s="242"/>
      <c r="H119" s="238"/>
      <c r="I119" s="241"/>
      <c r="J119" s="240"/>
      <c r="K119" s="19"/>
    </row>
    <row r="120" spans="1:11" ht="19.5" customHeight="1" x14ac:dyDescent="0.25">
      <c r="A120" s="19"/>
      <c r="B120" s="233"/>
      <c r="C120" s="238"/>
      <c r="D120" s="239"/>
      <c r="E120" s="240"/>
      <c r="F120" s="19"/>
      <c r="G120" s="242"/>
      <c r="H120" s="238"/>
      <c r="I120" s="241"/>
      <c r="J120" s="240"/>
      <c r="K120" s="19"/>
    </row>
    <row r="121" spans="1:11" ht="19.5" customHeight="1" x14ac:dyDescent="0.25">
      <c r="A121" s="19"/>
      <c r="B121" s="233"/>
      <c r="C121" s="238"/>
      <c r="D121" s="239"/>
      <c r="E121" s="240"/>
      <c r="F121" s="19"/>
      <c r="G121" s="242"/>
      <c r="H121" s="238"/>
      <c r="I121" s="241"/>
      <c r="J121" s="240"/>
      <c r="K121" s="19"/>
    </row>
    <row r="122" spans="1:11" ht="19.5" customHeight="1" x14ac:dyDescent="0.25">
      <c r="A122" s="19"/>
      <c r="B122" s="233"/>
      <c r="C122" s="238"/>
      <c r="D122" s="239"/>
      <c r="E122" s="240"/>
      <c r="F122" s="19"/>
      <c r="G122" s="242"/>
      <c r="H122" s="238"/>
      <c r="I122" s="241"/>
      <c r="J122" s="240"/>
      <c r="K122" s="19"/>
    </row>
    <row r="123" spans="1:11" ht="19.5" customHeight="1" x14ac:dyDescent="0.25">
      <c r="A123" s="19"/>
      <c r="B123" s="233"/>
      <c r="C123" s="238"/>
      <c r="D123" s="239"/>
      <c r="E123" s="240"/>
      <c r="F123" s="19"/>
      <c r="G123" s="242"/>
      <c r="H123" s="238"/>
      <c r="I123" s="241"/>
      <c r="J123" s="240"/>
      <c r="K123" s="19"/>
    </row>
    <row r="124" spans="1:11" ht="19.5" customHeight="1" x14ac:dyDescent="0.25">
      <c r="A124" s="19"/>
      <c r="B124" s="233"/>
      <c r="C124" s="238"/>
      <c r="D124" s="239"/>
      <c r="E124" s="240"/>
      <c r="F124" s="19"/>
      <c r="G124" s="242"/>
      <c r="H124" s="238"/>
      <c r="I124" s="241"/>
      <c r="J124" s="240"/>
      <c r="K124" s="19"/>
    </row>
    <row r="125" spans="1:11" ht="19.5" customHeight="1" x14ac:dyDescent="0.25">
      <c r="A125" s="19"/>
      <c r="B125" s="233"/>
      <c r="C125" s="238"/>
      <c r="D125" s="239"/>
      <c r="E125" s="240"/>
      <c r="F125" s="19"/>
      <c r="G125" s="242"/>
      <c r="H125" s="238"/>
      <c r="I125" s="241"/>
      <c r="J125" s="240"/>
      <c r="K125" s="19"/>
    </row>
    <row r="126" spans="1:11" ht="19.5" customHeight="1" x14ac:dyDescent="0.25">
      <c r="A126" s="19"/>
      <c r="B126" s="233"/>
      <c r="C126" s="238"/>
      <c r="D126" s="239"/>
      <c r="E126" s="240"/>
      <c r="F126" s="19"/>
      <c r="G126" s="242"/>
      <c r="H126" s="238"/>
      <c r="I126" s="241"/>
      <c r="J126" s="240"/>
      <c r="K126" s="19"/>
    </row>
    <row r="127" spans="1:11" ht="19.5" customHeight="1" x14ac:dyDescent="0.25">
      <c r="A127" s="19"/>
      <c r="B127" s="233"/>
      <c r="C127" s="238"/>
      <c r="D127" s="239"/>
      <c r="E127" s="240"/>
      <c r="F127" s="19"/>
      <c r="G127" s="242"/>
      <c r="H127" s="238"/>
      <c r="I127" s="241"/>
      <c r="J127" s="240"/>
      <c r="K127" s="19"/>
    </row>
    <row r="128" spans="1:11" ht="19.5" customHeight="1" x14ac:dyDescent="0.25">
      <c r="A128" s="19"/>
      <c r="B128" s="233"/>
      <c r="C128" s="238"/>
      <c r="D128" s="239"/>
      <c r="E128" s="240"/>
      <c r="F128" s="19"/>
      <c r="G128" s="242"/>
      <c r="H128" s="238"/>
      <c r="I128" s="241"/>
      <c r="J128" s="240"/>
      <c r="K128" s="19"/>
    </row>
    <row r="129" spans="1:11" ht="19.5" customHeight="1" x14ac:dyDescent="0.25">
      <c r="A129" s="19"/>
      <c r="B129" s="233"/>
      <c r="C129" s="238"/>
      <c r="D129" s="239"/>
      <c r="E129" s="240"/>
      <c r="F129" s="19"/>
      <c r="G129" s="242"/>
      <c r="H129" s="238"/>
      <c r="I129" s="241"/>
      <c r="J129" s="240"/>
      <c r="K129" s="19"/>
    </row>
    <row r="130" spans="1:11" ht="19.5" customHeight="1" x14ac:dyDescent="0.25">
      <c r="A130" s="19"/>
      <c r="B130" s="233"/>
      <c r="C130" s="238"/>
      <c r="D130" s="239"/>
      <c r="E130" s="240"/>
      <c r="F130" s="19"/>
      <c r="G130" s="242"/>
      <c r="H130" s="238"/>
      <c r="I130" s="241"/>
      <c r="J130" s="240"/>
      <c r="K130" s="19"/>
    </row>
    <row r="131" spans="1:11" ht="19.5" customHeight="1" x14ac:dyDescent="0.25">
      <c r="A131" s="19"/>
      <c r="B131" s="233"/>
      <c r="C131" s="238"/>
      <c r="D131" s="239"/>
      <c r="E131" s="240"/>
      <c r="F131" s="19"/>
      <c r="G131" s="242"/>
      <c r="H131" s="238"/>
      <c r="I131" s="241"/>
      <c r="J131" s="240"/>
      <c r="K131" s="19"/>
    </row>
    <row r="132" spans="1:11" ht="19.5" customHeight="1" x14ac:dyDescent="0.25">
      <c r="A132" s="19"/>
      <c r="B132" s="233"/>
      <c r="C132" s="238"/>
      <c r="D132" s="239"/>
      <c r="E132" s="240"/>
      <c r="F132" s="19"/>
      <c r="G132" s="242"/>
      <c r="H132" s="238"/>
      <c r="I132" s="241"/>
      <c r="J132" s="240"/>
      <c r="K132" s="19"/>
    </row>
    <row r="133" spans="1:11" ht="19.5" customHeight="1" x14ac:dyDescent="0.25">
      <c r="A133" s="19"/>
      <c r="B133" s="233"/>
      <c r="C133" s="238"/>
      <c r="D133" s="239"/>
      <c r="E133" s="240"/>
      <c r="F133" s="19"/>
      <c r="G133" s="242"/>
      <c r="H133" s="238"/>
      <c r="I133" s="241"/>
      <c r="J133" s="240"/>
      <c r="K133" s="19"/>
    </row>
    <row r="134" spans="1:11" ht="19.5" customHeight="1" x14ac:dyDescent="0.25">
      <c r="A134" s="19"/>
      <c r="B134" s="233"/>
      <c r="C134" s="238"/>
      <c r="D134" s="239"/>
      <c r="E134" s="240"/>
      <c r="F134" s="19"/>
      <c r="G134" s="242"/>
      <c r="H134" s="238"/>
      <c r="I134" s="241"/>
      <c r="J134" s="240"/>
      <c r="K134" s="19"/>
    </row>
    <row r="135" spans="1:11" ht="19.5" customHeight="1" x14ac:dyDescent="0.25">
      <c r="A135" s="19"/>
      <c r="B135" s="233"/>
      <c r="C135" s="238"/>
      <c r="D135" s="239"/>
      <c r="E135" s="240"/>
      <c r="F135" s="19"/>
      <c r="G135" s="242"/>
      <c r="H135" s="238"/>
      <c r="I135" s="241"/>
      <c r="J135" s="240"/>
      <c r="K135" s="19"/>
    </row>
    <row r="136" spans="1:11" ht="19.5" customHeight="1" x14ac:dyDescent="0.25">
      <c r="A136" s="19"/>
      <c r="B136" s="233"/>
      <c r="C136" s="238"/>
      <c r="D136" s="239"/>
      <c r="E136" s="240"/>
      <c r="F136" s="19"/>
      <c r="G136" s="242"/>
      <c r="H136" s="238"/>
      <c r="I136" s="241"/>
      <c r="J136" s="240"/>
      <c r="K136" s="19"/>
    </row>
    <row r="137" spans="1:11" ht="19.5" customHeight="1" x14ac:dyDescent="0.25">
      <c r="A137" s="19"/>
      <c r="B137" s="233"/>
      <c r="C137" s="238"/>
      <c r="D137" s="239"/>
      <c r="E137" s="240"/>
      <c r="F137" s="19"/>
      <c r="G137" s="242"/>
      <c r="H137" s="238"/>
      <c r="I137" s="241"/>
      <c r="J137" s="240"/>
      <c r="K137" s="19"/>
    </row>
    <row r="138" spans="1:11" ht="19.5" customHeight="1" x14ac:dyDescent="0.25">
      <c r="A138" s="19"/>
      <c r="B138" s="233"/>
      <c r="C138" s="238"/>
      <c r="D138" s="239"/>
      <c r="E138" s="240"/>
      <c r="F138" s="19"/>
      <c r="G138" s="242"/>
      <c r="H138" s="238"/>
      <c r="I138" s="241"/>
      <c r="J138" s="240"/>
      <c r="K138" s="19"/>
    </row>
    <row r="139" spans="1:11" ht="19.5" customHeight="1" x14ac:dyDescent="0.25">
      <c r="A139" s="19"/>
      <c r="B139" s="233"/>
      <c r="C139" s="238"/>
      <c r="D139" s="239"/>
      <c r="E139" s="240"/>
      <c r="F139" s="19"/>
      <c r="G139" s="242"/>
      <c r="H139" s="238"/>
      <c r="I139" s="241"/>
      <c r="J139" s="240"/>
      <c r="K139" s="19"/>
    </row>
    <row r="140" spans="1:11" ht="19.5" customHeight="1" x14ac:dyDescent="0.25">
      <c r="A140" s="19"/>
      <c r="B140" s="233"/>
      <c r="C140" s="238"/>
      <c r="D140" s="239"/>
      <c r="E140" s="240"/>
      <c r="F140" s="19"/>
      <c r="G140" s="242"/>
      <c r="H140" s="238"/>
      <c r="I140" s="241"/>
      <c r="J140" s="240"/>
      <c r="K140" s="19"/>
    </row>
    <row r="141" spans="1:11" ht="19.5" customHeight="1" x14ac:dyDescent="0.25">
      <c r="A141" s="19"/>
      <c r="B141" s="233"/>
      <c r="C141" s="238"/>
      <c r="D141" s="239"/>
      <c r="E141" s="240"/>
      <c r="F141" s="19"/>
      <c r="G141" s="242"/>
      <c r="H141" s="238"/>
      <c r="I141" s="241"/>
      <c r="J141" s="240"/>
      <c r="K141" s="19"/>
    </row>
    <row r="142" spans="1:11" ht="19.5" customHeight="1" x14ac:dyDescent="0.25">
      <c r="A142" s="19"/>
      <c r="B142" s="233"/>
      <c r="C142" s="238"/>
      <c r="D142" s="239"/>
      <c r="E142" s="240"/>
      <c r="F142" s="19"/>
      <c r="G142" s="242"/>
      <c r="H142" s="238"/>
      <c r="I142" s="241"/>
      <c r="J142" s="240"/>
      <c r="K142" s="19"/>
    </row>
    <row r="143" spans="1:11" ht="19.5" customHeight="1" x14ac:dyDescent="0.25">
      <c r="A143" s="19"/>
      <c r="B143" s="233"/>
      <c r="C143" s="238"/>
      <c r="D143" s="239"/>
      <c r="E143" s="240"/>
      <c r="F143" s="19"/>
      <c r="G143" s="242"/>
      <c r="H143" s="238"/>
      <c r="I143" s="241"/>
      <c r="J143" s="240"/>
      <c r="K143" s="19"/>
    </row>
    <row r="144" spans="1:11" ht="19.5" customHeight="1" x14ac:dyDescent="0.25">
      <c r="A144" s="19"/>
      <c r="B144" s="233"/>
      <c r="C144" s="238"/>
      <c r="D144" s="239"/>
      <c r="E144" s="240"/>
      <c r="F144" s="19"/>
      <c r="G144" s="242"/>
      <c r="H144" s="238"/>
      <c r="I144" s="241"/>
      <c r="J144" s="240"/>
      <c r="K144" s="19"/>
    </row>
    <row r="145" spans="1:11" ht="19.5" customHeight="1" x14ac:dyDescent="0.25">
      <c r="A145" s="19"/>
      <c r="B145" s="233"/>
      <c r="C145" s="238"/>
      <c r="D145" s="239"/>
      <c r="E145" s="240"/>
      <c r="F145" s="19"/>
      <c r="G145" s="242"/>
      <c r="H145" s="238"/>
      <c r="I145" s="241"/>
      <c r="J145" s="240"/>
      <c r="K145" s="19"/>
    </row>
    <row r="146" spans="1:11" ht="19.5" customHeight="1" x14ac:dyDescent="0.25">
      <c r="A146" s="19"/>
      <c r="B146" s="233"/>
      <c r="C146" s="238"/>
      <c r="D146" s="239"/>
      <c r="E146" s="240"/>
      <c r="F146" s="19"/>
      <c r="G146" s="242"/>
      <c r="H146" s="238"/>
      <c r="I146" s="241"/>
      <c r="J146" s="240"/>
      <c r="K146" s="19"/>
    </row>
    <row r="147" spans="1:11" ht="19.5" customHeight="1" x14ac:dyDescent="0.25">
      <c r="A147" s="19"/>
      <c r="B147" s="233"/>
      <c r="C147" s="238"/>
      <c r="D147" s="239"/>
      <c r="E147" s="240"/>
      <c r="F147" s="19"/>
      <c r="G147" s="242"/>
      <c r="H147" s="238"/>
      <c r="I147" s="241"/>
      <c r="J147" s="240"/>
      <c r="K147" s="19"/>
    </row>
    <row r="148" spans="1:11" ht="19.5" customHeight="1" x14ac:dyDescent="0.25">
      <c r="A148" s="19"/>
      <c r="B148" s="233"/>
      <c r="C148" s="238"/>
      <c r="D148" s="239"/>
      <c r="E148" s="240"/>
      <c r="F148" s="19"/>
      <c r="G148" s="242"/>
      <c r="H148" s="238"/>
      <c r="I148" s="241"/>
      <c r="J148" s="240"/>
      <c r="K148" s="19"/>
    </row>
    <row r="149" spans="1:11" ht="19.5" customHeight="1" x14ac:dyDescent="0.25">
      <c r="A149" s="19"/>
      <c r="B149" s="233"/>
      <c r="C149" s="238"/>
      <c r="D149" s="239"/>
      <c r="E149" s="240"/>
      <c r="F149" s="19"/>
      <c r="G149" s="242"/>
      <c r="H149" s="238"/>
      <c r="I149" s="241"/>
      <c r="J149" s="240"/>
      <c r="K149" s="19"/>
    </row>
    <row r="150" spans="1:11" ht="19.5" customHeight="1" x14ac:dyDescent="0.25">
      <c r="A150" s="19"/>
      <c r="B150" s="233"/>
      <c r="C150" s="254"/>
      <c r="D150" s="255"/>
      <c r="E150" s="240"/>
      <c r="F150" s="19"/>
      <c r="G150" s="242"/>
      <c r="H150" s="238"/>
      <c r="I150" s="241"/>
      <c r="J150" s="240"/>
      <c r="K150" s="19"/>
    </row>
    <row r="151" spans="1:11" ht="19.5" customHeight="1" x14ac:dyDescent="0.25">
      <c r="A151" s="19"/>
      <c r="B151" s="233"/>
      <c r="C151" s="238"/>
      <c r="D151" s="239"/>
      <c r="E151" s="240"/>
      <c r="F151" s="19"/>
      <c r="G151" s="242"/>
      <c r="H151" s="238"/>
      <c r="I151" s="241"/>
      <c r="J151" s="240"/>
      <c r="K151" s="19"/>
    </row>
    <row r="152" spans="1:11" ht="19.5" customHeight="1" x14ac:dyDescent="0.25">
      <c r="A152" s="19"/>
      <c r="B152" s="233"/>
      <c r="C152" s="238"/>
      <c r="D152" s="239"/>
      <c r="E152" s="240"/>
      <c r="F152" s="19"/>
      <c r="G152" s="242"/>
      <c r="H152" s="238"/>
      <c r="I152" s="241"/>
      <c r="J152" s="240"/>
      <c r="K152" s="19"/>
    </row>
    <row r="153" spans="1:11" ht="19.5" customHeight="1" x14ac:dyDescent="0.25">
      <c r="A153" s="19"/>
      <c r="B153" s="233"/>
      <c r="C153" s="238"/>
      <c r="D153" s="239"/>
      <c r="E153" s="240"/>
      <c r="F153" s="19"/>
      <c r="G153" s="242"/>
      <c r="H153" s="238"/>
      <c r="I153" s="241"/>
      <c r="J153" s="240"/>
      <c r="K153" s="19"/>
    </row>
    <row r="154" spans="1:11" ht="19.5" customHeight="1" x14ac:dyDescent="0.25">
      <c r="A154" s="19"/>
      <c r="B154" s="233"/>
      <c r="C154" s="238"/>
      <c r="D154" s="239"/>
      <c r="E154" s="240"/>
      <c r="F154" s="19"/>
      <c r="G154" s="242"/>
      <c r="H154" s="238"/>
      <c r="I154" s="241"/>
      <c r="J154" s="240"/>
      <c r="K154" s="19"/>
    </row>
    <row r="155" spans="1:11" ht="19.5" customHeight="1" x14ac:dyDescent="0.25">
      <c r="A155" s="19"/>
      <c r="B155" s="233"/>
      <c r="C155" s="238"/>
      <c r="D155" s="239"/>
      <c r="E155" s="240"/>
      <c r="F155" s="19"/>
      <c r="G155" s="242"/>
      <c r="H155" s="238"/>
      <c r="I155" s="241"/>
      <c r="J155" s="240"/>
      <c r="K155" s="19"/>
    </row>
    <row r="156" spans="1:11" ht="19.5" customHeight="1" x14ac:dyDescent="0.25">
      <c r="A156" s="19"/>
      <c r="B156" s="233"/>
      <c r="C156" s="238"/>
      <c r="D156" s="239"/>
      <c r="E156" s="240"/>
      <c r="F156" s="19"/>
      <c r="G156" s="242"/>
      <c r="H156" s="238"/>
      <c r="I156" s="241"/>
      <c r="J156" s="240"/>
      <c r="K156" s="19"/>
    </row>
    <row r="157" spans="1:11" ht="19.5" customHeight="1" x14ac:dyDescent="0.25">
      <c r="A157" s="19"/>
      <c r="B157" s="233"/>
      <c r="C157" s="238"/>
      <c r="D157" s="239"/>
      <c r="E157" s="240"/>
      <c r="F157" s="19"/>
      <c r="G157" s="242"/>
      <c r="H157" s="238"/>
      <c r="I157" s="241"/>
      <c r="J157" s="240"/>
      <c r="K157" s="19"/>
    </row>
    <row r="158" spans="1:11" ht="19.5" customHeight="1" x14ac:dyDescent="0.25">
      <c r="A158" s="19"/>
      <c r="B158" s="233"/>
      <c r="C158" s="238"/>
      <c r="D158" s="239"/>
      <c r="E158" s="240"/>
      <c r="F158" s="19"/>
      <c r="G158" s="242"/>
      <c r="H158" s="238"/>
      <c r="I158" s="241"/>
      <c r="J158" s="240"/>
      <c r="K158" s="19"/>
    </row>
    <row r="159" spans="1:11" ht="19.5" customHeight="1" x14ac:dyDescent="0.25">
      <c r="A159" s="19"/>
      <c r="B159" s="233"/>
      <c r="C159" s="238"/>
      <c r="D159" s="239"/>
      <c r="E159" s="240"/>
      <c r="F159" s="19"/>
      <c r="G159" s="242"/>
      <c r="H159" s="238"/>
      <c r="I159" s="241"/>
      <c r="J159" s="240"/>
      <c r="K159" s="19"/>
    </row>
    <row r="160" spans="1:11" ht="19.5" customHeight="1" x14ac:dyDescent="0.25">
      <c r="A160" s="19"/>
      <c r="B160" s="233"/>
      <c r="C160" s="238"/>
      <c r="D160" s="239"/>
      <c r="E160" s="240"/>
      <c r="F160" s="19"/>
      <c r="G160" s="242"/>
      <c r="H160" s="238"/>
      <c r="I160" s="241"/>
      <c r="J160" s="240"/>
      <c r="K160" s="19"/>
    </row>
    <row r="161" spans="1:11" ht="19.5" customHeight="1" x14ac:dyDescent="0.25">
      <c r="A161" s="19"/>
      <c r="B161" s="233"/>
      <c r="C161" s="238"/>
      <c r="D161" s="239"/>
      <c r="E161" s="240"/>
      <c r="F161" s="19"/>
      <c r="G161" s="242"/>
      <c r="H161" s="238"/>
      <c r="I161" s="241"/>
      <c r="J161" s="240"/>
      <c r="K161" s="19"/>
    </row>
    <row r="162" spans="1:11" ht="19.5" customHeight="1" x14ac:dyDescent="0.25">
      <c r="A162" s="19"/>
      <c r="B162" s="233"/>
      <c r="C162" s="238"/>
      <c r="D162" s="239"/>
      <c r="E162" s="240"/>
      <c r="F162" s="19"/>
      <c r="G162" s="242"/>
      <c r="H162" s="238"/>
      <c r="I162" s="241"/>
      <c r="J162" s="240"/>
      <c r="K162" s="19"/>
    </row>
    <row r="163" spans="1:11" ht="19.5" customHeight="1" x14ac:dyDescent="0.25">
      <c r="A163" s="19"/>
      <c r="B163" s="233"/>
      <c r="C163" s="238"/>
      <c r="D163" s="239"/>
      <c r="E163" s="240"/>
      <c r="F163" s="19"/>
      <c r="G163" s="242"/>
      <c r="H163" s="238"/>
      <c r="I163" s="241"/>
      <c r="J163" s="240"/>
      <c r="K163" s="19"/>
    </row>
    <row r="164" spans="1:11" ht="19.5" customHeight="1" x14ac:dyDescent="0.25">
      <c r="A164" s="19"/>
      <c r="B164" s="233"/>
      <c r="C164" s="238"/>
      <c r="D164" s="239"/>
      <c r="E164" s="240"/>
      <c r="F164" s="19"/>
      <c r="G164" s="242"/>
      <c r="H164" s="238"/>
      <c r="I164" s="241"/>
      <c r="J164" s="240"/>
      <c r="K164" s="19"/>
    </row>
    <row r="165" spans="1:11" ht="19.5" customHeight="1" x14ac:dyDescent="0.25">
      <c r="A165" s="19"/>
      <c r="B165" s="233"/>
      <c r="C165" s="238"/>
      <c r="D165" s="239"/>
      <c r="E165" s="240"/>
      <c r="F165" s="19"/>
      <c r="G165" s="242"/>
      <c r="H165" s="238"/>
      <c r="I165" s="241"/>
      <c r="J165" s="240"/>
      <c r="K165" s="19"/>
    </row>
    <row r="166" spans="1:11" ht="19.5" customHeight="1" x14ac:dyDescent="0.25">
      <c r="A166" s="19"/>
      <c r="B166" s="233"/>
      <c r="C166" s="238"/>
      <c r="D166" s="239"/>
      <c r="E166" s="240"/>
      <c r="F166" s="19"/>
      <c r="G166" s="242"/>
      <c r="H166" s="238"/>
      <c r="I166" s="241"/>
      <c r="J166" s="240"/>
      <c r="K166" s="19"/>
    </row>
    <row r="167" spans="1:11" ht="19.5" customHeight="1" x14ac:dyDescent="0.25">
      <c r="A167" s="19"/>
      <c r="B167" s="233"/>
      <c r="C167" s="238"/>
      <c r="D167" s="239"/>
      <c r="E167" s="240"/>
      <c r="F167" s="19"/>
      <c r="G167" s="242"/>
      <c r="H167" s="238"/>
      <c r="I167" s="241"/>
      <c r="J167" s="240"/>
      <c r="K167" s="19"/>
    </row>
    <row r="168" spans="1:11" ht="19.5" customHeight="1" x14ac:dyDescent="0.25">
      <c r="A168" s="19"/>
      <c r="B168" s="233"/>
      <c r="C168" s="238"/>
      <c r="D168" s="239"/>
      <c r="E168" s="240"/>
      <c r="F168" s="19"/>
      <c r="G168" s="242"/>
      <c r="H168" s="238"/>
      <c r="I168" s="241"/>
      <c r="J168" s="240"/>
      <c r="K168" s="19"/>
    </row>
    <row r="169" spans="1:11" ht="19.5" customHeight="1" x14ac:dyDescent="0.25">
      <c r="A169" s="19"/>
      <c r="B169" s="233"/>
      <c r="C169" s="238"/>
      <c r="D169" s="239"/>
      <c r="E169" s="240"/>
      <c r="F169" s="19"/>
      <c r="G169" s="242"/>
      <c r="H169" s="238"/>
      <c r="I169" s="241"/>
      <c r="J169" s="240"/>
      <c r="K169" s="19"/>
    </row>
    <row r="170" spans="1:11" ht="19.5" customHeight="1" x14ac:dyDescent="0.25">
      <c r="A170" s="19"/>
      <c r="B170" s="233"/>
      <c r="C170" s="238"/>
      <c r="D170" s="239"/>
      <c r="E170" s="240"/>
      <c r="F170" s="19"/>
      <c r="G170" s="242"/>
      <c r="H170" s="238"/>
      <c r="I170" s="241"/>
      <c r="J170" s="240"/>
      <c r="K170" s="19"/>
    </row>
    <row r="171" spans="1:11" ht="19.5" customHeight="1" x14ac:dyDescent="0.25">
      <c r="A171" s="19"/>
      <c r="B171" s="233"/>
      <c r="C171" s="238"/>
      <c r="D171" s="239"/>
      <c r="E171" s="240"/>
      <c r="F171" s="19"/>
      <c r="G171" s="242"/>
      <c r="H171" s="238"/>
      <c r="I171" s="241"/>
      <c r="J171" s="240"/>
      <c r="K171" s="19"/>
    </row>
    <row r="172" spans="1:11" ht="19.5" customHeight="1" x14ac:dyDescent="0.25">
      <c r="A172" s="19"/>
      <c r="B172" s="233"/>
      <c r="C172" s="238"/>
      <c r="D172" s="239"/>
      <c r="E172" s="240"/>
      <c r="F172" s="19"/>
      <c r="G172" s="242"/>
      <c r="H172" s="238"/>
      <c r="I172" s="241"/>
      <c r="J172" s="240"/>
      <c r="K172" s="19"/>
    </row>
    <row r="173" spans="1:11" ht="19.5" customHeight="1" x14ac:dyDescent="0.25">
      <c r="A173" s="19"/>
      <c r="B173" s="233"/>
      <c r="C173" s="238"/>
      <c r="D173" s="239"/>
      <c r="E173" s="240"/>
      <c r="F173" s="19"/>
      <c r="G173" s="242"/>
      <c r="H173" s="238"/>
      <c r="I173" s="241"/>
      <c r="J173" s="240"/>
      <c r="K173" s="19"/>
    </row>
    <row r="174" spans="1:11" ht="19.5" customHeight="1" x14ac:dyDescent="0.25">
      <c r="A174" s="19"/>
      <c r="B174" s="233"/>
      <c r="C174" s="238"/>
      <c r="D174" s="239"/>
      <c r="E174" s="240"/>
      <c r="F174" s="19"/>
      <c r="G174" s="242"/>
      <c r="H174" s="238"/>
      <c r="I174" s="241"/>
      <c r="J174" s="240"/>
      <c r="K174" s="19"/>
    </row>
    <row r="175" spans="1:11" ht="19.5" customHeight="1" x14ac:dyDescent="0.25">
      <c r="A175" s="19"/>
      <c r="B175" s="233"/>
      <c r="C175" s="238"/>
      <c r="D175" s="239"/>
      <c r="E175" s="240"/>
      <c r="F175" s="19"/>
      <c r="G175" s="242"/>
      <c r="H175" s="238"/>
      <c r="I175" s="241"/>
      <c r="J175" s="240"/>
      <c r="K175" s="19"/>
    </row>
    <row r="176" spans="1:11" ht="19.5" customHeight="1" x14ac:dyDescent="0.25">
      <c r="A176" s="19"/>
      <c r="B176" s="233"/>
      <c r="C176" s="238"/>
      <c r="D176" s="239"/>
      <c r="E176" s="240"/>
      <c r="F176" s="19"/>
      <c r="G176" s="242"/>
      <c r="H176" s="238"/>
      <c r="I176" s="241"/>
      <c r="J176" s="240"/>
      <c r="K176" s="19"/>
    </row>
    <row r="177" spans="1:11" ht="19.5" customHeight="1" x14ac:dyDescent="0.25">
      <c r="A177" s="19"/>
      <c r="B177" s="233"/>
      <c r="C177" s="238"/>
      <c r="D177" s="239"/>
      <c r="E177" s="240"/>
      <c r="F177" s="19"/>
      <c r="G177" s="242"/>
      <c r="H177" s="238"/>
      <c r="I177" s="241"/>
      <c r="J177" s="240"/>
      <c r="K177" s="19"/>
    </row>
    <row r="178" spans="1:11" ht="19.5" customHeight="1" x14ac:dyDescent="0.25">
      <c r="A178" s="19"/>
      <c r="B178" s="233"/>
      <c r="C178" s="238"/>
      <c r="D178" s="239"/>
      <c r="E178" s="240"/>
      <c r="F178" s="19"/>
      <c r="G178" s="242"/>
      <c r="H178" s="238"/>
      <c r="I178" s="241"/>
      <c r="J178" s="240"/>
      <c r="K178" s="19"/>
    </row>
    <row r="179" spans="1:11" ht="19.5" customHeight="1" x14ac:dyDescent="0.25">
      <c r="A179" s="19"/>
      <c r="B179" s="233"/>
      <c r="C179" s="238"/>
      <c r="D179" s="239"/>
      <c r="E179" s="240"/>
      <c r="F179" s="19"/>
      <c r="G179" s="242"/>
      <c r="H179" s="238"/>
      <c r="I179" s="241"/>
      <c r="J179" s="240"/>
      <c r="K179" s="19"/>
    </row>
    <row r="180" spans="1:11" ht="19.5" customHeight="1" x14ac:dyDescent="0.25">
      <c r="A180" s="19"/>
      <c r="B180" s="233"/>
      <c r="C180" s="238"/>
      <c r="D180" s="239"/>
      <c r="E180" s="240"/>
      <c r="F180" s="19"/>
      <c r="G180" s="242"/>
      <c r="H180" s="238"/>
      <c r="I180" s="241"/>
      <c r="J180" s="240"/>
      <c r="K180" s="19"/>
    </row>
    <row r="181" spans="1:11" ht="19.5" customHeight="1" x14ac:dyDescent="0.25">
      <c r="A181" s="19"/>
      <c r="B181" s="233"/>
      <c r="C181" s="238"/>
      <c r="D181" s="239"/>
      <c r="E181" s="240"/>
      <c r="F181" s="19"/>
      <c r="G181" s="242"/>
      <c r="H181" s="238"/>
      <c r="I181" s="241"/>
      <c r="J181" s="240"/>
      <c r="K181" s="19"/>
    </row>
    <row r="182" spans="1:11" ht="19.5" customHeight="1" x14ac:dyDescent="0.25">
      <c r="A182" s="19"/>
      <c r="B182" s="233"/>
      <c r="C182" s="238"/>
      <c r="D182" s="239"/>
      <c r="E182" s="240"/>
      <c r="F182" s="19"/>
      <c r="G182" s="242"/>
      <c r="H182" s="238"/>
      <c r="I182" s="241"/>
      <c r="J182" s="240"/>
      <c r="K182" s="19"/>
    </row>
    <row r="183" spans="1:11" ht="19.5" customHeight="1" x14ac:dyDescent="0.25">
      <c r="A183" s="19"/>
      <c r="B183" s="233"/>
      <c r="C183" s="238"/>
      <c r="D183" s="239"/>
      <c r="E183" s="240"/>
      <c r="F183" s="19"/>
      <c r="G183" s="242"/>
      <c r="H183" s="238"/>
      <c r="I183" s="241"/>
      <c r="J183" s="240"/>
      <c r="K183" s="19"/>
    </row>
    <row r="184" spans="1:11" ht="19.5" customHeight="1" x14ac:dyDescent="0.25">
      <c r="A184" s="19"/>
      <c r="B184" s="233"/>
      <c r="C184" s="238"/>
      <c r="D184" s="239"/>
      <c r="E184" s="240"/>
      <c r="F184" s="19"/>
      <c r="G184" s="242"/>
      <c r="H184" s="238"/>
      <c r="I184" s="241"/>
      <c r="J184" s="240"/>
      <c r="K184" s="19"/>
    </row>
    <row r="185" spans="1:11" ht="19.5" customHeight="1" x14ac:dyDescent="0.25">
      <c r="A185" s="19"/>
      <c r="B185" s="233"/>
      <c r="C185" s="238"/>
      <c r="D185" s="239"/>
      <c r="E185" s="240"/>
      <c r="F185" s="19"/>
      <c r="G185" s="242"/>
      <c r="H185" s="238"/>
      <c r="I185" s="241"/>
      <c r="J185" s="240"/>
      <c r="K185" s="19"/>
    </row>
    <row r="186" spans="1:11" ht="19.5" customHeight="1" x14ac:dyDescent="0.25">
      <c r="A186" s="19"/>
      <c r="B186" s="233"/>
      <c r="C186" s="238"/>
      <c r="D186" s="239"/>
      <c r="E186" s="240"/>
      <c r="F186" s="19"/>
      <c r="G186" s="242"/>
      <c r="H186" s="238"/>
      <c r="I186" s="241"/>
      <c r="J186" s="240"/>
      <c r="K186" s="19"/>
    </row>
    <row r="187" spans="1:11" ht="19.5" customHeight="1" x14ac:dyDescent="0.25">
      <c r="A187" s="19"/>
      <c r="B187" s="233"/>
      <c r="C187" s="238"/>
      <c r="D187" s="239"/>
      <c r="E187" s="240"/>
      <c r="F187" s="19"/>
      <c r="G187" s="242"/>
      <c r="H187" s="238"/>
      <c r="I187" s="241"/>
      <c r="J187" s="240"/>
      <c r="K187" s="19"/>
    </row>
    <row r="188" spans="1:11" ht="19.5" customHeight="1" x14ac:dyDescent="0.25">
      <c r="A188" s="19"/>
      <c r="B188" s="233"/>
      <c r="C188" s="238"/>
      <c r="D188" s="239"/>
      <c r="E188" s="240"/>
      <c r="F188" s="19"/>
      <c r="G188" s="242"/>
      <c r="H188" s="238"/>
      <c r="I188" s="241"/>
      <c r="J188" s="240"/>
      <c r="K188" s="19"/>
    </row>
    <row r="189" spans="1:11" ht="19.5" customHeight="1" x14ac:dyDescent="0.25">
      <c r="A189" s="19"/>
      <c r="B189" s="233"/>
      <c r="C189" s="238"/>
      <c r="D189" s="239"/>
      <c r="E189" s="240"/>
      <c r="F189" s="19"/>
      <c r="G189" s="242"/>
      <c r="H189" s="238"/>
      <c r="I189" s="241"/>
      <c r="J189" s="240"/>
      <c r="K189" s="19"/>
    </row>
    <row r="190" spans="1:11" ht="19.5" customHeight="1" x14ac:dyDescent="0.25">
      <c r="A190" s="19"/>
      <c r="B190" s="233"/>
      <c r="C190" s="238"/>
      <c r="D190" s="239"/>
      <c r="E190" s="240"/>
      <c r="F190" s="19"/>
      <c r="G190" s="242"/>
      <c r="H190" s="238"/>
      <c r="I190" s="241"/>
      <c r="J190" s="240"/>
      <c r="K190" s="19"/>
    </row>
    <row r="191" spans="1:11" ht="19.5" customHeight="1" x14ac:dyDescent="0.25">
      <c r="A191" s="19"/>
      <c r="B191" s="233"/>
      <c r="C191" s="238"/>
      <c r="D191" s="239"/>
      <c r="E191" s="240"/>
      <c r="F191" s="19"/>
      <c r="G191" s="242"/>
      <c r="H191" s="238"/>
      <c r="I191" s="241"/>
      <c r="J191" s="240"/>
      <c r="K191" s="19"/>
    </row>
    <row r="192" spans="1:11" ht="19.5" customHeight="1" x14ac:dyDescent="0.25">
      <c r="A192" s="19"/>
      <c r="B192" s="233"/>
      <c r="C192" s="238"/>
      <c r="D192" s="239"/>
      <c r="E192" s="240"/>
      <c r="F192" s="19"/>
      <c r="G192" s="242"/>
      <c r="H192" s="238"/>
      <c r="I192" s="241"/>
      <c r="J192" s="240"/>
      <c r="K192" s="19"/>
    </row>
    <row r="193" spans="1:11" ht="19.5" customHeight="1" x14ac:dyDescent="0.25">
      <c r="A193" s="19"/>
      <c r="B193" s="233"/>
      <c r="C193" s="238"/>
      <c r="D193" s="239"/>
      <c r="E193" s="240"/>
      <c r="F193" s="19"/>
      <c r="G193" s="242"/>
      <c r="H193" s="238"/>
      <c r="I193" s="241"/>
      <c r="J193" s="240"/>
      <c r="K193" s="19"/>
    </row>
    <row r="194" spans="1:11" ht="19.5" customHeight="1" x14ac:dyDescent="0.25">
      <c r="A194" s="19"/>
      <c r="B194" s="233"/>
      <c r="C194" s="238"/>
      <c r="D194" s="239"/>
      <c r="E194" s="240"/>
      <c r="F194" s="19"/>
      <c r="G194" s="242"/>
      <c r="H194" s="238"/>
      <c r="I194" s="241"/>
      <c r="J194" s="240"/>
      <c r="K194" s="19"/>
    </row>
    <row r="195" spans="1:11" ht="19.5" customHeight="1" x14ac:dyDescent="0.25">
      <c r="A195" s="19"/>
      <c r="B195" s="233"/>
      <c r="C195" s="238"/>
      <c r="D195" s="239"/>
      <c r="E195" s="240"/>
      <c r="F195" s="19"/>
      <c r="G195" s="242"/>
      <c r="H195" s="238"/>
      <c r="I195" s="241"/>
      <c r="J195" s="240"/>
      <c r="K195" s="19"/>
    </row>
    <row r="196" spans="1:11" ht="19.5" customHeight="1" x14ac:dyDescent="0.25">
      <c r="A196" s="19"/>
      <c r="B196" s="233"/>
      <c r="C196" s="238"/>
      <c r="D196" s="239"/>
      <c r="E196" s="240"/>
      <c r="F196" s="19"/>
      <c r="G196" s="242"/>
      <c r="H196" s="238"/>
      <c r="I196" s="241"/>
      <c r="J196" s="240"/>
      <c r="K196" s="19"/>
    </row>
    <row r="197" spans="1:11" ht="19.5" customHeight="1" x14ac:dyDescent="0.25">
      <c r="A197" s="19"/>
      <c r="B197" s="233"/>
      <c r="C197" s="238"/>
      <c r="D197" s="239"/>
      <c r="E197" s="240"/>
      <c r="F197" s="19"/>
      <c r="G197" s="242"/>
      <c r="H197" s="238"/>
      <c r="I197" s="241"/>
      <c r="J197" s="240"/>
      <c r="K197" s="19"/>
    </row>
    <row r="198" spans="1:11" ht="19.5" customHeight="1" x14ac:dyDescent="0.25">
      <c r="A198" s="19"/>
      <c r="B198" s="233"/>
      <c r="C198" s="238"/>
      <c r="D198" s="239"/>
      <c r="E198" s="240"/>
      <c r="F198" s="19"/>
      <c r="G198" s="242"/>
      <c r="H198" s="238"/>
      <c r="I198" s="241"/>
      <c r="J198" s="240"/>
      <c r="K198" s="19"/>
    </row>
    <row r="199" spans="1:11" ht="19.5" customHeight="1" x14ac:dyDescent="0.25">
      <c r="A199" s="19"/>
      <c r="B199" s="233"/>
      <c r="C199" s="238"/>
      <c r="D199" s="239"/>
      <c r="E199" s="240"/>
      <c r="F199" s="19"/>
      <c r="G199" s="242"/>
      <c r="H199" s="238"/>
      <c r="I199" s="241"/>
      <c r="J199" s="240"/>
      <c r="K199" s="19"/>
    </row>
    <row r="200" spans="1:11" ht="19.5" customHeight="1" x14ac:dyDescent="0.25">
      <c r="A200" s="19"/>
      <c r="B200" s="233"/>
      <c r="C200" s="238"/>
      <c r="D200" s="239"/>
      <c r="E200" s="240"/>
      <c r="F200" s="19"/>
      <c r="G200" s="242"/>
      <c r="H200" s="238"/>
      <c r="I200" s="241"/>
      <c r="J200" s="240"/>
      <c r="K200" s="19"/>
    </row>
    <row r="201" spans="1:11" ht="19.5" customHeight="1" x14ac:dyDescent="0.25">
      <c r="A201" s="19"/>
      <c r="B201" s="233"/>
      <c r="C201" s="238"/>
      <c r="D201" s="239"/>
      <c r="E201" s="240"/>
      <c r="F201" s="19"/>
      <c r="G201" s="242"/>
      <c r="H201" s="238"/>
      <c r="I201" s="241"/>
      <c r="J201" s="240"/>
      <c r="K201" s="19"/>
    </row>
    <row r="202" spans="1:11" ht="19.5" customHeight="1" x14ac:dyDescent="0.25">
      <c r="A202" s="19"/>
      <c r="B202" s="233"/>
      <c r="C202" s="238"/>
      <c r="D202" s="239"/>
      <c r="E202" s="240"/>
      <c r="F202" s="19"/>
      <c r="G202" s="242"/>
      <c r="H202" s="238"/>
      <c r="I202" s="241"/>
      <c r="J202" s="240"/>
      <c r="K202" s="19"/>
    </row>
    <row r="203" spans="1:11" ht="19.5" customHeight="1" x14ac:dyDescent="0.25">
      <c r="A203" s="19"/>
      <c r="B203" s="233"/>
      <c r="C203" s="238"/>
      <c r="D203" s="239"/>
      <c r="E203" s="240"/>
      <c r="F203" s="19"/>
      <c r="G203" s="242"/>
      <c r="H203" s="238"/>
      <c r="I203" s="241"/>
      <c r="J203" s="240"/>
      <c r="K203" s="19"/>
    </row>
    <row r="204" spans="1:11" ht="19.5" customHeight="1" x14ac:dyDescent="0.25">
      <c r="A204" s="19"/>
      <c r="B204" s="233"/>
      <c r="C204" s="238"/>
      <c r="D204" s="239"/>
      <c r="E204" s="240"/>
      <c r="F204" s="19"/>
      <c r="G204" s="242"/>
      <c r="H204" s="238"/>
      <c r="I204" s="241"/>
      <c r="J204" s="240"/>
      <c r="K204" s="19"/>
    </row>
    <row r="205" spans="1:11" ht="19.5" customHeight="1" x14ac:dyDescent="0.25">
      <c r="A205" s="19"/>
      <c r="B205" s="233"/>
      <c r="C205" s="238"/>
      <c r="D205" s="239"/>
      <c r="E205" s="240"/>
      <c r="F205" s="19"/>
      <c r="G205" s="242"/>
      <c r="H205" s="238"/>
      <c r="I205" s="241"/>
      <c r="J205" s="240"/>
      <c r="K205" s="19"/>
    </row>
    <row r="206" spans="1:11" ht="19.5" customHeight="1" x14ac:dyDescent="0.25">
      <c r="A206" s="19"/>
      <c r="B206" s="233"/>
      <c r="C206" s="238"/>
      <c r="D206" s="239"/>
      <c r="E206" s="240"/>
      <c r="F206" s="19"/>
      <c r="G206" s="242"/>
      <c r="H206" s="238"/>
      <c r="I206" s="241"/>
      <c r="J206" s="240"/>
      <c r="K206" s="19"/>
    </row>
    <row r="207" spans="1:11" ht="19.5" customHeight="1" x14ac:dyDescent="0.25">
      <c r="A207" s="19"/>
      <c r="B207" s="233"/>
      <c r="C207" s="238"/>
      <c r="D207" s="239"/>
      <c r="E207" s="240"/>
      <c r="F207" s="19"/>
      <c r="G207" s="242"/>
      <c r="H207" s="238"/>
      <c r="I207" s="241"/>
      <c r="J207" s="240"/>
      <c r="K207" s="19"/>
    </row>
    <row r="208" spans="1:11" ht="19.5" customHeight="1" x14ac:dyDescent="0.25">
      <c r="A208" s="19"/>
      <c r="B208" s="233"/>
      <c r="C208" s="238"/>
      <c r="D208" s="239"/>
      <c r="E208" s="240"/>
      <c r="F208" s="19"/>
      <c r="G208" s="242"/>
      <c r="H208" s="238"/>
      <c r="I208" s="241"/>
      <c r="J208" s="240"/>
      <c r="K208" s="19"/>
    </row>
    <row r="209" spans="1:11" ht="19.5" customHeight="1" x14ac:dyDescent="0.25">
      <c r="A209" s="19"/>
      <c r="B209" s="233"/>
      <c r="C209" s="238"/>
      <c r="D209" s="239"/>
      <c r="E209" s="240"/>
      <c r="F209" s="19"/>
      <c r="G209" s="242"/>
      <c r="H209" s="238"/>
      <c r="I209" s="241"/>
      <c r="J209" s="240"/>
      <c r="K209" s="19"/>
    </row>
    <row r="210" spans="1:11" ht="19.5" customHeight="1" x14ac:dyDescent="0.25">
      <c r="A210" s="19"/>
      <c r="B210" s="233"/>
      <c r="C210" s="238"/>
      <c r="D210" s="239"/>
      <c r="E210" s="240"/>
      <c r="F210" s="19"/>
      <c r="G210" s="242"/>
      <c r="H210" s="238"/>
      <c r="I210" s="241"/>
      <c r="J210" s="240"/>
      <c r="K210" s="19"/>
    </row>
    <row r="211" spans="1:11" ht="19.5" customHeight="1" x14ac:dyDescent="0.25">
      <c r="A211" s="19"/>
      <c r="B211" s="233"/>
      <c r="C211" s="238"/>
      <c r="D211" s="239"/>
      <c r="E211" s="240"/>
      <c r="F211" s="19"/>
      <c r="G211" s="242"/>
      <c r="H211" s="238"/>
      <c r="I211" s="241"/>
      <c r="J211" s="240"/>
      <c r="K211" s="19"/>
    </row>
    <row r="212" spans="1:11" ht="19.5" customHeight="1" x14ac:dyDescent="0.25">
      <c r="A212" s="19"/>
      <c r="B212" s="233"/>
      <c r="C212" s="238"/>
      <c r="D212" s="239"/>
      <c r="E212" s="240"/>
      <c r="F212" s="19"/>
      <c r="G212" s="242"/>
      <c r="H212" s="238"/>
      <c r="I212" s="241"/>
      <c r="J212" s="240"/>
      <c r="K212" s="19"/>
    </row>
    <row r="213" spans="1:11" ht="19.5" customHeight="1" x14ac:dyDescent="0.25">
      <c r="A213" s="19"/>
      <c r="B213" s="233"/>
      <c r="C213" s="238"/>
      <c r="D213" s="239"/>
      <c r="E213" s="240"/>
      <c r="F213" s="19"/>
      <c r="G213" s="242"/>
      <c r="H213" s="238"/>
      <c r="I213" s="241"/>
      <c r="J213" s="240"/>
      <c r="K213" s="19"/>
    </row>
    <row r="214" spans="1:11" ht="19.5" customHeight="1" x14ac:dyDescent="0.25">
      <c r="A214" s="19"/>
      <c r="B214" s="233"/>
      <c r="C214" s="238"/>
      <c r="D214" s="239"/>
      <c r="E214" s="240"/>
      <c r="F214" s="19"/>
      <c r="G214" s="242"/>
      <c r="H214" s="238"/>
      <c r="I214" s="241"/>
      <c r="J214" s="240"/>
      <c r="K214" s="19"/>
    </row>
    <row r="215" spans="1:11" ht="19.5" customHeight="1" x14ac:dyDescent="0.25">
      <c r="A215" s="19"/>
      <c r="B215" s="233"/>
      <c r="C215" s="238"/>
      <c r="D215" s="239"/>
      <c r="E215" s="240"/>
      <c r="F215" s="19"/>
      <c r="G215" s="242"/>
      <c r="H215" s="238"/>
      <c r="I215" s="241"/>
      <c r="J215" s="240"/>
      <c r="K215" s="19"/>
    </row>
    <row r="216" spans="1:11" ht="19.5" customHeight="1" x14ac:dyDescent="0.25">
      <c r="A216" s="19"/>
      <c r="B216" s="233"/>
      <c r="C216" s="238"/>
      <c r="D216" s="239"/>
      <c r="E216" s="240"/>
      <c r="F216" s="19"/>
      <c r="G216" s="242"/>
      <c r="H216" s="238"/>
      <c r="I216" s="241"/>
      <c r="J216" s="240"/>
      <c r="K216" s="19"/>
    </row>
    <row r="217" spans="1:11" ht="19.5" customHeight="1" x14ac:dyDescent="0.25">
      <c r="A217" s="19"/>
      <c r="B217" s="233"/>
      <c r="C217" s="238"/>
      <c r="D217" s="239"/>
      <c r="E217" s="240"/>
      <c r="F217" s="19"/>
      <c r="G217" s="242"/>
      <c r="H217" s="238"/>
      <c r="I217" s="241"/>
      <c r="J217" s="240"/>
      <c r="K217" s="19"/>
    </row>
    <row r="218" spans="1:11" ht="19.5" customHeight="1" x14ac:dyDescent="0.25">
      <c r="A218" s="19"/>
      <c r="B218" s="233"/>
      <c r="C218" s="238"/>
      <c r="D218" s="239"/>
      <c r="E218" s="240"/>
      <c r="F218" s="19"/>
      <c r="G218" s="242"/>
      <c r="H218" s="238"/>
      <c r="I218" s="241"/>
      <c r="J218" s="240"/>
      <c r="K218" s="19"/>
    </row>
    <row r="219" spans="1:11" ht="19.5" customHeight="1" x14ac:dyDescent="0.25">
      <c r="A219" s="19"/>
      <c r="B219" s="233"/>
      <c r="C219" s="238"/>
      <c r="D219" s="239"/>
      <c r="E219" s="240"/>
      <c r="F219" s="19"/>
      <c r="G219" s="242"/>
      <c r="H219" s="238"/>
      <c r="I219" s="241"/>
      <c r="J219" s="240"/>
      <c r="K219" s="19"/>
    </row>
    <row r="220" spans="1:11" ht="19.5" customHeight="1" x14ac:dyDescent="0.25">
      <c r="A220" s="19"/>
      <c r="B220" s="233"/>
      <c r="C220" s="238"/>
      <c r="D220" s="239"/>
      <c r="E220" s="240"/>
      <c r="F220" s="19"/>
      <c r="G220" s="242"/>
      <c r="H220" s="238"/>
      <c r="I220" s="241"/>
      <c r="J220" s="240"/>
      <c r="K220" s="19"/>
    </row>
    <row r="221" spans="1:11" ht="15.75" customHeight="1" x14ac:dyDescent="0.25">
      <c r="E221" s="139"/>
      <c r="J221" s="139"/>
    </row>
    <row r="222" spans="1:11" ht="15.75" customHeight="1" x14ac:dyDescent="0.25">
      <c r="E222" s="139"/>
      <c r="J222" s="139"/>
    </row>
    <row r="223" spans="1:11" ht="15.75" customHeight="1" x14ac:dyDescent="0.25">
      <c r="E223" s="139"/>
      <c r="J223" s="139"/>
    </row>
    <row r="224" spans="1:11" ht="15.75" customHeight="1" x14ac:dyDescent="0.25">
      <c r="E224" s="139"/>
      <c r="J224" s="139"/>
    </row>
    <row r="225" spans="5:10" ht="15.75" customHeight="1" x14ac:dyDescent="0.25">
      <c r="E225" s="139"/>
      <c r="J225" s="139"/>
    </row>
    <row r="226" spans="5:10" ht="15.75" customHeight="1" x14ac:dyDescent="0.25">
      <c r="E226" s="139"/>
      <c r="J226" s="139"/>
    </row>
    <row r="227" spans="5:10" ht="15.75" customHeight="1" x14ac:dyDescent="0.25">
      <c r="E227" s="139"/>
      <c r="J227" s="139"/>
    </row>
    <row r="228" spans="5:10" ht="15.75" customHeight="1" x14ac:dyDescent="0.25">
      <c r="E228" s="139"/>
      <c r="J228" s="139"/>
    </row>
    <row r="229" spans="5:10" ht="15.75" customHeight="1" x14ac:dyDescent="0.25">
      <c r="E229" s="139"/>
      <c r="J229" s="139"/>
    </row>
    <row r="230" spans="5:10" ht="15.75" customHeight="1" x14ac:dyDescent="0.25">
      <c r="E230" s="139"/>
      <c r="J230" s="139"/>
    </row>
    <row r="231" spans="5:10" ht="15.75" customHeight="1" x14ac:dyDescent="0.25">
      <c r="E231" s="139"/>
      <c r="J231" s="139"/>
    </row>
    <row r="232" spans="5:10" ht="15.75" customHeight="1" x14ac:dyDescent="0.25">
      <c r="E232" s="139"/>
      <c r="J232" s="139"/>
    </row>
    <row r="233" spans="5:10" ht="15.75" customHeight="1" x14ac:dyDescent="0.25">
      <c r="E233" s="139"/>
      <c r="J233" s="139"/>
    </row>
    <row r="234" spans="5:10" ht="15.75" customHeight="1" x14ac:dyDescent="0.25">
      <c r="E234" s="139"/>
      <c r="J234" s="139"/>
    </row>
    <row r="235" spans="5:10" ht="15.75" customHeight="1" x14ac:dyDescent="0.25">
      <c r="E235" s="139"/>
      <c r="J235" s="139"/>
    </row>
    <row r="236" spans="5:10" ht="15.75" customHeight="1" x14ac:dyDescent="0.25">
      <c r="E236" s="139"/>
      <c r="J236" s="139"/>
    </row>
    <row r="237" spans="5:10" ht="15.75" customHeight="1" x14ac:dyDescent="0.25">
      <c r="E237" s="139"/>
      <c r="J237" s="139"/>
    </row>
    <row r="238" spans="5:10" ht="15.75" customHeight="1" x14ac:dyDescent="0.25">
      <c r="E238" s="139"/>
      <c r="J238" s="139"/>
    </row>
    <row r="239" spans="5:10" ht="15.75" customHeight="1" x14ac:dyDescent="0.25">
      <c r="E239" s="139"/>
      <c r="J239" s="139"/>
    </row>
    <row r="240" spans="5:10" ht="15.75" customHeight="1" x14ac:dyDescent="0.25">
      <c r="E240" s="139"/>
      <c r="J240" s="139"/>
    </row>
    <row r="241" spans="5:10" ht="15.75" customHeight="1" x14ac:dyDescent="0.25">
      <c r="E241" s="139"/>
      <c r="J241" s="139"/>
    </row>
    <row r="242" spans="5:10" ht="15.75" customHeight="1" x14ac:dyDescent="0.25">
      <c r="E242" s="139"/>
      <c r="J242" s="139"/>
    </row>
    <row r="243" spans="5:10" ht="15.75" customHeight="1" x14ac:dyDescent="0.25">
      <c r="E243" s="139"/>
      <c r="J243" s="139"/>
    </row>
    <row r="244" spans="5:10" ht="15.75" customHeight="1" x14ac:dyDescent="0.25">
      <c r="E244" s="139"/>
      <c r="J244" s="139"/>
    </row>
    <row r="245" spans="5:10" ht="15.75" customHeight="1" x14ac:dyDescent="0.25">
      <c r="E245" s="139"/>
      <c r="J245" s="139"/>
    </row>
    <row r="246" spans="5:10" ht="15.75" customHeight="1" x14ac:dyDescent="0.25">
      <c r="E246" s="139"/>
      <c r="J246" s="139"/>
    </row>
    <row r="247" spans="5:10" ht="15.75" customHeight="1" x14ac:dyDescent="0.25">
      <c r="E247" s="139"/>
      <c r="J247" s="139"/>
    </row>
    <row r="248" spans="5:10" ht="15.75" customHeight="1" x14ac:dyDescent="0.25">
      <c r="E248" s="139"/>
      <c r="J248" s="139"/>
    </row>
    <row r="249" spans="5:10" ht="15.75" customHeight="1" x14ac:dyDescent="0.25">
      <c r="E249" s="139"/>
      <c r="J249" s="139"/>
    </row>
    <row r="250" spans="5:10" ht="15.75" customHeight="1" x14ac:dyDescent="0.25">
      <c r="E250" s="139"/>
      <c r="J250" s="139"/>
    </row>
    <row r="251" spans="5:10" ht="15.75" customHeight="1" x14ac:dyDescent="0.25">
      <c r="E251" s="139"/>
      <c r="J251" s="139"/>
    </row>
    <row r="252" spans="5:10" ht="15.75" customHeight="1" x14ac:dyDescent="0.25">
      <c r="E252" s="139"/>
      <c r="J252" s="139"/>
    </row>
    <row r="253" spans="5:10" ht="15.75" customHeight="1" x14ac:dyDescent="0.25">
      <c r="E253" s="139"/>
      <c r="J253" s="139"/>
    </row>
    <row r="254" spans="5:10" ht="15.75" customHeight="1" x14ac:dyDescent="0.25">
      <c r="E254" s="139"/>
      <c r="J254" s="139"/>
    </row>
    <row r="255" spans="5:10" ht="15.75" customHeight="1" x14ac:dyDescent="0.25">
      <c r="E255" s="139"/>
      <c r="J255" s="139"/>
    </row>
    <row r="256" spans="5:10" ht="15.75" customHeight="1" x14ac:dyDescent="0.25">
      <c r="E256" s="139"/>
      <c r="J256" s="139"/>
    </row>
    <row r="257" spans="5:10" ht="15.75" customHeight="1" x14ac:dyDescent="0.25">
      <c r="E257" s="139"/>
      <c r="J257" s="139"/>
    </row>
    <row r="258" spans="5:10" ht="15.75" customHeight="1" x14ac:dyDescent="0.25">
      <c r="E258" s="139"/>
      <c r="J258" s="139"/>
    </row>
    <row r="259" spans="5:10" ht="15.75" customHeight="1" x14ac:dyDescent="0.25">
      <c r="E259" s="139"/>
      <c r="J259" s="139"/>
    </row>
    <row r="260" spans="5:10" ht="15.75" customHeight="1" x14ac:dyDescent="0.25">
      <c r="E260" s="139"/>
      <c r="J260" s="139"/>
    </row>
    <row r="261" spans="5:10" ht="15.75" customHeight="1" x14ac:dyDescent="0.25">
      <c r="E261" s="139"/>
      <c r="J261" s="139"/>
    </row>
    <row r="262" spans="5:10" ht="15.75" customHeight="1" x14ac:dyDescent="0.25">
      <c r="E262" s="139"/>
      <c r="J262" s="139"/>
    </row>
    <row r="263" spans="5:10" ht="15.75" customHeight="1" x14ac:dyDescent="0.25">
      <c r="E263" s="139"/>
      <c r="J263" s="139"/>
    </row>
    <row r="264" spans="5:10" ht="15.75" customHeight="1" x14ac:dyDescent="0.25">
      <c r="E264" s="139"/>
      <c r="J264" s="139"/>
    </row>
    <row r="265" spans="5:10" ht="15.75" customHeight="1" x14ac:dyDescent="0.25">
      <c r="E265" s="139"/>
      <c r="J265" s="139"/>
    </row>
    <row r="266" spans="5:10" ht="15.75" customHeight="1" x14ac:dyDescent="0.25">
      <c r="E266" s="139"/>
      <c r="J266" s="139"/>
    </row>
    <row r="267" spans="5:10" ht="15.75" customHeight="1" x14ac:dyDescent="0.25">
      <c r="E267" s="139"/>
      <c r="J267" s="139"/>
    </row>
    <row r="268" spans="5:10" ht="15.75" customHeight="1" x14ac:dyDescent="0.25">
      <c r="E268" s="139"/>
      <c r="J268" s="139"/>
    </row>
    <row r="269" spans="5:10" ht="15.75" customHeight="1" x14ac:dyDescent="0.25">
      <c r="E269" s="139"/>
      <c r="J269" s="139"/>
    </row>
    <row r="270" spans="5:10" ht="15.75" customHeight="1" x14ac:dyDescent="0.25">
      <c r="E270" s="139"/>
      <c r="J270" s="139"/>
    </row>
    <row r="271" spans="5:10" ht="15.75" customHeight="1" x14ac:dyDescent="0.25">
      <c r="E271" s="139"/>
      <c r="J271" s="139"/>
    </row>
    <row r="272" spans="5:10" ht="15.75" customHeight="1" x14ac:dyDescent="0.25">
      <c r="E272" s="139"/>
      <c r="J272" s="139"/>
    </row>
    <row r="273" spans="5:10" ht="15.75" customHeight="1" x14ac:dyDescent="0.25">
      <c r="E273" s="139"/>
      <c r="J273" s="139"/>
    </row>
    <row r="274" spans="5:10" ht="15.75" customHeight="1" x14ac:dyDescent="0.25">
      <c r="E274" s="139"/>
      <c r="J274" s="139"/>
    </row>
    <row r="275" spans="5:10" ht="15.75" customHeight="1" x14ac:dyDescent="0.25">
      <c r="E275" s="139"/>
      <c r="J275" s="139"/>
    </row>
    <row r="276" spans="5:10" ht="15.75" customHeight="1" x14ac:dyDescent="0.25">
      <c r="E276" s="139"/>
      <c r="J276" s="139"/>
    </row>
    <row r="277" spans="5:10" ht="15.75" customHeight="1" x14ac:dyDescent="0.25">
      <c r="E277" s="139"/>
      <c r="J277" s="139"/>
    </row>
    <row r="278" spans="5:10" ht="15.75" customHeight="1" x14ac:dyDescent="0.25">
      <c r="E278" s="139"/>
      <c r="J278" s="139"/>
    </row>
    <row r="279" spans="5:10" ht="15.75" customHeight="1" x14ac:dyDescent="0.25">
      <c r="E279" s="139"/>
      <c r="J279" s="139"/>
    </row>
    <row r="280" spans="5:10" ht="15.75" customHeight="1" x14ac:dyDescent="0.25">
      <c r="E280" s="139"/>
      <c r="J280" s="139"/>
    </row>
    <row r="281" spans="5:10" ht="15.75" customHeight="1" x14ac:dyDescent="0.25">
      <c r="E281" s="139"/>
      <c r="J281" s="139"/>
    </row>
    <row r="282" spans="5:10" ht="15.75" customHeight="1" x14ac:dyDescent="0.25">
      <c r="E282" s="139"/>
      <c r="J282" s="139"/>
    </row>
    <row r="283" spans="5:10" ht="15.75" customHeight="1" x14ac:dyDescent="0.25">
      <c r="E283" s="139"/>
      <c r="J283" s="139"/>
    </row>
    <row r="284" spans="5:10" ht="15.75" customHeight="1" x14ac:dyDescent="0.25">
      <c r="E284" s="139"/>
      <c r="J284" s="139"/>
    </row>
    <row r="285" spans="5:10" ht="15.75" customHeight="1" x14ac:dyDescent="0.25">
      <c r="E285" s="139"/>
      <c r="J285" s="139"/>
    </row>
    <row r="286" spans="5:10" ht="15.75" customHeight="1" x14ac:dyDescent="0.25">
      <c r="E286" s="139"/>
      <c r="J286" s="139"/>
    </row>
    <row r="287" spans="5:10" ht="15.75" customHeight="1" x14ac:dyDescent="0.25">
      <c r="E287" s="139"/>
      <c r="J287" s="139"/>
    </row>
    <row r="288" spans="5:10" ht="15.75" customHeight="1" x14ac:dyDescent="0.25">
      <c r="E288" s="139"/>
      <c r="J288" s="139"/>
    </row>
    <row r="289" spans="5:10" ht="15.75" customHeight="1" x14ac:dyDescent="0.25">
      <c r="E289" s="139"/>
      <c r="J289" s="139"/>
    </row>
    <row r="290" spans="5:10" ht="15.75" customHeight="1" x14ac:dyDescent="0.25">
      <c r="E290" s="139"/>
      <c r="J290" s="139"/>
    </row>
    <row r="291" spans="5:10" ht="15.75" customHeight="1" x14ac:dyDescent="0.25">
      <c r="E291" s="139"/>
      <c r="J291" s="139"/>
    </row>
    <row r="292" spans="5:10" ht="15.75" customHeight="1" x14ac:dyDescent="0.25">
      <c r="E292" s="139"/>
      <c r="J292" s="139"/>
    </row>
    <row r="293" spans="5:10" ht="15.75" customHeight="1" x14ac:dyDescent="0.25">
      <c r="E293" s="139"/>
      <c r="J293" s="139"/>
    </row>
    <row r="294" spans="5:10" ht="15.75" customHeight="1" x14ac:dyDescent="0.25">
      <c r="E294" s="139"/>
      <c r="J294" s="139"/>
    </row>
    <row r="295" spans="5:10" ht="15.75" customHeight="1" x14ac:dyDescent="0.25">
      <c r="E295" s="139"/>
      <c r="J295" s="139"/>
    </row>
    <row r="296" spans="5:10" ht="15.75" customHeight="1" x14ac:dyDescent="0.25">
      <c r="E296" s="139"/>
      <c r="J296" s="139"/>
    </row>
    <row r="297" spans="5:10" ht="15.75" customHeight="1" x14ac:dyDescent="0.25">
      <c r="E297" s="139"/>
      <c r="J297" s="139"/>
    </row>
    <row r="298" spans="5:10" ht="15.75" customHeight="1" x14ac:dyDescent="0.25">
      <c r="E298" s="139"/>
      <c r="J298" s="139"/>
    </row>
    <row r="299" spans="5:10" ht="15.75" customHeight="1" x14ac:dyDescent="0.25">
      <c r="E299" s="139"/>
      <c r="J299" s="139"/>
    </row>
    <row r="300" spans="5:10" ht="15.75" customHeight="1" x14ac:dyDescent="0.25">
      <c r="E300" s="139"/>
      <c r="J300" s="139"/>
    </row>
    <row r="301" spans="5:10" ht="15.75" customHeight="1" x14ac:dyDescent="0.25">
      <c r="E301" s="139"/>
      <c r="J301" s="139"/>
    </row>
    <row r="302" spans="5:10" ht="15.75" customHeight="1" x14ac:dyDescent="0.25">
      <c r="E302" s="139"/>
      <c r="J302" s="139"/>
    </row>
    <row r="303" spans="5:10" ht="15.75" customHeight="1" x14ac:dyDescent="0.25">
      <c r="E303" s="139"/>
      <c r="J303" s="139"/>
    </row>
    <row r="304" spans="5:10" ht="15.75" customHeight="1" x14ac:dyDescent="0.25">
      <c r="E304" s="139"/>
      <c r="J304" s="139"/>
    </row>
    <row r="305" spans="5:10" ht="15.75" customHeight="1" x14ac:dyDescent="0.25">
      <c r="E305" s="139"/>
      <c r="J305" s="139"/>
    </row>
    <row r="306" spans="5:10" ht="15.75" customHeight="1" x14ac:dyDescent="0.25">
      <c r="E306" s="139"/>
      <c r="J306" s="139"/>
    </row>
    <row r="307" spans="5:10" ht="15.75" customHeight="1" x14ac:dyDescent="0.25">
      <c r="E307" s="139"/>
      <c r="J307" s="139"/>
    </row>
    <row r="308" spans="5:10" ht="15.75" customHeight="1" x14ac:dyDescent="0.25">
      <c r="E308" s="139"/>
      <c r="J308" s="139"/>
    </row>
    <row r="309" spans="5:10" ht="15.75" customHeight="1" x14ac:dyDescent="0.25">
      <c r="E309" s="139"/>
      <c r="J309" s="139"/>
    </row>
    <row r="310" spans="5:10" ht="15.75" customHeight="1" x14ac:dyDescent="0.25">
      <c r="E310" s="139"/>
      <c r="J310" s="139"/>
    </row>
    <row r="311" spans="5:10" ht="15.75" customHeight="1" x14ac:dyDescent="0.25">
      <c r="E311" s="139"/>
      <c r="J311" s="139"/>
    </row>
    <row r="312" spans="5:10" ht="15.75" customHeight="1" x14ac:dyDescent="0.25">
      <c r="E312" s="139"/>
      <c r="J312" s="139"/>
    </row>
    <row r="313" spans="5:10" ht="15.75" customHeight="1" x14ac:dyDescent="0.25">
      <c r="E313" s="139"/>
      <c r="J313" s="139"/>
    </row>
    <row r="314" spans="5:10" ht="15.75" customHeight="1" x14ac:dyDescent="0.25">
      <c r="E314" s="139"/>
      <c r="J314" s="139"/>
    </row>
    <row r="315" spans="5:10" ht="15.75" customHeight="1" x14ac:dyDescent="0.25">
      <c r="E315" s="139"/>
      <c r="J315" s="139"/>
    </row>
    <row r="316" spans="5:10" ht="15.75" customHeight="1" x14ac:dyDescent="0.25">
      <c r="E316" s="139"/>
      <c r="J316" s="139"/>
    </row>
    <row r="317" spans="5:10" ht="15.75" customHeight="1" x14ac:dyDescent="0.25">
      <c r="E317" s="139"/>
      <c r="J317" s="139"/>
    </row>
    <row r="318" spans="5:10" ht="15.75" customHeight="1" x14ac:dyDescent="0.25">
      <c r="E318" s="139"/>
      <c r="J318" s="139"/>
    </row>
    <row r="319" spans="5:10" ht="15.75" customHeight="1" x14ac:dyDescent="0.25">
      <c r="E319" s="139"/>
      <c r="J319" s="139"/>
    </row>
    <row r="320" spans="5:10" ht="15.75" customHeight="1" x14ac:dyDescent="0.25">
      <c r="E320" s="139"/>
      <c r="J320" s="139"/>
    </row>
    <row r="321" spans="5:10" ht="15.75" customHeight="1" x14ac:dyDescent="0.25">
      <c r="E321" s="139"/>
      <c r="J321" s="139"/>
    </row>
    <row r="322" spans="5:10" ht="15.75" customHeight="1" x14ac:dyDescent="0.25">
      <c r="E322" s="139"/>
      <c r="J322" s="139"/>
    </row>
    <row r="323" spans="5:10" ht="15.75" customHeight="1" x14ac:dyDescent="0.25">
      <c r="E323" s="139"/>
      <c r="J323" s="139"/>
    </row>
    <row r="324" spans="5:10" ht="15.75" customHeight="1" x14ac:dyDescent="0.25">
      <c r="E324" s="139"/>
      <c r="J324" s="139"/>
    </row>
    <row r="325" spans="5:10" ht="15.75" customHeight="1" x14ac:dyDescent="0.25">
      <c r="E325" s="139"/>
      <c r="J325" s="139"/>
    </row>
    <row r="326" spans="5:10" ht="15.75" customHeight="1" x14ac:dyDescent="0.25">
      <c r="E326" s="139"/>
      <c r="J326" s="139"/>
    </row>
    <row r="327" spans="5:10" ht="15.75" customHeight="1" x14ac:dyDescent="0.25">
      <c r="E327" s="139"/>
      <c r="J327" s="139"/>
    </row>
    <row r="328" spans="5:10" ht="15.75" customHeight="1" x14ac:dyDescent="0.25">
      <c r="E328" s="139"/>
      <c r="J328" s="139"/>
    </row>
    <row r="329" spans="5:10" ht="15.75" customHeight="1" x14ac:dyDescent="0.25">
      <c r="E329" s="139"/>
      <c r="J329" s="139"/>
    </row>
    <row r="330" spans="5:10" ht="15.75" customHeight="1" x14ac:dyDescent="0.25">
      <c r="E330" s="139"/>
      <c r="J330" s="139"/>
    </row>
    <row r="331" spans="5:10" ht="15.75" customHeight="1" x14ac:dyDescent="0.25">
      <c r="E331" s="139"/>
      <c r="J331" s="139"/>
    </row>
    <row r="332" spans="5:10" ht="15.75" customHeight="1" x14ac:dyDescent="0.25">
      <c r="E332" s="139"/>
      <c r="J332" s="139"/>
    </row>
    <row r="333" spans="5:10" ht="15.75" customHeight="1" x14ac:dyDescent="0.25">
      <c r="E333" s="139"/>
      <c r="J333" s="139"/>
    </row>
    <row r="334" spans="5:10" ht="15.75" customHeight="1" x14ac:dyDescent="0.25">
      <c r="E334" s="139"/>
      <c r="J334" s="139"/>
    </row>
    <row r="335" spans="5:10" ht="15.75" customHeight="1" x14ac:dyDescent="0.25">
      <c r="E335" s="139"/>
      <c r="J335" s="139"/>
    </row>
    <row r="336" spans="5:10" ht="15.75" customHeight="1" x14ac:dyDescent="0.25">
      <c r="E336" s="139"/>
      <c r="J336" s="139"/>
    </row>
    <row r="337" spans="5:10" ht="15.75" customHeight="1" x14ac:dyDescent="0.25">
      <c r="E337" s="139"/>
      <c r="J337" s="139"/>
    </row>
    <row r="338" spans="5:10" ht="15.75" customHeight="1" x14ac:dyDescent="0.25">
      <c r="E338" s="139"/>
      <c r="J338" s="139"/>
    </row>
    <row r="339" spans="5:10" ht="15.75" customHeight="1" x14ac:dyDescent="0.25">
      <c r="E339" s="139"/>
      <c r="J339" s="139"/>
    </row>
    <row r="340" spans="5:10" ht="15.75" customHeight="1" x14ac:dyDescent="0.25">
      <c r="E340" s="139"/>
      <c r="J340" s="139"/>
    </row>
    <row r="341" spans="5:10" ht="15.75" customHeight="1" x14ac:dyDescent="0.25">
      <c r="E341" s="139"/>
      <c r="J341" s="139"/>
    </row>
    <row r="342" spans="5:10" ht="15.75" customHeight="1" x14ac:dyDescent="0.25">
      <c r="E342" s="139"/>
      <c r="J342" s="139"/>
    </row>
    <row r="343" spans="5:10" ht="15.75" customHeight="1" x14ac:dyDescent="0.25">
      <c r="E343" s="139"/>
      <c r="J343" s="139"/>
    </row>
    <row r="344" spans="5:10" ht="15.75" customHeight="1" x14ac:dyDescent="0.25">
      <c r="E344" s="139"/>
      <c r="J344" s="139"/>
    </row>
    <row r="345" spans="5:10" ht="15.75" customHeight="1" x14ac:dyDescent="0.25">
      <c r="E345" s="139"/>
      <c r="J345" s="139"/>
    </row>
    <row r="346" spans="5:10" ht="15.75" customHeight="1" x14ac:dyDescent="0.25">
      <c r="E346" s="139"/>
      <c r="J346" s="139"/>
    </row>
    <row r="347" spans="5:10" ht="15.75" customHeight="1" x14ac:dyDescent="0.25">
      <c r="E347" s="139"/>
      <c r="J347" s="139"/>
    </row>
    <row r="348" spans="5:10" ht="15.75" customHeight="1" x14ac:dyDescent="0.25">
      <c r="E348" s="139"/>
      <c r="J348" s="139"/>
    </row>
    <row r="349" spans="5:10" ht="15.75" customHeight="1" x14ac:dyDescent="0.25">
      <c r="E349" s="139"/>
      <c r="J349" s="139"/>
    </row>
    <row r="350" spans="5:10" ht="15.75" customHeight="1" x14ac:dyDescent="0.25">
      <c r="E350" s="139"/>
      <c r="J350" s="139"/>
    </row>
    <row r="351" spans="5:10" ht="15.75" customHeight="1" x14ac:dyDescent="0.25">
      <c r="E351" s="139"/>
      <c r="J351" s="139"/>
    </row>
    <row r="352" spans="5:10" ht="15.75" customHeight="1" x14ac:dyDescent="0.25">
      <c r="E352" s="139"/>
      <c r="J352" s="139"/>
    </row>
    <row r="353" spans="5:10" ht="15.75" customHeight="1" x14ac:dyDescent="0.25">
      <c r="E353" s="139"/>
      <c r="J353" s="139"/>
    </row>
    <row r="354" spans="5:10" ht="15.75" customHeight="1" x14ac:dyDescent="0.25">
      <c r="E354" s="139"/>
      <c r="J354" s="139"/>
    </row>
    <row r="355" spans="5:10" ht="15.75" customHeight="1" x14ac:dyDescent="0.25">
      <c r="E355" s="139"/>
      <c r="J355" s="139"/>
    </row>
    <row r="356" spans="5:10" ht="15.75" customHeight="1" x14ac:dyDescent="0.25">
      <c r="E356" s="139"/>
      <c r="J356" s="139"/>
    </row>
    <row r="357" spans="5:10" ht="15.75" customHeight="1" x14ac:dyDescent="0.25">
      <c r="E357" s="139"/>
      <c r="J357" s="139"/>
    </row>
    <row r="358" spans="5:10" ht="15.75" customHeight="1" x14ac:dyDescent="0.25">
      <c r="E358" s="139"/>
      <c r="J358" s="139"/>
    </row>
    <row r="359" spans="5:10" ht="15.75" customHeight="1" x14ac:dyDescent="0.25">
      <c r="E359" s="139"/>
      <c r="J359" s="139"/>
    </row>
    <row r="360" spans="5:10" ht="15.75" customHeight="1" x14ac:dyDescent="0.25">
      <c r="E360" s="139"/>
      <c r="J360" s="139"/>
    </row>
    <row r="361" spans="5:10" ht="15.75" customHeight="1" x14ac:dyDescent="0.25">
      <c r="E361" s="139"/>
      <c r="J361" s="139"/>
    </row>
    <row r="362" spans="5:10" ht="15.75" customHeight="1" x14ac:dyDescent="0.25">
      <c r="E362" s="139"/>
      <c r="J362" s="139"/>
    </row>
    <row r="363" spans="5:10" ht="15.75" customHeight="1" x14ac:dyDescent="0.25">
      <c r="E363" s="139"/>
      <c r="J363" s="139"/>
    </row>
    <row r="364" spans="5:10" ht="15.75" customHeight="1" x14ac:dyDescent="0.25">
      <c r="E364" s="139"/>
      <c r="J364" s="139"/>
    </row>
    <row r="365" spans="5:10" ht="15.75" customHeight="1" x14ac:dyDescent="0.25">
      <c r="E365" s="139"/>
      <c r="J365" s="139"/>
    </row>
    <row r="366" spans="5:10" ht="15.75" customHeight="1" x14ac:dyDescent="0.25">
      <c r="E366" s="139"/>
      <c r="J366" s="139"/>
    </row>
    <row r="367" spans="5:10" ht="15.75" customHeight="1" x14ac:dyDescent="0.25">
      <c r="E367" s="139"/>
      <c r="J367" s="139"/>
    </row>
    <row r="368" spans="5:10" ht="15.75" customHeight="1" x14ac:dyDescent="0.25">
      <c r="E368" s="139"/>
      <c r="J368" s="139"/>
    </row>
    <row r="369" spans="5:10" ht="15.75" customHeight="1" x14ac:dyDescent="0.25">
      <c r="E369" s="139"/>
      <c r="J369" s="139"/>
    </row>
    <row r="370" spans="5:10" ht="15.75" customHeight="1" x14ac:dyDescent="0.25">
      <c r="E370" s="139"/>
      <c r="J370" s="139"/>
    </row>
    <row r="371" spans="5:10" ht="15.75" customHeight="1" x14ac:dyDescent="0.25">
      <c r="E371" s="139"/>
      <c r="J371" s="139"/>
    </row>
    <row r="372" spans="5:10" ht="15.75" customHeight="1" x14ac:dyDescent="0.25">
      <c r="E372" s="139"/>
      <c r="J372" s="139"/>
    </row>
    <row r="373" spans="5:10" ht="15.75" customHeight="1" x14ac:dyDescent="0.25">
      <c r="E373" s="139"/>
      <c r="J373" s="139"/>
    </row>
    <row r="374" spans="5:10" ht="15.75" customHeight="1" x14ac:dyDescent="0.25">
      <c r="E374" s="139"/>
      <c r="J374" s="139"/>
    </row>
    <row r="375" spans="5:10" ht="15.75" customHeight="1" x14ac:dyDescent="0.25">
      <c r="E375" s="139"/>
      <c r="J375" s="139"/>
    </row>
    <row r="376" spans="5:10" ht="15.75" customHeight="1" x14ac:dyDescent="0.25">
      <c r="E376" s="139"/>
      <c r="J376" s="139"/>
    </row>
    <row r="377" spans="5:10" ht="15.75" customHeight="1" x14ac:dyDescent="0.25">
      <c r="E377" s="139"/>
      <c r="J377" s="139"/>
    </row>
    <row r="378" spans="5:10" ht="15.75" customHeight="1" x14ac:dyDescent="0.25">
      <c r="E378" s="139"/>
      <c r="J378" s="139"/>
    </row>
    <row r="379" spans="5:10" ht="15.75" customHeight="1" x14ac:dyDescent="0.25">
      <c r="E379" s="139"/>
      <c r="J379" s="139"/>
    </row>
    <row r="380" spans="5:10" ht="15.75" customHeight="1" x14ac:dyDescent="0.25">
      <c r="E380" s="139"/>
      <c r="J380" s="139"/>
    </row>
    <row r="381" spans="5:10" ht="15.75" customHeight="1" x14ac:dyDescent="0.25">
      <c r="E381" s="139"/>
      <c r="J381" s="139"/>
    </row>
    <row r="382" spans="5:10" ht="15.75" customHeight="1" x14ac:dyDescent="0.25">
      <c r="E382" s="139"/>
      <c r="J382" s="139"/>
    </row>
    <row r="383" spans="5:10" ht="15.75" customHeight="1" x14ac:dyDescent="0.25">
      <c r="E383" s="139"/>
      <c r="J383" s="139"/>
    </row>
    <row r="384" spans="5:10" ht="15.75" customHeight="1" x14ac:dyDescent="0.25">
      <c r="E384" s="139"/>
      <c r="J384" s="139"/>
    </row>
    <row r="385" spans="5:10" ht="15.75" customHeight="1" x14ac:dyDescent="0.25">
      <c r="E385" s="139"/>
      <c r="J385" s="139"/>
    </row>
    <row r="386" spans="5:10" ht="15.75" customHeight="1" x14ac:dyDescent="0.25">
      <c r="E386" s="139"/>
      <c r="J386" s="139"/>
    </row>
    <row r="387" spans="5:10" ht="15.75" customHeight="1" x14ac:dyDescent="0.25">
      <c r="E387" s="139"/>
      <c r="J387" s="139"/>
    </row>
    <row r="388" spans="5:10" ht="15.75" customHeight="1" x14ac:dyDescent="0.25">
      <c r="E388" s="139"/>
      <c r="J388" s="139"/>
    </row>
    <row r="389" spans="5:10" ht="15.75" customHeight="1" x14ac:dyDescent="0.25">
      <c r="E389" s="139"/>
      <c r="J389" s="139"/>
    </row>
    <row r="390" spans="5:10" ht="15.75" customHeight="1" x14ac:dyDescent="0.25">
      <c r="E390" s="139"/>
      <c r="J390" s="139"/>
    </row>
    <row r="391" spans="5:10" ht="15.75" customHeight="1" x14ac:dyDescent="0.25">
      <c r="E391" s="139"/>
      <c r="J391" s="139"/>
    </row>
    <row r="392" spans="5:10" ht="15.75" customHeight="1" x14ac:dyDescent="0.25">
      <c r="E392" s="139"/>
      <c r="J392" s="139"/>
    </row>
    <row r="393" spans="5:10" ht="15.75" customHeight="1" x14ac:dyDescent="0.25">
      <c r="E393" s="139"/>
      <c r="J393" s="139"/>
    </row>
    <row r="394" spans="5:10" ht="15.75" customHeight="1" x14ac:dyDescent="0.25">
      <c r="E394" s="139"/>
      <c r="J394" s="139"/>
    </row>
    <row r="395" spans="5:10" ht="15.75" customHeight="1" x14ac:dyDescent="0.25">
      <c r="E395" s="139"/>
      <c r="J395" s="139"/>
    </row>
    <row r="396" spans="5:10" ht="15.75" customHeight="1" x14ac:dyDescent="0.25">
      <c r="E396" s="139"/>
      <c r="J396" s="139"/>
    </row>
    <row r="397" spans="5:10" ht="15.75" customHeight="1" x14ac:dyDescent="0.25">
      <c r="E397" s="139"/>
      <c r="J397" s="139"/>
    </row>
    <row r="398" spans="5:10" ht="15.75" customHeight="1" x14ac:dyDescent="0.25">
      <c r="E398" s="139"/>
      <c r="J398" s="139"/>
    </row>
    <row r="399" spans="5:10" ht="15.75" customHeight="1" x14ac:dyDescent="0.25">
      <c r="E399" s="139"/>
      <c r="J399" s="139"/>
    </row>
    <row r="400" spans="5:10" ht="15.75" customHeight="1" x14ac:dyDescent="0.25">
      <c r="E400" s="139"/>
      <c r="J400" s="139"/>
    </row>
    <row r="401" spans="5:10" ht="15.75" customHeight="1" x14ac:dyDescent="0.25">
      <c r="E401" s="139"/>
      <c r="J401" s="139"/>
    </row>
    <row r="402" spans="5:10" ht="15.75" customHeight="1" x14ac:dyDescent="0.25">
      <c r="E402" s="139"/>
      <c r="J402" s="139"/>
    </row>
    <row r="403" spans="5:10" ht="15.75" customHeight="1" x14ac:dyDescent="0.25">
      <c r="E403" s="139"/>
      <c r="J403" s="139"/>
    </row>
    <row r="404" spans="5:10" ht="15.75" customHeight="1" x14ac:dyDescent="0.25">
      <c r="E404" s="139"/>
      <c r="J404" s="139"/>
    </row>
    <row r="405" spans="5:10" ht="15.75" customHeight="1" x14ac:dyDescent="0.25">
      <c r="E405" s="139"/>
      <c r="J405" s="139"/>
    </row>
    <row r="406" spans="5:10" ht="15.75" customHeight="1" x14ac:dyDescent="0.25">
      <c r="E406" s="139"/>
      <c r="J406" s="139"/>
    </row>
    <row r="407" spans="5:10" ht="15.75" customHeight="1" x14ac:dyDescent="0.25">
      <c r="E407" s="139"/>
      <c r="J407" s="139"/>
    </row>
    <row r="408" spans="5:10" ht="15.75" customHeight="1" x14ac:dyDescent="0.25">
      <c r="E408" s="139"/>
      <c r="J408" s="139"/>
    </row>
    <row r="409" spans="5:10" ht="15.75" customHeight="1" x14ac:dyDescent="0.25">
      <c r="E409" s="139"/>
      <c r="J409" s="139"/>
    </row>
    <row r="410" spans="5:10" ht="15.75" customHeight="1" x14ac:dyDescent="0.25">
      <c r="E410" s="139"/>
      <c r="J410" s="139"/>
    </row>
    <row r="411" spans="5:10" ht="15.75" customHeight="1" x14ac:dyDescent="0.25">
      <c r="E411" s="139"/>
      <c r="J411" s="139"/>
    </row>
    <row r="412" spans="5:10" ht="15.75" customHeight="1" x14ac:dyDescent="0.25">
      <c r="E412" s="139"/>
      <c r="J412" s="139"/>
    </row>
    <row r="413" spans="5:10" ht="15.75" customHeight="1" x14ac:dyDescent="0.25">
      <c r="E413" s="139"/>
      <c r="J413" s="139"/>
    </row>
    <row r="414" spans="5:10" ht="15.75" customHeight="1" x14ac:dyDescent="0.25">
      <c r="E414" s="139"/>
      <c r="J414" s="139"/>
    </row>
    <row r="415" spans="5:10" ht="15.75" customHeight="1" x14ac:dyDescent="0.25">
      <c r="E415" s="139"/>
      <c r="J415" s="139"/>
    </row>
    <row r="416" spans="5:10" ht="15.75" customHeight="1" x14ac:dyDescent="0.25">
      <c r="E416" s="139"/>
      <c r="J416" s="139"/>
    </row>
    <row r="417" spans="5:10" ht="15.75" customHeight="1" x14ac:dyDescent="0.25">
      <c r="E417" s="139"/>
      <c r="J417" s="139"/>
    </row>
    <row r="418" spans="5:10" ht="15.75" customHeight="1" x14ac:dyDescent="0.25">
      <c r="E418" s="139"/>
      <c r="J418" s="139"/>
    </row>
    <row r="419" spans="5:10" ht="15.75" customHeight="1" x14ac:dyDescent="0.25">
      <c r="E419" s="139"/>
      <c r="J419" s="139"/>
    </row>
    <row r="420" spans="5:10" ht="15.75" customHeight="1" x14ac:dyDescent="0.25">
      <c r="E420" s="139"/>
      <c r="J420" s="139"/>
    </row>
    <row r="421" spans="5:10" ht="15.75" customHeight="1" x14ac:dyDescent="0.25">
      <c r="E421" s="139"/>
      <c r="J421" s="139"/>
    </row>
    <row r="422" spans="5:10" ht="15.75" customHeight="1" x14ac:dyDescent="0.25">
      <c r="E422" s="139"/>
      <c r="J422" s="139"/>
    </row>
    <row r="423" spans="5:10" ht="15.75" customHeight="1" x14ac:dyDescent="0.25">
      <c r="E423" s="139"/>
      <c r="J423" s="139"/>
    </row>
    <row r="424" spans="5:10" ht="15.75" customHeight="1" x14ac:dyDescent="0.25">
      <c r="E424" s="139"/>
      <c r="J424" s="139"/>
    </row>
    <row r="425" spans="5:10" ht="15.75" customHeight="1" x14ac:dyDescent="0.25">
      <c r="E425" s="139"/>
      <c r="J425" s="139"/>
    </row>
    <row r="426" spans="5:10" ht="15.75" customHeight="1" x14ac:dyDescent="0.25">
      <c r="E426" s="139"/>
      <c r="J426" s="139"/>
    </row>
    <row r="427" spans="5:10" ht="15.75" customHeight="1" x14ac:dyDescent="0.25">
      <c r="E427" s="139"/>
      <c r="J427" s="139"/>
    </row>
    <row r="428" spans="5:10" ht="15.75" customHeight="1" x14ac:dyDescent="0.25">
      <c r="E428" s="139"/>
      <c r="J428" s="139"/>
    </row>
    <row r="429" spans="5:10" ht="15.75" customHeight="1" x14ac:dyDescent="0.25">
      <c r="E429" s="139"/>
      <c r="J429" s="139"/>
    </row>
    <row r="430" spans="5:10" ht="15.75" customHeight="1" x14ac:dyDescent="0.25">
      <c r="E430" s="139"/>
      <c r="J430" s="139"/>
    </row>
    <row r="431" spans="5:10" ht="15.75" customHeight="1" x14ac:dyDescent="0.25">
      <c r="E431" s="139"/>
      <c r="J431" s="139"/>
    </row>
    <row r="432" spans="5:10" ht="15.75" customHeight="1" x14ac:dyDescent="0.25">
      <c r="E432" s="139"/>
      <c r="J432" s="139"/>
    </row>
    <row r="433" spans="5:10" ht="15.75" customHeight="1" x14ac:dyDescent="0.25">
      <c r="E433" s="139"/>
      <c r="J433" s="139"/>
    </row>
    <row r="434" spans="5:10" ht="15.75" customHeight="1" x14ac:dyDescent="0.25">
      <c r="E434" s="139"/>
      <c r="J434" s="139"/>
    </row>
    <row r="435" spans="5:10" ht="15.75" customHeight="1" x14ac:dyDescent="0.25">
      <c r="E435" s="139"/>
      <c r="J435" s="139"/>
    </row>
    <row r="436" spans="5:10" ht="15.75" customHeight="1" x14ac:dyDescent="0.25">
      <c r="E436" s="139"/>
      <c r="J436" s="139"/>
    </row>
    <row r="437" spans="5:10" ht="15.75" customHeight="1" x14ac:dyDescent="0.25">
      <c r="E437" s="139"/>
      <c r="J437" s="139"/>
    </row>
    <row r="438" spans="5:10" ht="15.75" customHeight="1" x14ac:dyDescent="0.25">
      <c r="E438" s="139"/>
      <c r="J438" s="139"/>
    </row>
    <row r="439" spans="5:10" ht="15.75" customHeight="1" x14ac:dyDescent="0.25">
      <c r="E439" s="139"/>
      <c r="J439" s="139"/>
    </row>
    <row r="440" spans="5:10" ht="15.75" customHeight="1" x14ac:dyDescent="0.25">
      <c r="E440" s="139"/>
      <c r="J440" s="139"/>
    </row>
    <row r="441" spans="5:10" ht="15.75" customHeight="1" x14ac:dyDescent="0.25">
      <c r="E441" s="139"/>
      <c r="J441" s="139"/>
    </row>
    <row r="442" spans="5:10" ht="15.75" customHeight="1" x14ac:dyDescent="0.25">
      <c r="E442" s="139"/>
      <c r="J442" s="139"/>
    </row>
    <row r="443" spans="5:10" ht="15.75" customHeight="1" x14ac:dyDescent="0.25">
      <c r="E443" s="139"/>
      <c r="J443" s="139"/>
    </row>
    <row r="444" spans="5:10" ht="15.75" customHeight="1" x14ac:dyDescent="0.25">
      <c r="E444" s="139"/>
      <c r="J444" s="139"/>
    </row>
    <row r="445" spans="5:10" ht="15.75" customHeight="1" x14ac:dyDescent="0.25">
      <c r="E445" s="139"/>
      <c r="J445" s="139"/>
    </row>
    <row r="446" spans="5:10" ht="15.75" customHeight="1" x14ac:dyDescent="0.25">
      <c r="E446" s="139"/>
      <c r="J446" s="139"/>
    </row>
    <row r="447" spans="5:10" ht="15.75" customHeight="1" x14ac:dyDescent="0.25">
      <c r="E447" s="139"/>
      <c r="J447" s="139"/>
    </row>
    <row r="448" spans="5:10" ht="15.75" customHeight="1" x14ac:dyDescent="0.25">
      <c r="E448" s="139"/>
      <c r="J448" s="139"/>
    </row>
    <row r="449" spans="5:10" ht="15.75" customHeight="1" x14ac:dyDescent="0.25">
      <c r="E449" s="139"/>
      <c r="J449" s="139"/>
    </row>
    <row r="450" spans="5:10" ht="15.75" customHeight="1" x14ac:dyDescent="0.25">
      <c r="E450" s="139"/>
      <c r="J450" s="139"/>
    </row>
    <row r="451" spans="5:10" ht="15.75" customHeight="1" x14ac:dyDescent="0.25">
      <c r="E451" s="139"/>
      <c r="J451" s="139"/>
    </row>
    <row r="452" spans="5:10" ht="15.75" customHeight="1" x14ac:dyDescent="0.25">
      <c r="E452" s="139"/>
      <c r="J452" s="139"/>
    </row>
    <row r="453" spans="5:10" ht="15.75" customHeight="1" x14ac:dyDescent="0.25">
      <c r="E453" s="139"/>
      <c r="J453" s="139"/>
    </row>
    <row r="454" spans="5:10" ht="15.75" customHeight="1" x14ac:dyDescent="0.25">
      <c r="E454" s="139"/>
      <c r="J454" s="139"/>
    </row>
    <row r="455" spans="5:10" ht="15.75" customHeight="1" x14ac:dyDescent="0.25">
      <c r="E455" s="139"/>
      <c r="J455" s="139"/>
    </row>
    <row r="456" spans="5:10" ht="15.75" customHeight="1" x14ac:dyDescent="0.25">
      <c r="E456" s="139"/>
      <c r="J456" s="139"/>
    </row>
    <row r="457" spans="5:10" ht="15.75" customHeight="1" x14ac:dyDescent="0.25">
      <c r="E457" s="139"/>
      <c r="J457" s="139"/>
    </row>
    <row r="458" spans="5:10" ht="15.75" customHeight="1" x14ac:dyDescent="0.25">
      <c r="E458" s="139"/>
      <c r="J458" s="139"/>
    </row>
    <row r="459" spans="5:10" ht="15.75" customHeight="1" x14ac:dyDescent="0.25">
      <c r="E459" s="139"/>
      <c r="J459" s="139"/>
    </row>
    <row r="460" spans="5:10" ht="15.75" customHeight="1" x14ac:dyDescent="0.25">
      <c r="E460" s="139"/>
      <c r="J460" s="139"/>
    </row>
    <row r="461" spans="5:10" ht="15.75" customHeight="1" x14ac:dyDescent="0.25">
      <c r="E461" s="139"/>
      <c r="J461" s="139"/>
    </row>
    <row r="462" spans="5:10" ht="15.75" customHeight="1" x14ac:dyDescent="0.25">
      <c r="E462" s="139"/>
      <c r="J462" s="139"/>
    </row>
    <row r="463" spans="5:10" ht="15.75" customHeight="1" x14ac:dyDescent="0.25">
      <c r="E463" s="139"/>
      <c r="J463" s="139"/>
    </row>
    <row r="464" spans="5:10" ht="15.75" customHeight="1" x14ac:dyDescent="0.25">
      <c r="E464" s="139"/>
      <c r="J464" s="139"/>
    </row>
    <row r="465" spans="5:10" ht="15.75" customHeight="1" x14ac:dyDescent="0.25">
      <c r="E465" s="139"/>
      <c r="J465" s="139"/>
    </row>
    <row r="466" spans="5:10" ht="15.75" customHeight="1" x14ac:dyDescent="0.25">
      <c r="E466" s="139"/>
      <c r="J466" s="139"/>
    </row>
    <row r="467" spans="5:10" ht="15.75" customHeight="1" x14ac:dyDescent="0.25">
      <c r="E467" s="139"/>
      <c r="J467" s="139"/>
    </row>
    <row r="468" spans="5:10" ht="15.75" customHeight="1" x14ac:dyDescent="0.25">
      <c r="E468" s="139"/>
      <c r="J468" s="139"/>
    </row>
    <row r="469" spans="5:10" ht="15.75" customHeight="1" x14ac:dyDescent="0.25">
      <c r="E469" s="139"/>
      <c r="J469" s="139"/>
    </row>
    <row r="470" spans="5:10" ht="15.75" customHeight="1" x14ac:dyDescent="0.25">
      <c r="E470" s="139"/>
      <c r="J470" s="139"/>
    </row>
    <row r="471" spans="5:10" ht="15.75" customHeight="1" x14ac:dyDescent="0.25">
      <c r="E471" s="139"/>
      <c r="J471" s="139"/>
    </row>
    <row r="472" spans="5:10" ht="15.75" customHeight="1" x14ac:dyDescent="0.25">
      <c r="E472" s="139"/>
      <c r="J472" s="139"/>
    </row>
    <row r="473" spans="5:10" ht="15.75" customHeight="1" x14ac:dyDescent="0.25">
      <c r="E473" s="139"/>
      <c r="J473" s="139"/>
    </row>
    <row r="474" spans="5:10" ht="15.75" customHeight="1" x14ac:dyDescent="0.25">
      <c r="E474" s="139"/>
      <c r="J474" s="139"/>
    </row>
    <row r="475" spans="5:10" ht="15.75" customHeight="1" x14ac:dyDescent="0.25">
      <c r="E475" s="139"/>
      <c r="J475" s="139"/>
    </row>
    <row r="476" spans="5:10" ht="15.75" customHeight="1" x14ac:dyDescent="0.25">
      <c r="E476" s="139"/>
      <c r="J476" s="139"/>
    </row>
    <row r="477" spans="5:10" ht="15.75" customHeight="1" x14ac:dyDescent="0.25">
      <c r="E477" s="139"/>
      <c r="J477" s="139"/>
    </row>
    <row r="478" spans="5:10" ht="15.75" customHeight="1" x14ac:dyDescent="0.25">
      <c r="E478" s="139"/>
      <c r="J478" s="139"/>
    </row>
    <row r="479" spans="5:10" ht="15.75" customHeight="1" x14ac:dyDescent="0.25">
      <c r="E479" s="139"/>
      <c r="J479" s="139"/>
    </row>
    <row r="480" spans="5:10" ht="15.75" customHeight="1" x14ac:dyDescent="0.25">
      <c r="E480" s="139"/>
      <c r="J480" s="139"/>
    </row>
    <row r="481" spans="5:10" ht="15.75" customHeight="1" x14ac:dyDescent="0.25">
      <c r="E481" s="139"/>
      <c r="J481" s="139"/>
    </row>
    <row r="482" spans="5:10" ht="15.75" customHeight="1" x14ac:dyDescent="0.25">
      <c r="E482" s="139"/>
      <c r="J482" s="139"/>
    </row>
    <row r="483" spans="5:10" ht="15.75" customHeight="1" x14ac:dyDescent="0.25">
      <c r="E483" s="139"/>
      <c r="J483" s="139"/>
    </row>
    <row r="484" spans="5:10" ht="15.75" customHeight="1" x14ac:dyDescent="0.25">
      <c r="E484" s="139"/>
      <c r="J484" s="139"/>
    </row>
    <row r="485" spans="5:10" ht="15.75" customHeight="1" x14ac:dyDescent="0.25">
      <c r="E485" s="139"/>
      <c r="J485" s="139"/>
    </row>
    <row r="486" spans="5:10" ht="15.75" customHeight="1" x14ac:dyDescent="0.25">
      <c r="E486" s="139"/>
      <c r="J486" s="139"/>
    </row>
    <row r="487" spans="5:10" ht="15.75" customHeight="1" x14ac:dyDescent="0.25">
      <c r="E487" s="139"/>
      <c r="J487" s="139"/>
    </row>
    <row r="488" spans="5:10" ht="15.75" customHeight="1" x14ac:dyDescent="0.25">
      <c r="E488" s="139"/>
      <c r="J488" s="139"/>
    </row>
    <row r="489" spans="5:10" ht="15.75" customHeight="1" x14ac:dyDescent="0.25">
      <c r="E489" s="139"/>
      <c r="J489" s="139"/>
    </row>
    <row r="490" spans="5:10" ht="15.75" customHeight="1" x14ac:dyDescent="0.25">
      <c r="E490" s="139"/>
      <c r="J490" s="139"/>
    </row>
    <row r="491" spans="5:10" ht="15.75" customHeight="1" x14ac:dyDescent="0.25">
      <c r="E491" s="139"/>
      <c r="J491" s="139"/>
    </row>
    <row r="492" spans="5:10" ht="15.75" customHeight="1" x14ac:dyDescent="0.25">
      <c r="E492" s="139"/>
      <c r="J492" s="139"/>
    </row>
    <row r="493" spans="5:10" ht="15.75" customHeight="1" x14ac:dyDescent="0.25">
      <c r="E493" s="139"/>
      <c r="J493" s="139"/>
    </row>
    <row r="494" spans="5:10" ht="15.75" customHeight="1" x14ac:dyDescent="0.25">
      <c r="E494" s="139"/>
      <c r="J494" s="139"/>
    </row>
    <row r="495" spans="5:10" ht="15.75" customHeight="1" x14ac:dyDescent="0.25">
      <c r="E495" s="139"/>
      <c r="J495" s="139"/>
    </row>
    <row r="496" spans="5:10" ht="15.75" customHeight="1" x14ac:dyDescent="0.25">
      <c r="E496" s="139"/>
      <c r="J496" s="139"/>
    </row>
    <row r="497" spans="5:10" ht="15.75" customHeight="1" x14ac:dyDescent="0.25">
      <c r="E497" s="139"/>
      <c r="J497" s="139"/>
    </row>
    <row r="498" spans="5:10" ht="15.75" customHeight="1" x14ac:dyDescent="0.25">
      <c r="E498" s="139"/>
      <c r="J498" s="139"/>
    </row>
    <row r="499" spans="5:10" ht="15.75" customHeight="1" x14ac:dyDescent="0.25">
      <c r="E499" s="139"/>
      <c r="J499" s="139"/>
    </row>
    <row r="500" spans="5:10" ht="15.75" customHeight="1" x14ac:dyDescent="0.25">
      <c r="E500" s="139"/>
      <c r="J500" s="139"/>
    </row>
    <row r="501" spans="5:10" ht="15.75" customHeight="1" x14ac:dyDescent="0.25">
      <c r="E501" s="139"/>
      <c r="J501" s="139"/>
    </row>
    <row r="502" spans="5:10" ht="15.75" customHeight="1" x14ac:dyDescent="0.25">
      <c r="E502" s="139"/>
      <c r="J502" s="139"/>
    </row>
    <row r="503" spans="5:10" ht="15.75" customHeight="1" x14ac:dyDescent="0.25">
      <c r="E503" s="139"/>
      <c r="J503" s="139"/>
    </row>
    <row r="504" spans="5:10" ht="15.75" customHeight="1" x14ac:dyDescent="0.25">
      <c r="E504" s="139"/>
      <c r="J504" s="139"/>
    </row>
    <row r="505" spans="5:10" ht="15.75" customHeight="1" x14ac:dyDescent="0.25">
      <c r="E505" s="139"/>
      <c r="J505" s="139"/>
    </row>
    <row r="506" spans="5:10" ht="15.75" customHeight="1" x14ac:dyDescent="0.25">
      <c r="E506" s="139"/>
      <c r="J506" s="139"/>
    </row>
    <row r="507" spans="5:10" ht="15.75" customHeight="1" x14ac:dyDescent="0.25">
      <c r="E507" s="139"/>
      <c r="J507" s="139"/>
    </row>
    <row r="508" spans="5:10" ht="15.75" customHeight="1" x14ac:dyDescent="0.25">
      <c r="E508" s="139"/>
      <c r="J508" s="139"/>
    </row>
    <row r="509" spans="5:10" ht="15.75" customHeight="1" x14ac:dyDescent="0.25">
      <c r="E509" s="139"/>
      <c r="J509" s="139"/>
    </row>
    <row r="510" spans="5:10" ht="15.75" customHeight="1" x14ac:dyDescent="0.25">
      <c r="E510" s="139"/>
      <c r="J510" s="139"/>
    </row>
    <row r="511" spans="5:10" ht="15.75" customHeight="1" x14ac:dyDescent="0.25">
      <c r="E511" s="139"/>
      <c r="J511" s="139"/>
    </row>
    <row r="512" spans="5:10" ht="15.75" customHeight="1" x14ac:dyDescent="0.25">
      <c r="E512" s="139"/>
      <c r="J512" s="139"/>
    </row>
    <row r="513" spans="5:10" ht="15.75" customHeight="1" x14ac:dyDescent="0.25">
      <c r="E513" s="139"/>
      <c r="J513" s="139"/>
    </row>
    <row r="514" spans="5:10" ht="15.75" customHeight="1" x14ac:dyDescent="0.25">
      <c r="E514" s="139"/>
      <c r="J514" s="139"/>
    </row>
    <row r="515" spans="5:10" ht="15.75" customHeight="1" x14ac:dyDescent="0.25">
      <c r="E515" s="139"/>
      <c r="J515" s="139"/>
    </row>
    <row r="516" spans="5:10" ht="15.75" customHeight="1" x14ac:dyDescent="0.25">
      <c r="E516" s="139"/>
      <c r="J516" s="139"/>
    </row>
    <row r="517" spans="5:10" ht="15.75" customHeight="1" x14ac:dyDescent="0.25">
      <c r="E517" s="139"/>
      <c r="J517" s="139"/>
    </row>
    <row r="518" spans="5:10" ht="15.75" customHeight="1" x14ac:dyDescent="0.25">
      <c r="E518" s="139"/>
      <c r="J518" s="139"/>
    </row>
    <row r="519" spans="5:10" ht="15.75" customHeight="1" x14ac:dyDescent="0.25">
      <c r="E519" s="139"/>
      <c r="J519" s="139"/>
    </row>
    <row r="520" spans="5:10" ht="15.75" customHeight="1" x14ac:dyDescent="0.25">
      <c r="E520" s="139"/>
      <c r="J520" s="139"/>
    </row>
    <row r="521" spans="5:10" ht="15.75" customHeight="1" x14ac:dyDescent="0.25">
      <c r="E521" s="139"/>
      <c r="J521" s="139"/>
    </row>
    <row r="522" spans="5:10" ht="15.75" customHeight="1" x14ac:dyDescent="0.25">
      <c r="E522" s="139"/>
      <c r="J522" s="139"/>
    </row>
    <row r="523" spans="5:10" ht="15.75" customHeight="1" x14ac:dyDescent="0.25">
      <c r="E523" s="139"/>
      <c r="J523" s="139"/>
    </row>
    <row r="524" spans="5:10" ht="15.75" customHeight="1" x14ac:dyDescent="0.25">
      <c r="E524" s="139"/>
      <c r="J524" s="139"/>
    </row>
    <row r="525" spans="5:10" ht="15.75" customHeight="1" x14ac:dyDescent="0.25">
      <c r="E525" s="139"/>
      <c r="J525" s="139"/>
    </row>
    <row r="526" spans="5:10" ht="15.75" customHeight="1" x14ac:dyDescent="0.25">
      <c r="E526" s="139"/>
      <c r="J526" s="139"/>
    </row>
    <row r="527" spans="5:10" ht="15.75" customHeight="1" x14ac:dyDescent="0.25">
      <c r="E527" s="139"/>
      <c r="J527" s="139"/>
    </row>
    <row r="528" spans="5:10" ht="15.75" customHeight="1" x14ac:dyDescent="0.25">
      <c r="E528" s="139"/>
      <c r="J528" s="139"/>
    </row>
    <row r="529" spans="5:10" ht="15.75" customHeight="1" x14ac:dyDescent="0.25">
      <c r="E529" s="139"/>
      <c r="J529" s="139"/>
    </row>
    <row r="530" spans="5:10" ht="15.75" customHeight="1" x14ac:dyDescent="0.25">
      <c r="E530" s="139"/>
      <c r="J530" s="139"/>
    </row>
    <row r="531" spans="5:10" ht="15.75" customHeight="1" x14ac:dyDescent="0.25">
      <c r="E531" s="139"/>
      <c r="J531" s="139"/>
    </row>
    <row r="532" spans="5:10" ht="15.75" customHeight="1" x14ac:dyDescent="0.25">
      <c r="E532" s="139"/>
      <c r="J532" s="139"/>
    </row>
    <row r="533" spans="5:10" ht="15.75" customHeight="1" x14ac:dyDescent="0.25">
      <c r="E533" s="139"/>
      <c r="J533" s="139"/>
    </row>
    <row r="534" spans="5:10" ht="15.75" customHeight="1" x14ac:dyDescent="0.25">
      <c r="E534" s="139"/>
      <c r="J534" s="139"/>
    </row>
    <row r="535" spans="5:10" ht="15.75" customHeight="1" x14ac:dyDescent="0.25">
      <c r="E535" s="139"/>
      <c r="J535" s="139"/>
    </row>
    <row r="536" spans="5:10" ht="15.75" customHeight="1" x14ac:dyDescent="0.25">
      <c r="E536" s="139"/>
      <c r="J536" s="139"/>
    </row>
    <row r="537" spans="5:10" ht="15.75" customHeight="1" x14ac:dyDescent="0.25">
      <c r="E537" s="139"/>
      <c r="J537" s="139"/>
    </row>
    <row r="538" spans="5:10" ht="15.75" customHeight="1" x14ac:dyDescent="0.25">
      <c r="E538" s="139"/>
      <c r="J538" s="139"/>
    </row>
    <row r="539" spans="5:10" ht="15.75" customHeight="1" x14ac:dyDescent="0.25">
      <c r="E539" s="139"/>
      <c r="J539" s="139"/>
    </row>
    <row r="540" spans="5:10" ht="15.75" customHeight="1" x14ac:dyDescent="0.25">
      <c r="E540" s="139"/>
      <c r="J540" s="139"/>
    </row>
    <row r="541" spans="5:10" ht="15.75" customHeight="1" x14ac:dyDescent="0.25">
      <c r="E541" s="139"/>
      <c r="J541" s="139"/>
    </row>
    <row r="542" spans="5:10" ht="15.75" customHeight="1" x14ac:dyDescent="0.25">
      <c r="E542" s="139"/>
      <c r="J542" s="139"/>
    </row>
    <row r="543" spans="5:10" ht="15.75" customHeight="1" x14ac:dyDescent="0.25">
      <c r="E543" s="139"/>
      <c r="J543" s="139"/>
    </row>
    <row r="544" spans="5:10" ht="15.75" customHeight="1" x14ac:dyDescent="0.25">
      <c r="E544" s="139"/>
      <c r="J544" s="139"/>
    </row>
    <row r="545" spans="5:10" ht="15.75" customHeight="1" x14ac:dyDescent="0.25">
      <c r="E545" s="139"/>
      <c r="J545" s="139"/>
    </row>
    <row r="546" spans="5:10" ht="15.75" customHeight="1" x14ac:dyDescent="0.25">
      <c r="E546" s="139"/>
      <c r="J546" s="139"/>
    </row>
    <row r="547" spans="5:10" ht="15.75" customHeight="1" x14ac:dyDescent="0.25">
      <c r="E547" s="139"/>
      <c r="J547" s="139"/>
    </row>
    <row r="548" spans="5:10" ht="15.75" customHeight="1" x14ac:dyDescent="0.25">
      <c r="E548" s="139"/>
      <c r="J548" s="139"/>
    </row>
    <row r="549" spans="5:10" ht="15.75" customHeight="1" x14ac:dyDescent="0.25">
      <c r="E549" s="139"/>
      <c r="J549" s="139"/>
    </row>
    <row r="550" spans="5:10" ht="15.75" customHeight="1" x14ac:dyDescent="0.25">
      <c r="E550" s="139"/>
      <c r="J550" s="139"/>
    </row>
    <row r="551" spans="5:10" ht="15.75" customHeight="1" x14ac:dyDescent="0.25">
      <c r="E551" s="139"/>
      <c r="J551" s="139"/>
    </row>
    <row r="552" spans="5:10" ht="15.75" customHeight="1" x14ac:dyDescent="0.25">
      <c r="E552" s="139"/>
      <c r="J552" s="139"/>
    </row>
    <row r="553" spans="5:10" ht="15.75" customHeight="1" x14ac:dyDescent="0.25">
      <c r="E553" s="139"/>
      <c r="J553" s="139"/>
    </row>
    <row r="554" spans="5:10" ht="15.75" customHeight="1" x14ac:dyDescent="0.25">
      <c r="E554" s="139"/>
      <c r="J554" s="139"/>
    </row>
    <row r="555" spans="5:10" ht="15.75" customHeight="1" x14ac:dyDescent="0.25">
      <c r="E555" s="139"/>
      <c r="J555" s="139"/>
    </row>
    <row r="556" spans="5:10" ht="15.75" customHeight="1" x14ac:dyDescent="0.25">
      <c r="E556" s="139"/>
      <c r="J556" s="139"/>
    </row>
    <row r="557" spans="5:10" ht="15.75" customHeight="1" x14ac:dyDescent="0.25">
      <c r="E557" s="139"/>
      <c r="J557" s="139"/>
    </row>
    <row r="558" spans="5:10" ht="15.75" customHeight="1" x14ac:dyDescent="0.25">
      <c r="E558" s="139"/>
      <c r="J558" s="139"/>
    </row>
    <row r="559" spans="5:10" ht="15.75" customHeight="1" x14ac:dyDescent="0.25">
      <c r="E559" s="139"/>
      <c r="J559" s="139"/>
    </row>
    <row r="560" spans="5:10" ht="15.75" customHeight="1" x14ac:dyDescent="0.25">
      <c r="E560" s="139"/>
      <c r="J560" s="139"/>
    </row>
    <row r="561" spans="5:10" ht="15.75" customHeight="1" x14ac:dyDescent="0.25">
      <c r="E561" s="139"/>
      <c r="J561" s="139"/>
    </row>
    <row r="562" spans="5:10" ht="15.75" customHeight="1" x14ac:dyDescent="0.25">
      <c r="E562" s="139"/>
      <c r="J562" s="139"/>
    </row>
    <row r="563" spans="5:10" ht="15.75" customHeight="1" x14ac:dyDescent="0.25">
      <c r="E563" s="139"/>
      <c r="J563" s="139"/>
    </row>
    <row r="564" spans="5:10" ht="15.75" customHeight="1" x14ac:dyDescent="0.25">
      <c r="E564" s="139"/>
      <c r="J564" s="139"/>
    </row>
    <row r="565" spans="5:10" ht="15.75" customHeight="1" x14ac:dyDescent="0.25">
      <c r="E565" s="139"/>
      <c r="J565" s="139"/>
    </row>
    <row r="566" spans="5:10" ht="15.75" customHeight="1" x14ac:dyDescent="0.25">
      <c r="E566" s="139"/>
      <c r="J566" s="139"/>
    </row>
    <row r="567" spans="5:10" ht="15.75" customHeight="1" x14ac:dyDescent="0.25">
      <c r="E567" s="139"/>
      <c r="J567" s="139"/>
    </row>
    <row r="568" spans="5:10" ht="15.75" customHeight="1" x14ac:dyDescent="0.25">
      <c r="E568" s="139"/>
      <c r="J568" s="139"/>
    </row>
    <row r="569" spans="5:10" ht="15.75" customHeight="1" x14ac:dyDescent="0.25">
      <c r="E569" s="139"/>
      <c r="J569" s="139"/>
    </row>
    <row r="570" spans="5:10" ht="15.75" customHeight="1" x14ac:dyDescent="0.25">
      <c r="E570" s="139"/>
      <c r="J570" s="139"/>
    </row>
    <row r="571" spans="5:10" ht="15.75" customHeight="1" x14ac:dyDescent="0.25">
      <c r="E571" s="139"/>
      <c r="J571" s="139"/>
    </row>
    <row r="572" spans="5:10" ht="15.75" customHeight="1" x14ac:dyDescent="0.25">
      <c r="E572" s="139"/>
      <c r="J572" s="139"/>
    </row>
    <row r="573" spans="5:10" ht="15.75" customHeight="1" x14ac:dyDescent="0.25">
      <c r="E573" s="139"/>
      <c r="J573" s="139"/>
    </row>
    <row r="574" spans="5:10" ht="15.75" customHeight="1" x14ac:dyDescent="0.25">
      <c r="E574" s="139"/>
      <c r="J574" s="139"/>
    </row>
    <row r="575" spans="5:10" ht="15.75" customHeight="1" x14ac:dyDescent="0.25">
      <c r="E575" s="139"/>
      <c r="J575" s="139"/>
    </row>
    <row r="576" spans="5:10" ht="15.75" customHeight="1" x14ac:dyDescent="0.25">
      <c r="E576" s="139"/>
      <c r="J576" s="139"/>
    </row>
    <row r="577" spans="5:10" ht="15.75" customHeight="1" x14ac:dyDescent="0.25">
      <c r="E577" s="139"/>
      <c r="J577" s="139"/>
    </row>
    <row r="578" spans="5:10" ht="15.75" customHeight="1" x14ac:dyDescent="0.25">
      <c r="E578" s="139"/>
      <c r="J578" s="139"/>
    </row>
    <row r="579" spans="5:10" ht="15.75" customHeight="1" x14ac:dyDescent="0.25">
      <c r="E579" s="139"/>
      <c r="J579" s="139"/>
    </row>
    <row r="580" spans="5:10" ht="15.75" customHeight="1" x14ac:dyDescent="0.25">
      <c r="E580" s="139"/>
      <c r="J580" s="139"/>
    </row>
    <row r="581" spans="5:10" ht="15.75" customHeight="1" x14ac:dyDescent="0.25">
      <c r="E581" s="139"/>
      <c r="J581" s="139"/>
    </row>
    <row r="582" spans="5:10" ht="15.75" customHeight="1" x14ac:dyDescent="0.25">
      <c r="E582" s="139"/>
      <c r="J582" s="139"/>
    </row>
    <row r="583" spans="5:10" ht="15.75" customHeight="1" x14ac:dyDescent="0.25">
      <c r="E583" s="139"/>
      <c r="J583" s="139"/>
    </row>
    <row r="584" spans="5:10" ht="15.75" customHeight="1" x14ac:dyDescent="0.25">
      <c r="E584" s="139"/>
      <c r="J584" s="139"/>
    </row>
    <row r="585" spans="5:10" ht="15.75" customHeight="1" x14ac:dyDescent="0.25">
      <c r="E585" s="139"/>
      <c r="J585" s="139"/>
    </row>
    <row r="586" spans="5:10" ht="15.75" customHeight="1" x14ac:dyDescent="0.25">
      <c r="E586" s="139"/>
      <c r="J586" s="139"/>
    </row>
    <row r="587" spans="5:10" ht="15.75" customHeight="1" x14ac:dyDescent="0.25">
      <c r="E587" s="139"/>
      <c r="J587" s="139"/>
    </row>
    <row r="588" spans="5:10" ht="15.75" customHeight="1" x14ac:dyDescent="0.25">
      <c r="E588" s="139"/>
      <c r="J588" s="139"/>
    </row>
    <row r="589" spans="5:10" ht="15.75" customHeight="1" x14ac:dyDescent="0.25">
      <c r="E589" s="139"/>
      <c r="J589" s="139"/>
    </row>
    <row r="590" spans="5:10" ht="15.75" customHeight="1" x14ac:dyDescent="0.25">
      <c r="E590" s="139"/>
      <c r="J590" s="139"/>
    </row>
    <row r="591" spans="5:10" ht="15.75" customHeight="1" x14ac:dyDescent="0.25">
      <c r="E591" s="139"/>
      <c r="J591" s="139"/>
    </row>
    <row r="592" spans="5:10" ht="15.75" customHeight="1" x14ac:dyDescent="0.25">
      <c r="E592" s="139"/>
      <c r="J592" s="139"/>
    </row>
    <row r="593" spans="5:10" ht="15.75" customHeight="1" x14ac:dyDescent="0.25">
      <c r="E593" s="139"/>
      <c r="J593" s="139"/>
    </row>
    <row r="594" spans="5:10" ht="15.75" customHeight="1" x14ac:dyDescent="0.25">
      <c r="E594" s="139"/>
      <c r="J594" s="139"/>
    </row>
    <row r="595" spans="5:10" ht="15.75" customHeight="1" x14ac:dyDescent="0.25">
      <c r="E595" s="139"/>
      <c r="J595" s="139"/>
    </row>
    <row r="596" spans="5:10" ht="15.75" customHeight="1" x14ac:dyDescent="0.25">
      <c r="E596" s="139"/>
      <c r="J596" s="139"/>
    </row>
    <row r="597" spans="5:10" ht="15.75" customHeight="1" x14ac:dyDescent="0.25">
      <c r="E597" s="139"/>
      <c r="J597" s="139"/>
    </row>
    <row r="598" spans="5:10" ht="15.75" customHeight="1" x14ac:dyDescent="0.25">
      <c r="E598" s="139"/>
      <c r="J598" s="139"/>
    </row>
    <row r="599" spans="5:10" ht="15.75" customHeight="1" x14ac:dyDescent="0.25">
      <c r="E599" s="139"/>
      <c r="J599" s="139"/>
    </row>
    <row r="600" spans="5:10" ht="15.75" customHeight="1" x14ac:dyDescent="0.25">
      <c r="E600" s="139"/>
      <c r="J600" s="139"/>
    </row>
    <row r="601" spans="5:10" ht="15.75" customHeight="1" x14ac:dyDescent="0.25">
      <c r="E601" s="139"/>
      <c r="J601" s="139"/>
    </row>
    <row r="602" spans="5:10" ht="15.75" customHeight="1" x14ac:dyDescent="0.25">
      <c r="E602" s="139"/>
      <c r="J602" s="139"/>
    </row>
    <row r="603" spans="5:10" ht="15.75" customHeight="1" x14ac:dyDescent="0.25">
      <c r="E603" s="139"/>
      <c r="J603" s="139"/>
    </row>
    <row r="604" spans="5:10" ht="15.75" customHeight="1" x14ac:dyDescent="0.25">
      <c r="E604" s="139"/>
      <c r="J604" s="139"/>
    </row>
    <row r="605" spans="5:10" ht="15.75" customHeight="1" x14ac:dyDescent="0.25">
      <c r="E605" s="139"/>
      <c r="J605" s="139"/>
    </row>
    <row r="606" spans="5:10" ht="15.75" customHeight="1" x14ac:dyDescent="0.25">
      <c r="E606" s="139"/>
      <c r="J606" s="139"/>
    </row>
    <row r="607" spans="5:10" ht="15.75" customHeight="1" x14ac:dyDescent="0.25">
      <c r="E607" s="139"/>
      <c r="J607" s="139"/>
    </row>
    <row r="608" spans="5:10" ht="15.75" customHeight="1" x14ac:dyDescent="0.25">
      <c r="E608" s="139"/>
      <c r="J608" s="139"/>
    </row>
    <row r="609" spans="5:10" ht="15.75" customHeight="1" x14ac:dyDescent="0.25">
      <c r="E609" s="139"/>
      <c r="J609" s="139"/>
    </row>
    <row r="610" spans="5:10" ht="15.75" customHeight="1" x14ac:dyDescent="0.25">
      <c r="E610" s="139"/>
      <c r="J610" s="139"/>
    </row>
    <row r="611" spans="5:10" ht="15.75" customHeight="1" x14ac:dyDescent="0.25">
      <c r="E611" s="139"/>
      <c r="J611" s="139"/>
    </row>
    <row r="612" spans="5:10" ht="15.75" customHeight="1" x14ac:dyDescent="0.25">
      <c r="E612" s="139"/>
      <c r="J612" s="139"/>
    </row>
    <row r="613" spans="5:10" ht="15.75" customHeight="1" x14ac:dyDescent="0.25">
      <c r="E613" s="139"/>
      <c r="J613" s="139"/>
    </row>
    <row r="614" spans="5:10" ht="15.75" customHeight="1" x14ac:dyDescent="0.25">
      <c r="E614" s="139"/>
      <c r="J614" s="139"/>
    </row>
    <row r="615" spans="5:10" ht="15.75" customHeight="1" x14ac:dyDescent="0.25">
      <c r="E615" s="139"/>
      <c r="J615" s="139"/>
    </row>
    <row r="616" spans="5:10" ht="15.75" customHeight="1" x14ac:dyDescent="0.25">
      <c r="E616" s="139"/>
      <c r="J616" s="139"/>
    </row>
    <row r="617" spans="5:10" ht="15.75" customHeight="1" x14ac:dyDescent="0.25">
      <c r="E617" s="139"/>
      <c r="J617" s="139"/>
    </row>
    <row r="618" spans="5:10" ht="15.75" customHeight="1" x14ac:dyDescent="0.25">
      <c r="E618" s="139"/>
      <c r="J618" s="139"/>
    </row>
    <row r="619" spans="5:10" ht="15.75" customHeight="1" x14ac:dyDescent="0.25">
      <c r="E619" s="139"/>
      <c r="J619" s="139"/>
    </row>
    <row r="620" spans="5:10" ht="15.75" customHeight="1" x14ac:dyDescent="0.25">
      <c r="E620" s="139"/>
      <c r="J620" s="139"/>
    </row>
    <row r="621" spans="5:10" ht="15.75" customHeight="1" x14ac:dyDescent="0.25">
      <c r="E621" s="139"/>
      <c r="J621" s="139"/>
    </row>
    <row r="622" spans="5:10" ht="15.75" customHeight="1" x14ac:dyDescent="0.25">
      <c r="E622" s="139"/>
      <c r="J622" s="139"/>
    </row>
    <row r="623" spans="5:10" ht="15.75" customHeight="1" x14ac:dyDescent="0.25">
      <c r="E623" s="139"/>
      <c r="J623" s="139"/>
    </row>
    <row r="624" spans="5:10" ht="15.75" customHeight="1" x14ac:dyDescent="0.25">
      <c r="E624" s="139"/>
      <c r="J624" s="139"/>
    </row>
    <row r="625" spans="5:10" ht="15.75" customHeight="1" x14ac:dyDescent="0.25">
      <c r="E625" s="139"/>
      <c r="J625" s="139"/>
    </row>
    <row r="626" spans="5:10" ht="15.75" customHeight="1" x14ac:dyDescent="0.25">
      <c r="E626" s="139"/>
      <c r="J626" s="139"/>
    </row>
    <row r="627" spans="5:10" ht="15.75" customHeight="1" x14ac:dyDescent="0.25">
      <c r="E627" s="139"/>
      <c r="J627" s="139"/>
    </row>
    <row r="628" spans="5:10" ht="15.75" customHeight="1" x14ac:dyDescent="0.25">
      <c r="E628" s="139"/>
      <c r="J628" s="139"/>
    </row>
    <row r="629" spans="5:10" ht="15.75" customHeight="1" x14ac:dyDescent="0.25">
      <c r="E629" s="139"/>
      <c r="J629" s="139"/>
    </row>
    <row r="630" spans="5:10" ht="15.75" customHeight="1" x14ac:dyDescent="0.25">
      <c r="E630" s="139"/>
      <c r="J630" s="139"/>
    </row>
    <row r="631" spans="5:10" ht="15.75" customHeight="1" x14ac:dyDescent="0.25">
      <c r="E631" s="139"/>
      <c r="J631" s="139"/>
    </row>
    <row r="632" spans="5:10" ht="15.75" customHeight="1" x14ac:dyDescent="0.25">
      <c r="E632" s="139"/>
      <c r="J632" s="139"/>
    </row>
    <row r="633" spans="5:10" ht="15.75" customHeight="1" x14ac:dyDescent="0.25">
      <c r="E633" s="139"/>
      <c r="J633" s="139"/>
    </row>
    <row r="634" spans="5:10" ht="15.75" customHeight="1" x14ac:dyDescent="0.25">
      <c r="E634" s="139"/>
      <c r="J634" s="139"/>
    </row>
    <row r="635" spans="5:10" ht="15.75" customHeight="1" x14ac:dyDescent="0.25">
      <c r="E635" s="139"/>
      <c r="J635" s="139"/>
    </row>
    <row r="636" spans="5:10" ht="15.75" customHeight="1" x14ac:dyDescent="0.25">
      <c r="E636" s="139"/>
      <c r="J636" s="139"/>
    </row>
    <row r="637" spans="5:10" ht="15.75" customHeight="1" x14ac:dyDescent="0.25">
      <c r="E637" s="139"/>
      <c r="J637" s="139"/>
    </row>
    <row r="638" spans="5:10" ht="15.75" customHeight="1" x14ac:dyDescent="0.25">
      <c r="E638" s="139"/>
      <c r="J638" s="139"/>
    </row>
    <row r="639" spans="5:10" ht="15.75" customHeight="1" x14ac:dyDescent="0.25">
      <c r="E639" s="139"/>
      <c r="J639" s="139"/>
    </row>
    <row r="640" spans="5:10" ht="15.75" customHeight="1" x14ac:dyDescent="0.25">
      <c r="E640" s="139"/>
      <c r="J640" s="139"/>
    </row>
    <row r="641" spans="5:10" ht="15.75" customHeight="1" x14ac:dyDescent="0.25">
      <c r="E641" s="139"/>
      <c r="J641" s="139"/>
    </row>
    <row r="642" spans="5:10" ht="15.75" customHeight="1" x14ac:dyDescent="0.25">
      <c r="E642" s="139"/>
      <c r="J642" s="139"/>
    </row>
    <row r="643" spans="5:10" ht="15.75" customHeight="1" x14ac:dyDescent="0.25">
      <c r="E643" s="139"/>
      <c r="J643" s="139"/>
    </row>
    <row r="644" spans="5:10" ht="15.75" customHeight="1" x14ac:dyDescent="0.25">
      <c r="E644" s="139"/>
      <c r="J644" s="139"/>
    </row>
    <row r="645" spans="5:10" ht="15.75" customHeight="1" x14ac:dyDescent="0.25">
      <c r="E645" s="139"/>
      <c r="J645" s="139"/>
    </row>
    <row r="646" spans="5:10" ht="15.75" customHeight="1" x14ac:dyDescent="0.25">
      <c r="E646" s="139"/>
      <c r="J646" s="139"/>
    </row>
    <row r="647" spans="5:10" ht="15.75" customHeight="1" x14ac:dyDescent="0.25">
      <c r="E647" s="139"/>
      <c r="J647" s="139"/>
    </row>
    <row r="648" spans="5:10" ht="15.75" customHeight="1" x14ac:dyDescent="0.25">
      <c r="E648" s="139"/>
      <c r="J648" s="139"/>
    </row>
    <row r="649" spans="5:10" ht="15.75" customHeight="1" x14ac:dyDescent="0.25">
      <c r="E649" s="139"/>
      <c r="J649" s="139"/>
    </row>
    <row r="650" spans="5:10" ht="15.75" customHeight="1" x14ac:dyDescent="0.25">
      <c r="E650" s="139"/>
      <c r="J650" s="139"/>
    </row>
    <row r="651" spans="5:10" ht="15.75" customHeight="1" x14ac:dyDescent="0.25">
      <c r="E651" s="139"/>
      <c r="J651" s="139"/>
    </row>
    <row r="652" spans="5:10" ht="15.75" customHeight="1" x14ac:dyDescent="0.25">
      <c r="E652" s="139"/>
      <c r="J652" s="139"/>
    </row>
    <row r="653" spans="5:10" ht="15.75" customHeight="1" x14ac:dyDescent="0.25">
      <c r="E653" s="139"/>
      <c r="J653" s="139"/>
    </row>
    <row r="654" spans="5:10" ht="15.75" customHeight="1" x14ac:dyDescent="0.25">
      <c r="E654" s="139"/>
      <c r="J654" s="139"/>
    </row>
    <row r="655" spans="5:10" ht="15.75" customHeight="1" x14ac:dyDescent="0.25">
      <c r="E655" s="139"/>
      <c r="J655" s="139"/>
    </row>
    <row r="656" spans="5:10" ht="15.75" customHeight="1" x14ac:dyDescent="0.25">
      <c r="E656" s="139"/>
      <c r="J656" s="139"/>
    </row>
    <row r="657" spans="5:10" ht="15.75" customHeight="1" x14ac:dyDescent="0.25">
      <c r="E657" s="139"/>
      <c r="J657" s="139"/>
    </row>
    <row r="658" spans="5:10" ht="15.75" customHeight="1" x14ac:dyDescent="0.25">
      <c r="E658" s="139"/>
      <c r="J658" s="139"/>
    </row>
    <row r="659" spans="5:10" ht="15.75" customHeight="1" x14ac:dyDescent="0.25">
      <c r="E659" s="139"/>
      <c r="J659" s="139"/>
    </row>
    <row r="660" spans="5:10" ht="15.75" customHeight="1" x14ac:dyDescent="0.25">
      <c r="E660" s="139"/>
      <c r="J660" s="139"/>
    </row>
    <row r="661" spans="5:10" ht="15.75" customHeight="1" x14ac:dyDescent="0.25">
      <c r="E661" s="139"/>
      <c r="J661" s="139"/>
    </row>
    <row r="662" spans="5:10" ht="15.75" customHeight="1" x14ac:dyDescent="0.25">
      <c r="E662" s="139"/>
      <c r="J662" s="139"/>
    </row>
    <row r="663" spans="5:10" ht="15.75" customHeight="1" x14ac:dyDescent="0.25">
      <c r="E663" s="139"/>
      <c r="J663" s="139"/>
    </row>
    <row r="664" spans="5:10" ht="15.75" customHeight="1" x14ac:dyDescent="0.25">
      <c r="E664" s="139"/>
      <c r="J664" s="139"/>
    </row>
    <row r="665" spans="5:10" ht="15.75" customHeight="1" x14ac:dyDescent="0.25">
      <c r="E665" s="139"/>
      <c r="J665" s="139"/>
    </row>
    <row r="666" spans="5:10" ht="15.75" customHeight="1" x14ac:dyDescent="0.25">
      <c r="E666" s="139"/>
      <c r="J666" s="139"/>
    </row>
    <row r="667" spans="5:10" ht="15.75" customHeight="1" x14ac:dyDescent="0.25">
      <c r="E667" s="139"/>
      <c r="J667" s="139"/>
    </row>
    <row r="668" spans="5:10" ht="15.75" customHeight="1" x14ac:dyDescent="0.25">
      <c r="E668" s="139"/>
      <c r="J668" s="139"/>
    </row>
    <row r="669" spans="5:10" ht="15.75" customHeight="1" x14ac:dyDescent="0.25">
      <c r="E669" s="139"/>
      <c r="J669" s="139"/>
    </row>
    <row r="670" spans="5:10" ht="15.75" customHeight="1" x14ac:dyDescent="0.25">
      <c r="E670" s="139"/>
      <c r="J670" s="139"/>
    </row>
    <row r="671" spans="5:10" ht="15.75" customHeight="1" x14ac:dyDescent="0.25">
      <c r="E671" s="139"/>
      <c r="J671" s="139"/>
    </row>
    <row r="672" spans="5:10" ht="15.75" customHeight="1" x14ac:dyDescent="0.25">
      <c r="E672" s="139"/>
      <c r="J672" s="139"/>
    </row>
    <row r="673" spans="5:10" ht="15.75" customHeight="1" x14ac:dyDescent="0.25">
      <c r="E673" s="139"/>
      <c r="J673" s="139"/>
    </row>
    <row r="674" spans="5:10" ht="15.75" customHeight="1" x14ac:dyDescent="0.25">
      <c r="E674" s="139"/>
      <c r="J674" s="139"/>
    </row>
    <row r="675" spans="5:10" ht="15.75" customHeight="1" x14ac:dyDescent="0.25">
      <c r="E675" s="139"/>
      <c r="J675" s="139"/>
    </row>
    <row r="676" spans="5:10" ht="15.75" customHeight="1" x14ac:dyDescent="0.25">
      <c r="E676" s="139"/>
      <c r="J676" s="139"/>
    </row>
    <row r="677" spans="5:10" ht="15.75" customHeight="1" x14ac:dyDescent="0.25">
      <c r="E677" s="139"/>
      <c r="J677" s="139"/>
    </row>
    <row r="678" spans="5:10" ht="15.75" customHeight="1" x14ac:dyDescent="0.25">
      <c r="E678" s="139"/>
      <c r="J678" s="139"/>
    </row>
    <row r="679" spans="5:10" ht="15.75" customHeight="1" x14ac:dyDescent="0.25">
      <c r="E679" s="139"/>
      <c r="J679" s="139"/>
    </row>
    <row r="680" spans="5:10" ht="15.75" customHeight="1" x14ac:dyDescent="0.25">
      <c r="E680" s="139"/>
      <c r="J680" s="139"/>
    </row>
    <row r="681" spans="5:10" ht="15.75" customHeight="1" x14ac:dyDescent="0.25">
      <c r="E681" s="139"/>
      <c r="J681" s="139"/>
    </row>
    <row r="682" spans="5:10" ht="15.75" customHeight="1" x14ac:dyDescent="0.25">
      <c r="E682" s="139"/>
      <c r="J682" s="139"/>
    </row>
    <row r="683" spans="5:10" ht="15.75" customHeight="1" x14ac:dyDescent="0.25">
      <c r="E683" s="139"/>
      <c r="J683" s="139"/>
    </row>
    <row r="684" spans="5:10" ht="15.75" customHeight="1" x14ac:dyDescent="0.25">
      <c r="E684" s="139"/>
      <c r="J684" s="139"/>
    </row>
    <row r="685" spans="5:10" ht="15.75" customHeight="1" x14ac:dyDescent="0.25">
      <c r="E685" s="139"/>
      <c r="J685" s="139"/>
    </row>
    <row r="686" spans="5:10" ht="15.75" customHeight="1" x14ac:dyDescent="0.25">
      <c r="E686" s="139"/>
      <c r="J686" s="139"/>
    </row>
    <row r="687" spans="5:10" ht="15.75" customHeight="1" x14ac:dyDescent="0.25">
      <c r="E687" s="139"/>
      <c r="J687" s="139"/>
    </row>
    <row r="688" spans="5:10" ht="15.75" customHeight="1" x14ac:dyDescent="0.25">
      <c r="E688" s="139"/>
      <c r="J688" s="139"/>
    </row>
    <row r="689" spans="5:10" ht="15.75" customHeight="1" x14ac:dyDescent="0.25">
      <c r="E689" s="139"/>
      <c r="J689" s="139"/>
    </row>
    <row r="690" spans="5:10" ht="15.75" customHeight="1" x14ac:dyDescent="0.25">
      <c r="E690" s="139"/>
      <c r="J690" s="139"/>
    </row>
    <row r="691" spans="5:10" ht="15.75" customHeight="1" x14ac:dyDescent="0.25">
      <c r="E691" s="139"/>
      <c r="J691" s="139"/>
    </row>
    <row r="692" spans="5:10" ht="15.75" customHeight="1" x14ac:dyDescent="0.25">
      <c r="E692" s="139"/>
      <c r="J692" s="139"/>
    </row>
    <row r="693" spans="5:10" ht="15.75" customHeight="1" x14ac:dyDescent="0.25">
      <c r="E693" s="139"/>
      <c r="J693" s="139"/>
    </row>
    <row r="694" spans="5:10" ht="15.75" customHeight="1" x14ac:dyDescent="0.25">
      <c r="E694" s="139"/>
      <c r="J694" s="139"/>
    </row>
    <row r="695" spans="5:10" ht="15.75" customHeight="1" x14ac:dyDescent="0.25">
      <c r="E695" s="139"/>
      <c r="J695" s="139"/>
    </row>
    <row r="696" spans="5:10" ht="15.75" customHeight="1" x14ac:dyDescent="0.25">
      <c r="E696" s="139"/>
      <c r="J696" s="139"/>
    </row>
    <row r="697" spans="5:10" ht="15.75" customHeight="1" x14ac:dyDescent="0.25">
      <c r="E697" s="139"/>
      <c r="J697" s="139"/>
    </row>
    <row r="698" spans="5:10" ht="15.75" customHeight="1" x14ac:dyDescent="0.25">
      <c r="E698" s="139"/>
      <c r="J698" s="139"/>
    </row>
    <row r="699" spans="5:10" ht="15.75" customHeight="1" x14ac:dyDescent="0.25">
      <c r="E699" s="139"/>
      <c r="J699" s="139"/>
    </row>
    <row r="700" spans="5:10" ht="15.75" customHeight="1" x14ac:dyDescent="0.25">
      <c r="E700" s="139"/>
      <c r="J700" s="139"/>
    </row>
    <row r="701" spans="5:10" ht="15.75" customHeight="1" x14ac:dyDescent="0.25">
      <c r="E701" s="139"/>
      <c r="J701" s="139"/>
    </row>
    <row r="702" spans="5:10" ht="15.75" customHeight="1" x14ac:dyDescent="0.25">
      <c r="E702" s="139"/>
      <c r="J702" s="139"/>
    </row>
    <row r="703" spans="5:10" ht="15.75" customHeight="1" x14ac:dyDescent="0.25">
      <c r="E703" s="139"/>
      <c r="J703" s="139"/>
    </row>
    <row r="704" spans="5:10" ht="15.75" customHeight="1" x14ac:dyDescent="0.25">
      <c r="E704" s="139"/>
      <c r="J704" s="139"/>
    </row>
    <row r="705" spans="5:10" ht="15.75" customHeight="1" x14ac:dyDescent="0.25">
      <c r="E705" s="139"/>
      <c r="J705" s="139"/>
    </row>
    <row r="706" spans="5:10" ht="15.75" customHeight="1" x14ac:dyDescent="0.25">
      <c r="E706" s="139"/>
      <c r="J706" s="139"/>
    </row>
    <row r="707" spans="5:10" ht="15.75" customHeight="1" x14ac:dyDescent="0.25">
      <c r="E707" s="139"/>
      <c r="J707" s="139"/>
    </row>
    <row r="708" spans="5:10" ht="15.75" customHeight="1" x14ac:dyDescent="0.25">
      <c r="E708" s="139"/>
      <c r="J708" s="139"/>
    </row>
    <row r="709" spans="5:10" ht="15.75" customHeight="1" x14ac:dyDescent="0.25">
      <c r="E709" s="139"/>
      <c r="J709" s="139"/>
    </row>
    <row r="710" spans="5:10" ht="15.75" customHeight="1" x14ac:dyDescent="0.25">
      <c r="E710" s="139"/>
      <c r="J710" s="139"/>
    </row>
    <row r="711" spans="5:10" ht="15.75" customHeight="1" x14ac:dyDescent="0.25">
      <c r="E711" s="139"/>
      <c r="J711" s="139"/>
    </row>
    <row r="712" spans="5:10" ht="15.75" customHeight="1" x14ac:dyDescent="0.25">
      <c r="E712" s="139"/>
      <c r="J712" s="139"/>
    </row>
    <row r="713" spans="5:10" ht="15.75" customHeight="1" x14ac:dyDescent="0.25">
      <c r="E713" s="139"/>
      <c r="J713" s="139"/>
    </row>
    <row r="714" spans="5:10" ht="15.75" customHeight="1" x14ac:dyDescent="0.25">
      <c r="E714" s="139"/>
      <c r="J714" s="139"/>
    </row>
    <row r="715" spans="5:10" ht="15.75" customHeight="1" x14ac:dyDescent="0.25">
      <c r="E715" s="139"/>
      <c r="J715" s="139"/>
    </row>
    <row r="716" spans="5:10" ht="15.75" customHeight="1" x14ac:dyDescent="0.25">
      <c r="E716" s="139"/>
      <c r="J716" s="139"/>
    </row>
    <row r="717" spans="5:10" ht="15.75" customHeight="1" x14ac:dyDescent="0.25">
      <c r="E717" s="139"/>
      <c r="J717" s="139"/>
    </row>
    <row r="718" spans="5:10" ht="15.75" customHeight="1" x14ac:dyDescent="0.25">
      <c r="E718" s="139"/>
      <c r="J718" s="139"/>
    </row>
    <row r="719" spans="5:10" ht="15.75" customHeight="1" x14ac:dyDescent="0.25">
      <c r="E719" s="139"/>
      <c r="J719" s="139"/>
    </row>
    <row r="720" spans="5:10" ht="15.75" customHeight="1" x14ac:dyDescent="0.25">
      <c r="E720" s="139"/>
      <c r="J720" s="139"/>
    </row>
    <row r="721" spans="5:10" ht="15.75" customHeight="1" x14ac:dyDescent="0.25">
      <c r="E721" s="139"/>
      <c r="J721" s="139"/>
    </row>
    <row r="722" spans="5:10" ht="15.75" customHeight="1" x14ac:dyDescent="0.25">
      <c r="E722" s="139"/>
      <c r="J722" s="139"/>
    </row>
    <row r="723" spans="5:10" ht="15.75" customHeight="1" x14ac:dyDescent="0.25">
      <c r="E723" s="139"/>
      <c r="J723" s="139"/>
    </row>
    <row r="724" spans="5:10" ht="15.75" customHeight="1" x14ac:dyDescent="0.25">
      <c r="E724" s="139"/>
      <c r="J724" s="139"/>
    </row>
    <row r="725" spans="5:10" ht="15.75" customHeight="1" x14ac:dyDescent="0.25">
      <c r="E725" s="139"/>
      <c r="J725" s="139"/>
    </row>
    <row r="726" spans="5:10" ht="15.75" customHeight="1" x14ac:dyDescent="0.25">
      <c r="E726" s="139"/>
      <c r="J726" s="139"/>
    </row>
    <row r="727" spans="5:10" ht="15.75" customHeight="1" x14ac:dyDescent="0.25">
      <c r="E727" s="139"/>
      <c r="J727" s="139"/>
    </row>
    <row r="728" spans="5:10" ht="15.75" customHeight="1" x14ac:dyDescent="0.25">
      <c r="E728" s="139"/>
      <c r="J728" s="139"/>
    </row>
    <row r="729" spans="5:10" ht="15.75" customHeight="1" x14ac:dyDescent="0.25">
      <c r="E729" s="139"/>
      <c r="J729" s="139"/>
    </row>
    <row r="730" spans="5:10" ht="15.75" customHeight="1" x14ac:dyDescent="0.25">
      <c r="E730" s="139"/>
      <c r="J730" s="139"/>
    </row>
    <row r="731" spans="5:10" ht="15.75" customHeight="1" x14ac:dyDescent="0.25">
      <c r="E731" s="139"/>
      <c r="J731" s="139"/>
    </row>
    <row r="732" spans="5:10" ht="15.75" customHeight="1" x14ac:dyDescent="0.25">
      <c r="E732" s="139"/>
      <c r="J732" s="139"/>
    </row>
    <row r="733" spans="5:10" ht="15.75" customHeight="1" x14ac:dyDescent="0.25">
      <c r="E733" s="139"/>
      <c r="J733" s="139"/>
    </row>
    <row r="734" spans="5:10" ht="15.75" customHeight="1" x14ac:dyDescent="0.25">
      <c r="E734" s="139"/>
      <c r="J734" s="139"/>
    </row>
    <row r="735" spans="5:10" ht="15.75" customHeight="1" x14ac:dyDescent="0.25">
      <c r="E735" s="139"/>
      <c r="J735" s="139"/>
    </row>
    <row r="736" spans="5:10" ht="15.75" customHeight="1" x14ac:dyDescent="0.25">
      <c r="E736" s="139"/>
      <c r="J736" s="139"/>
    </row>
    <row r="737" spans="5:10" ht="15.75" customHeight="1" x14ac:dyDescent="0.25">
      <c r="E737" s="139"/>
      <c r="J737" s="139"/>
    </row>
    <row r="738" spans="5:10" ht="15.75" customHeight="1" x14ac:dyDescent="0.25">
      <c r="E738" s="139"/>
      <c r="J738" s="139"/>
    </row>
    <row r="739" spans="5:10" ht="15.75" customHeight="1" x14ac:dyDescent="0.25">
      <c r="E739" s="139"/>
      <c r="J739" s="139"/>
    </row>
    <row r="740" spans="5:10" ht="15.75" customHeight="1" x14ac:dyDescent="0.25">
      <c r="E740" s="139"/>
      <c r="J740" s="139"/>
    </row>
    <row r="741" spans="5:10" ht="15.75" customHeight="1" x14ac:dyDescent="0.25">
      <c r="E741" s="139"/>
      <c r="J741" s="139"/>
    </row>
    <row r="742" spans="5:10" ht="15.75" customHeight="1" x14ac:dyDescent="0.25">
      <c r="E742" s="139"/>
      <c r="J742" s="139"/>
    </row>
    <row r="743" spans="5:10" ht="15.75" customHeight="1" x14ac:dyDescent="0.25">
      <c r="E743" s="139"/>
      <c r="J743" s="139"/>
    </row>
    <row r="744" spans="5:10" ht="15.75" customHeight="1" x14ac:dyDescent="0.25">
      <c r="E744" s="139"/>
      <c r="J744" s="139"/>
    </row>
    <row r="745" spans="5:10" ht="15.75" customHeight="1" x14ac:dyDescent="0.25">
      <c r="E745" s="139"/>
      <c r="J745" s="139"/>
    </row>
    <row r="746" spans="5:10" ht="15.75" customHeight="1" x14ac:dyDescent="0.25">
      <c r="E746" s="139"/>
      <c r="J746" s="139"/>
    </row>
    <row r="747" spans="5:10" ht="15.75" customHeight="1" x14ac:dyDescent="0.25">
      <c r="E747" s="139"/>
      <c r="J747" s="139"/>
    </row>
    <row r="748" spans="5:10" ht="15.75" customHeight="1" x14ac:dyDescent="0.25">
      <c r="E748" s="139"/>
      <c r="J748" s="139"/>
    </row>
    <row r="749" spans="5:10" ht="15.75" customHeight="1" x14ac:dyDescent="0.25">
      <c r="E749" s="139"/>
      <c r="J749" s="139"/>
    </row>
    <row r="750" spans="5:10" ht="15.75" customHeight="1" x14ac:dyDescent="0.25">
      <c r="E750" s="139"/>
      <c r="J750" s="139"/>
    </row>
    <row r="751" spans="5:10" ht="15.75" customHeight="1" x14ac:dyDescent="0.25">
      <c r="E751" s="139"/>
      <c r="J751" s="139"/>
    </row>
    <row r="752" spans="5:10" ht="15.75" customHeight="1" x14ac:dyDescent="0.25">
      <c r="E752" s="139"/>
      <c r="J752" s="139"/>
    </row>
    <row r="753" spans="5:10" ht="15.75" customHeight="1" x14ac:dyDescent="0.25">
      <c r="E753" s="139"/>
      <c r="J753" s="139"/>
    </row>
    <row r="754" spans="5:10" ht="15.75" customHeight="1" x14ac:dyDescent="0.25">
      <c r="E754" s="139"/>
      <c r="J754" s="139"/>
    </row>
    <row r="755" spans="5:10" ht="15.75" customHeight="1" x14ac:dyDescent="0.25">
      <c r="E755" s="139"/>
      <c r="J755" s="139"/>
    </row>
    <row r="756" spans="5:10" ht="15.75" customHeight="1" x14ac:dyDescent="0.25">
      <c r="E756" s="139"/>
      <c r="J756" s="139"/>
    </row>
    <row r="757" spans="5:10" ht="15.75" customHeight="1" x14ac:dyDescent="0.25">
      <c r="E757" s="139"/>
      <c r="J757" s="139"/>
    </row>
    <row r="758" spans="5:10" ht="15.75" customHeight="1" x14ac:dyDescent="0.25">
      <c r="E758" s="139"/>
      <c r="J758" s="139"/>
    </row>
    <row r="759" spans="5:10" ht="15.75" customHeight="1" x14ac:dyDescent="0.25">
      <c r="E759" s="139"/>
      <c r="J759" s="139"/>
    </row>
    <row r="760" spans="5:10" ht="15.75" customHeight="1" x14ac:dyDescent="0.25">
      <c r="E760" s="139"/>
      <c r="J760" s="139"/>
    </row>
    <row r="761" spans="5:10" ht="15.75" customHeight="1" x14ac:dyDescent="0.25">
      <c r="E761" s="139"/>
      <c r="J761" s="139"/>
    </row>
    <row r="762" spans="5:10" ht="15.75" customHeight="1" x14ac:dyDescent="0.25">
      <c r="E762" s="139"/>
      <c r="J762" s="139"/>
    </row>
    <row r="763" spans="5:10" ht="15.75" customHeight="1" x14ac:dyDescent="0.25">
      <c r="E763" s="139"/>
      <c r="J763" s="139"/>
    </row>
    <row r="764" spans="5:10" ht="15.75" customHeight="1" x14ac:dyDescent="0.25">
      <c r="E764" s="139"/>
      <c r="J764" s="139"/>
    </row>
    <row r="765" spans="5:10" ht="15.75" customHeight="1" x14ac:dyDescent="0.25">
      <c r="E765" s="139"/>
      <c r="J765" s="139"/>
    </row>
    <row r="766" spans="5:10" ht="15.75" customHeight="1" x14ac:dyDescent="0.25">
      <c r="E766" s="139"/>
      <c r="J766" s="139"/>
    </row>
    <row r="767" spans="5:10" ht="15.75" customHeight="1" x14ac:dyDescent="0.25">
      <c r="E767" s="139"/>
      <c r="J767" s="139"/>
    </row>
    <row r="768" spans="5:10" ht="15.75" customHeight="1" x14ac:dyDescent="0.25">
      <c r="E768" s="139"/>
      <c r="J768" s="139"/>
    </row>
    <row r="769" spans="5:10" ht="15.75" customHeight="1" x14ac:dyDescent="0.25">
      <c r="E769" s="139"/>
      <c r="J769" s="139"/>
    </row>
    <row r="770" spans="5:10" ht="15.75" customHeight="1" x14ac:dyDescent="0.25">
      <c r="E770" s="139"/>
      <c r="J770" s="139"/>
    </row>
    <row r="771" spans="5:10" ht="15.75" customHeight="1" x14ac:dyDescent="0.25">
      <c r="E771" s="139"/>
      <c r="J771" s="139"/>
    </row>
    <row r="772" spans="5:10" ht="15.75" customHeight="1" x14ac:dyDescent="0.25">
      <c r="E772" s="139"/>
      <c r="J772" s="139"/>
    </row>
    <row r="773" spans="5:10" ht="15.75" customHeight="1" x14ac:dyDescent="0.25">
      <c r="E773" s="139"/>
      <c r="J773" s="139"/>
    </row>
    <row r="774" spans="5:10" ht="15.75" customHeight="1" x14ac:dyDescent="0.25">
      <c r="E774" s="139"/>
      <c r="J774" s="139"/>
    </row>
    <row r="775" spans="5:10" ht="15.75" customHeight="1" x14ac:dyDescent="0.25">
      <c r="E775" s="139"/>
      <c r="J775" s="139"/>
    </row>
    <row r="776" spans="5:10" ht="15.75" customHeight="1" x14ac:dyDescent="0.25">
      <c r="E776" s="139"/>
      <c r="J776" s="139"/>
    </row>
    <row r="777" spans="5:10" ht="15.75" customHeight="1" x14ac:dyDescent="0.25">
      <c r="E777" s="139"/>
      <c r="J777" s="139"/>
    </row>
    <row r="778" spans="5:10" ht="15.75" customHeight="1" x14ac:dyDescent="0.25">
      <c r="E778" s="139"/>
      <c r="J778" s="139"/>
    </row>
    <row r="779" spans="5:10" ht="15.75" customHeight="1" x14ac:dyDescent="0.25">
      <c r="E779" s="139"/>
      <c r="J779" s="139"/>
    </row>
    <row r="780" spans="5:10" ht="15.75" customHeight="1" x14ac:dyDescent="0.25">
      <c r="E780" s="139"/>
      <c r="J780" s="139"/>
    </row>
    <row r="781" spans="5:10" ht="15.75" customHeight="1" x14ac:dyDescent="0.25">
      <c r="E781" s="139"/>
      <c r="J781" s="139"/>
    </row>
    <row r="782" spans="5:10" ht="15.75" customHeight="1" x14ac:dyDescent="0.25">
      <c r="E782" s="139"/>
      <c r="J782" s="139"/>
    </row>
    <row r="783" spans="5:10" ht="15.75" customHeight="1" x14ac:dyDescent="0.25">
      <c r="E783" s="139"/>
      <c r="J783" s="139"/>
    </row>
    <row r="784" spans="5:10" ht="15.75" customHeight="1" x14ac:dyDescent="0.25">
      <c r="E784" s="139"/>
      <c r="J784" s="139"/>
    </row>
    <row r="785" spans="5:10" ht="15.75" customHeight="1" x14ac:dyDescent="0.25">
      <c r="E785" s="139"/>
      <c r="J785" s="139"/>
    </row>
    <row r="786" spans="5:10" ht="15.75" customHeight="1" x14ac:dyDescent="0.25">
      <c r="E786" s="139"/>
      <c r="J786" s="139"/>
    </row>
    <row r="787" spans="5:10" ht="15.75" customHeight="1" x14ac:dyDescent="0.25">
      <c r="E787" s="139"/>
      <c r="J787" s="139"/>
    </row>
    <row r="788" spans="5:10" ht="15.75" customHeight="1" x14ac:dyDescent="0.25">
      <c r="E788" s="139"/>
      <c r="J788" s="139"/>
    </row>
    <row r="789" spans="5:10" ht="15.75" customHeight="1" x14ac:dyDescent="0.25">
      <c r="E789" s="139"/>
      <c r="J789" s="139"/>
    </row>
    <row r="790" spans="5:10" ht="15.75" customHeight="1" x14ac:dyDescent="0.25">
      <c r="E790" s="139"/>
      <c r="J790" s="139"/>
    </row>
    <row r="791" spans="5:10" ht="15.75" customHeight="1" x14ac:dyDescent="0.25">
      <c r="E791" s="139"/>
      <c r="J791" s="139"/>
    </row>
    <row r="792" spans="5:10" ht="15.75" customHeight="1" x14ac:dyDescent="0.25">
      <c r="E792" s="139"/>
      <c r="J792" s="139"/>
    </row>
    <row r="793" spans="5:10" ht="15.75" customHeight="1" x14ac:dyDescent="0.25">
      <c r="E793" s="139"/>
      <c r="J793" s="139"/>
    </row>
    <row r="794" spans="5:10" ht="15.75" customHeight="1" x14ac:dyDescent="0.25">
      <c r="E794" s="139"/>
      <c r="J794" s="139"/>
    </row>
    <row r="795" spans="5:10" ht="15.75" customHeight="1" x14ac:dyDescent="0.25">
      <c r="E795" s="139"/>
      <c r="J795" s="139"/>
    </row>
    <row r="796" spans="5:10" ht="15.75" customHeight="1" x14ac:dyDescent="0.25">
      <c r="E796" s="139"/>
      <c r="J796" s="139"/>
    </row>
    <row r="797" spans="5:10" ht="15.75" customHeight="1" x14ac:dyDescent="0.25">
      <c r="E797" s="139"/>
      <c r="J797" s="139"/>
    </row>
    <row r="798" spans="5:10" ht="15.75" customHeight="1" x14ac:dyDescent="0.25">
      <c r="E798" s="139"/>
      <c r="J798" s="139"/>
    </row>
    <row r="799" spans="5:10" ht="15.75" customHeight="1" x14ac:dyDescent="0.25">
      <c r="E799" s="139"/>
      <c r="J799" s="139"/>
    </row>
    <row r="800" spans="5:10" ht="15.75" customHeight="1" x14ac:dyDescent="0.25">
      <c r="E800" s="139"/>
      <c r="J800" s="139"/>
    </row>
    <row r="801" spans="5:10" ht="15.75" customHeight="1" x14ac:dyDescent="0.25">
      <c r="E801" s="139"/>
      <c r="J801" s="139"/>
    </row>
    <row r="802" spans="5:10" ht="15.75" customHeight="1" x14ac:dyDescent="0.25">
      <c r="E802" s="139"/>
      <c r="J802" s="139"/>
    </row>
    <row r="803" spans="5:10" ht="15.75" customHeight="1" x14ac:dyDescent="0.25">
      <c r="E803" s="139"/>
      <c r="J803" s="139"/>
    </row>
    <row r="804" spans="5:10" ht="15.75" customHeight="1" x14ac:dyDescent="0.25">
      <c r="E804" s="139"/>
      <c r="J804" s="139"/>
    </row>
    <row r="805" spans="5:10" ht="15.75" customHeight="1" x14ac:dyDescent="0.25">
      <c r="E805" s="139"/>
      <c r="J805" s="139"/>
    </row>
    <row r="806" spans="5:10" ht="15.75" customHeight="1" x14ac:dyDescent="0.25">
      <c r="E806" s="139"/>
      <c r="J806" s="139"/>
    </row>
    <row r="807" spans="5:10" ht="15.75" customHeight="1" x14ac:dyDescent="0.25">
      <c r="E807" s="139"/>
      <c r="J807" s="139"/>
    </row>
    <row r="808" spans="5:10" ht="15.75" customHeight="1" x14ac:dyDescent="0.25">
      <c r="E808" s="139"/>
      <c r="J808" s="139"/>
    </row>
    <row r="809" spans="5:10" ht="15.75" customHeight="1" x14ac:dyDescent="0.25">
      <c r="E809" s="139"/>
      <c r="J809" s="139"/>
    </row>
    <row r="810" spans="5:10" ht="15.75" customHeight="1" x14ac:dyDescent="0.25">
      <c r="E810" s="139"/>
      <c r="J810" s="139"/>
    </row>
    <row r="811" spans="5:10" ht="15.75" customHeight="1" x14ac:dyDescent="0.25">
      <c r="E811" s="139"/>
      <c r="J811" s="139"/>
    </row>
    <row r="812" spans="5:10" ht="15.75" customHeight="1" x14ac:dyDescent="0.25">
      <c r="E812" s="139"/>
      <c r="J812" s="139"/>
    </row>
    <row r="813" spans="5:10" ht="15.75" customHeight="1" x14ac:dyDescent="0.25">
      <c r="E813" s="139"/>
      <c r="J813" s="139"/>
    </row>
    <row r="814" spans="5:10" ht="15.75" customHeight="1" x14ac:dyDescent="0.25">
      <c r="E814" s="139"/>
      <c r="J814" s="139"/>
    </row>
    <row r="815" spans="5:10" ht="15.75" customHeight="1" x14ac:dyDescent="0.25">
      <c r="E815" s="139"/>
      <c r="J815" s="139"/>
    </row>
    <row r="816" spans="5:10" ht="15.75" customHeight="1" x14ac:dyDescent="0.25">
      <c r="E816" s="139"/>
      <c r="J816" s="139"/>
    </row>
    <row r="817" spans="5:10" ht="15.75" customHeight="1" x14ac:dyDescent="0.25">
      <c r="E817" s="139"/>
      <c r="J817" s="139"/>
    </row>
    <row r="818" spans="5:10" ht="15.75" customHeight="1" x14ac:dyDescent="0.25">
      <c r="E818" s="139"/>
      <c r="J818" s="139"/>
    </row>
    <row r="819" spans="5:10" ht="15.75" customHeight="1" x14ac:dyDescent="0.25">
      <c r="E819" s="139"/>
      <c r="J819" s="139"/>
    </row>
    <row r="820" spans="5:10" ht="15.75" customHeight="1" x14ac:dyDescent="0.25">
      <c r="E820" s="139"/>
      <c r="J820" s="139"/>
    </row>
    <row r="821" spans="5:10" ht="15.75" customHeight="1" x14ac:dyDescent="0.25">
      <c r="E821" s="139"/>
      <c r="J821" s="139"/>
    </row>
    <row r="822" spans="5:10" ht="15.75" customHeight="1" x14ac:dyDescent="0.25">
      <c r="E822" s="139"/>
      <c r="J822" s="139"/>
    </row>
    <row r="823" spans="5:10" ht="15.75" customHeight="1" x14ac:dyDescent="0.25">
      <c r="E823" s="139"/>
      <c r="J823" s="139"/>
    </row>
    <row r="824" spans="5:10" ht="15.75" customHeight="1" x14ac:dyDescent="0.25">
      <c r="E824" s="139"/>
      <c r="J824" s="139"/>
    </row>
    <row r="825" spans="5:10" ht="15.75" customHeight="1" x14ac:dyDescent="0.25">
      <c r="E825" s="139"/>
      <c r="J825" s="139"/>
    </row>
    <row r="826" spans="5:10" ht="15.75" customHeight="1" x14ac:dyDescent="0.25">
      <c r="E826" s="139"/>
      <c r="J826" s="139"/>
    </row>
    <row r="827" spans="5:10" ht="15.75" customHeight="1" x14ac:dyDescent="0.25">
      <c r="E827" s="139"/>
      <c r="J827" s="139"/>
    </row>
    <row r="828" spans="5:10" ht="15.75" customHeight="1" x14ac:dyDescent="0.25">
      <c r="E828" s="139"/>
      <c r="J828" s="139"/>
    </row>
    <row r="829" spans="5:10" ht="15.75" customHeight="1" x14ac:dyDescent="0.25">
      <c r="E829" s="139"/>
      <c r="J829" s="139"/>
    </row>
    <row r="830" spans="5:10" ht="15.75" customHeight="1" x14ac:dyDescent="0.25">
      <c r="E830" s="139"/>
      <c r="J830" s="139"/>
    </row>
    <row r="831" spans="5:10" ht="15.75" customHeight="1" x14ac:dyDescent="0.25">
      <c r="E831" s="139"/>
      <c r="J831" s="139"/>
    </row>
    <row r="832" spans="5:10" ht="15.75" customHeight="1" x14ac:dyDescent="0.25">
      <c r="E832" s="139"/>
      <c r="J832" s="139"/>
    </row>
    <row r="833" spans="5:10" ht="15.75" customHeight="1" x14ac:dyDescent="0.25">
      <c r="E833" s="139"/>
      <c r="J833" s="139"/>
    </row>
    <row r="834" spans="5:10" ht="15.75" customHeight="1" x14ac:dyDescent="0.25">
      <c r="E834" s="139"/>
      <c r="J834" s="139"/>
    </row>
    <row r="835" spans="5:10" ht="15.75" customHeight="1" x14ac:dyDescent="0.25">
      <c r="E835" s="139"/>
      <c r="J835" s="139"/>
    </row>
    <row r="836" spans="5:10" ht="15.75" customHeight="1" x14ac:dyDescent="0.25">
      <c r="E836" s="139"/>
      <c r="J836" s="139"/>
    </row>
    <row r="837" spans="5:10" ht="15.75" customHeight="1" x14ac:dyDescent="0.25">
      <c r="E837" s="139"/>
      <c r="J837" s="139"/>
    </row>
    <row r="838" spans="5:10" ht="15.75" customHeight="1" x14ac:dyDescent="0.25">
      <c r="E838" s="139"/>
      <c r="J838" s="139"/>
    </row>
    <row r="839" spans="5:10" ht="15.75" customHeight="1" x14ac:dyDescent="0.25">
      <c r="E839" s="139"/>
      <c r="J839" s="139"/>
    </row>
    <row r="840" spans="5:10" ht="15.75" customHeight="1" x14ac:dyDescent="0.25">
      <c r="E840" s="139"/>
      <c r="J840" s="139"/>
    </row>
    <row r="841" spans="5:10" ht="15.75" customHeight="1" x14ac:dyDescent="0.25">
      <c r="E841" s="139"/>
      <c r="J841" s="139"/>
    </row>
    <row r="842" spans="5:10" ht="15.75" customHeight="1" x14ac:dyDescent="0.25">
      <c r="E842" s="139"/>
      <c r="J842" s="139"/>
    </row>
    <row r="843" spans="5:10" ht="15.75" customHeight="1" x14ac:dyDescent="0.25">
      <c r="E843" s="139"/>
      <c r="J843" s="139"/>
    </row>
    <row r="844" spans="5:10" ht="15.75" customHeight="1" x14ac:dyDescent="0.25">
      <c r="E844" s="139"/>
      <c r="J844" s="139"/>
    </row>
    <row r="845" spans="5:10" ht="15.75" customHeight="1" x14ac:dyDescent="0.25">
      <c r="E845" s="139"/>
      <c r="J845" s="139"/>
    </row>
    <row r="846" spans="5:10" ht="15.75" customHeight="1" x14ac:dyDescent="0.25">
      <c r="E846" s="139"/>
      <c r="J846" s="139"/>
    </row>
    <row r="847" spans="5:10" ht="15.75" customHeight="1" x14ac:dyDescent="0.25">
      <c r="E847" s="139"/>
      <c r="J847" s="139"/>
    </row>
    <row r="848" spans="5:10" ht="15.75" customHeight="1" x14ac:dyDescent="0.25">
      <c r="E848" s="139"/>
      <c r="J848" s="139"/>
    </row>
    <row r="849" spans="5:10" ht="15.75" customHeight="1" x14ac:dyDescent="0.25">
      <c r="E849" s="139"/>
      <c r="J849" s="139"/>
    </row>
    <row r="850" spans="5:10" ht="15.75" customHeight="1" x14ac:dyDescent="0.25">
      <c r="E850" s="139"/>
      <c r="J850" s="139"/>
    </row>
    <row r="851" spans="5:10" ht="15.75" customHeight="1" x14ac:dyDescent="0.25">
      <c r="E851" s="139"/>
      <c r="J851" s="139"/>
    </row>
    <row r="852" spans="5:10" ht="15.75" customHeight="1" x14ac:dyDescent="0.25">
      <c r="E852" s="139"/>
      <c r="J852" s="139"/>
    </row>
    <row r="853" spans="5:10" ht="15.75" customHeight="1" x14ac:dyDescent="0.25">
      <c r="E853" s="139"/>
      <c r="J853" s="139"/>
    </row>
    <row r="854" spans="5:10" ht="15.75" customHeight="1" x14ac:dyDescent="0.25">
      <c r="E854" s="139"/>
      <c r="J854" s="139"/>
    </row>
    <row r="855" spans="5:10" ht="15.75" customHeight="1" x14ac:dyDescent="0.25">
      <c r="E855" s="139"/>
      <c r="J855" s="139"/>
    </row>
    <row r="856" spans="5:10" ht="15.75" customHeight="1" x14ac:dyDescent="0.25">
      <c r="E856" s="139"/>
      <c r="J856" s="139"/>
    </row>
    <row r="857" spans="5:10" ht="15.75" customHeight="1" x14ac:dyDescent="0.25">
      <c r="E857" s="139"/>
      <c r="J857" s="139"/>
    </row>
    <row r="858" spans="5:10" ht="15.75" customHeight="1" x14ac:dyDescent="0.25">
      <c r="E858" s="139"/>
      <c r="J858" s="139"/>
    </row>
    <row r="859" spans="5:10" ht="15.75" customHeight="1" x14ac:dyDescent="0.25">
      <c r="E859" s="139"/>
      <c r="J859" s="139"/>
    </row>
    <row r="860" spans="5:10" ht="15.75" customHeight="1" x14ac:dyDescent="0.25">
      <c r="E860" s="139"/>
      <c r="J860" s="139"/>
    </row>
    <row r="861" spans="5:10" ht="15.75" customHeight="1" x14ac:dyDescent="0.25">
      <c r="E861" s="139"/>
      <c r="J861" s="139"/>
    </row>
    <row r="862" spans="5:10" ht="15.75" customHeight="1" x14ac:dyDescent="0.25">
      <c r="E862" s="139"/>
      <c r="J862" s="139"/>
    </row>
    <row r="863" spans="5:10" ht="15.75" customHeight="1" x14ac:dyDescent="0.25">
      <c r="E863" s="139"/>
      <c r="J863" s="139"/>
    </row>
    <row r="864" spans="5:10" ht="15.75" customHeight="1" x14ac:dyDescent="0.25">
      <c r="E864" s="139"/>
      <c r="J864" s="139"/>
    </row>
    <row r="865" spans="5:10" ht="15.75" customHeight="1" x14ac:dyDescent="0.25">
      <c r="E865" s="139"/>
      <c r="J865" s="139"/>
    </row>
    <row r="866" spans="5:10" ht="15.75" customHeight="1" x14ac:dyDescent="0.25">
      <c r="E866" s="139"/>
      <c r="J866" s="139"/>
    </row>
    <row r="867" spans="5:10" ht="15.75" customHeight="1" x14ac:dyDescent="0.25">
      <c r="E867" s="139"/>
      <c r="J867" s="139"/>
    </row>
    <row r="868" spans="5:10" ht="15.75" customHeight="1" x14ac:dyDescent="0.25">
      <c r="E868" s="139"/>
      <c r="J868" s="139"/>
    </row>
    <row r="869" spans="5:10" ht="15.75" customHeight="1" x14ac:dyDescent="0.25">
      <c r="E869" s="139"/>
      <c r="J869" s="139"/>
    </row>
    <row r="870" spans="5:10" ht="15.75" customHeight="1" x14ac:dyDescent="0.25">
      <c r="E870" s="139"/>
      <c r="J870" s="139"/>
    </row>
    <row r="871" spans="5:10" ht="15.75" customHeight="1" x14ac:dyDescent="0.25">
      <c r="E871" s="139"/>
      <c r="J871" s="139"/>
    </row>
    <row r="872" spans="5:10" ht="15.75" customHeight="1" x14ac:dyDescent="0.25">
      <c r="E872" s="139"/>
      <c r="J872" s="139"/>
    </row>
    <row r="873" spans="5:10" ht="15.75" customHeight="1" x14ac:dyDescent="0.25">
      <c r="E873" s="139"/>
      <c r="J873" s="139"/>
    </row>
    <row r="874" spans="5:10" ht="15.75" customHeight="1" x14ac:dyDescent="0.25">
      <c r="E874" s="139"/>
      <c r="J874" s="139"/>
    </row>
    <row r="875" spans="5:10" ht="15.75" customHeight="1" x14ac:dyDescent="0.25">
      <c r="E875" s="139"/>
      <c r="J875" s="139"/>
    </row>
    <row r="876" spans="5:10" ht="15.75" customHeight="1" x14ac:dyDescent="0.25">
      <c r="E876" s="139"/>
      <c r="J876" s="139"/>
    </row>
    <row r="877" spans="5:10" ht="15.75" customHeight="1" x14ac:dyDescent="0.25">
      <c r="E877" s="139"/>
      <c r="J877" s="139"/>
    </row>
    <row r="878" spans="5:10" ht="15.75" customHeight="1" x14ac:dyDescent="0.25">
      <c r="E878" s="139"/>
      <c r="J878" s="139"/>
    </row>
    <row r="879" spans="5:10" ht="15.75" customHeight="1" x14ac:dyDescent="0.25">
      <c r="E879" s="139"/>
      <c r="J879" s="139"/>
    </row>
    <row r="880" spans="5:10" ht="15.75" customHeight="1" x14ac:dyDescent="0.25">
      <c r="E880" s="139"/>
      <c r="J880" s="139"/>
    </row>
    <row r="881" spans="5:10" ht="15.75" customHeight="1" x14ac:dyDescent="0.25">
      <c r="E881" s="139"/>
      <c r="J881" s="139"/>
    </row>
    <row r="882" spans="5:10" ht="15.75" customHeight="1" x14ac:dyDescent="0.25">
      <c r="E882" s="139"/>
      <c r="J882" s="139"/>
    </row>
    <row r="883" spans="5:10" ht="15.75" customHeight="1" x14ac:dyDescent="0.25">
      <c r="E883" s="139"/>
      <c r="J883" s="139"/>
    </row>
    <row r="884" spans="5:10" ht="15.75" customHeight="1" x14ac:dyDescent="0.25">
      <c r="E884" s="139"/>
      <c r="J884" s="139"/>
    </row>
    <row r="885" spans="5:10" ht="15.75" customHeight="1" x14ac:dyDescent="0.25">
      <c r="E885" s="139"/>
      <c r="J885" s="139"/>
    </row>
    <row r="886" spans="5:10" ht="15.75" customHeight="1" x14ac:dyDescent="0.25">
      <c r="E886" s="139"/>
      <c r="J886" s="139"/>
    </row>
    <row r="887" spans="5:10" ht="15.75" customHeight="1" x14ac:dyDescent="0.25">
      <c r="E887" s="139"/>
      <c r="J887" s="139"/>
    </row>
    <row r="888" spans="5:10" ht="15.75" customHeight="1" x14ac:dyDescent="0.25">
      <c r="E888" s="139"/>
      <c r="J888" s="139"/>
    </row>
    <row r="889" spans="5:10" ht="15.75" customHeight="1" x14ac:dyDescent="0.25">
      <c r="E889" s="139"/>
      <c r="J889" s="139"/>
    </row>
    <row r="890" spans="5:10" ht="15.75" customHeight="1" x14ac:dyDescent="0.25">
      <c r="E890" s="139"/>
      <c r="J890" s="139"/>
    </row>
    <row r="891" spans="5:10" ht="15.75" customHeight="1" x14ac:dyDescent="0.25">
      <c r="E891" s="139"/>
      <c r="J891" s="139"/>
    </row>
    <row r="892" spans="5:10" ht="15.75" customHeight="1" x14ac:dyDescent="0.25">
      <c r="E892" s="139"/>
      <c r="J892" s="139"/>
    </row>
    <row r="893" spans="5:10" ht="15.75" customHeight="1" x14ac:dyDescent="0.25">
      <c r="E893" s="139"/>
      <c r="J893" s="139"/>
    </row>
    <row r="894" spans="5:10" ht="15.75" customHeight="1" x14ac:dyDescent="0.25">
      <c r="E894" s="139"/>
      <c r="J894" s="139"/>
    </row>
    <row r="895" spans="5:10" ht="15.75" customHeight="1" x14ac:dyDescent="0.25">
      <c r="E895" s="139"/>
      <c r="J895" s="139"/>
    </row>
    <row r="896" spans="5:10" ht="15.75" customHeight="1" x14ac:dyDescent="0.25">
      <c r="E896" s="139"/>
      <c r="J896" s="139"/>
    </row>
    <row r="897" spans="5:10" ht="15.75" customHeight="1" x14ac:dyDescent="0.25">
      <c r="E897" s="139"/>
      <c r="J897" s="139"/>
    </row>
    <row r="898" spans="5:10" ht="15.75" customHeight="1" x14ac:dyDescent="0.25">
      <c r="E898" s="139"/>
      <c r="J898" s="139"/>
    </row>
    <row r="899" spans="5:10" ht="15.75" customHeight="1" x14ac:dyDescent="0.25">
      <c r="E899" s="139"/>
      <c r="J899" s="139"/>
    </row>
    <row r="900" spans="5:10" ht="15.75" customHeight="1" x14ac:dyDescent="0.25">
      <c r="E900" s="139"/>
      <c r="J900" s="139"/>
    </row>
    <row r="901" spans="5:10" ht="15.75" customHeight="1" x14ac:dyDescent="0.25">
      <c r="E901" s="139"/>
      <c r="J901" s="139"/>
    </row>
    <row r="902" spans="5:10" ht="15.75" customHeight="1" x14ac:dyDescent="0.25">
      <c r="E902" s="139"/>
      <c r="J902" s="139"/>
    </row>
    <row r="903" spans="5:10" ht="15.75" customHeight="1" x14ac:dyDescent="0.25">
      <c r="E903" s="139"/>
      <c r="J903" s="139"/>
    </row>
    <row r="904" spans="5:10" ht="15.75" customHeight="1" x14ac:dyDescent="0.25">
      <c r="E904" s="139"/>
      <c r="J904" s="139"/>
    </row>
    <row r="905" spans="5:10" ht="15.75" customHeight="1" x14ac:dyDescent="0.25">
      <c r="E905" s="139"/>
      <c r="J905" s="139"/>
    </row>
    <row r="906" spans="5:10" ht="15.75" customHeight="1" x14ac:dyDescent="0.25">
      <c r="E906" s="139"/>
      <c r="J906" s="139"/>
    </row>
    <row r="907" spans="5:10" ht="15.75" customHeight="1" x14ac:dyDescent="0.25">
      <c r="E907" s="139"/>
      <c r="J907" s="139"/>
    </row>
    <row r="908" spans="5:10" ht="15.75" customHeight="1" x14ac:dyDescent="0.25">
      <c r="E908" s="139"/>
      <c r="J908" s="139"/>
    </row>
    <row r="909" spans="5:10" ht="15.75" customHeight="1" x14ac:dyDescent="0.25">
      <c r="E909" s="139"/>
      <c r="J909" s="139"/>
    </row>
    <row r="910" spans="5:10" ht="15.75" customHeight="1" x14ac:dyDescent="0.25">
      <c r="E910" s="139"/>
      <c r="J910" s="139"/>
    </row>
    <row r="911" spans="5:10" ht="15.75" customHeight="1" x14ac:dyDescent="0.25">
      <c r="E911" s="139"/>
      <c r="J911" s="139"/>
    </row>
    <row r="912" spans="5:10" ht="15.75" customHeight="1" x14ac:dyDescent="0.25">
      <c r="E912" s="139"/>
      <c r="J912" s="139"/>
    </row>
    <row r="913" spans="5:10" ht="15.75" customHeight="1" x14ac:dyDescent="0.25">
      <c r="E913" s="139"/>
      <c r="J913" s="139"/>
    </row>
    <row r="914" spans="5:10" ht="15.75" customHeight="1" x14ac:dyDescent="0.25">
      <c r="E914" s="139"/>
      <c r="J914" s="139"/>
    </row>
    <row r="915" spans="5:10" ht="15.75" customHeight="1" x14ac:dyDescent="0.25">
      <c r="E915" s="139"/>
      <c r="J915" s="139"/>
    </row>
    <row r="916" spans="5:10" ht="15.75" customHeight="1" x14ac:dyDescent="0.25">
      <c r="E916" s="139"/>
      <c r="J916" s="139"/>
    </row>
    <row r="917" spans="5:10" ht="15.75" customHeight="1" x14ac:dyDescent="0.25">
      <c r="E917" s="139"/>
      <c r="J917" s="139"/>
    </row>
    <row r="918" spans="5:10" ht="15.75" customHeight="1" x14ac:dyDescent="0.25">
      <c r="E918" s="139"/>
      <c r="J918" s="139"/>
    </row>
    <row r="919" spans="5:10" ht="15.75" customHeight="1" x14ac:dyDescent="0.25">
      <c r="E919" s="139"/>
      <c r="J919" s="139"/>
    </row>
    <row r="920" spans="5:10" ht="15.75" customHeight="1" x14ac:dyDescent="0.25">
      <c r="E920" s="139"/>
      <c r="J920" s="139"/>
    </row>
    <row r="921" spans="5:10" ht="15.75" customHeight="1" x14ac:dyDescent="0.25">
      <c r="E921" s="139"/>
      <c r="J921" s="139"/>
    </row>
    <row r="922" spans="5:10" ht="15.75" customHeight="1" x14ac:dyDescent="0.25">
      <c r="E922" s="139"/>
      <c r="J922" s="139"/>
    </row>
    <row r="923" spans="5:10" ht="15.75" customHeight="1" x14ac:dyDescent="0.25">
      <c r="E923" s="139"/>
      <c r="J923" s="139"/>
    </row>
    <row r="924" spans="5:10" ht="15.75" customHeight="1" x14ac:dyDescent="0.25">
      <c r="E924" s="139"/>
      <c r="J924" s="139"/>
    </row>
    <row r="925" spans="5:10" ht="15.75" customHeight="1" x14ac:dyDescent="0.25">
      <c r="E925" s="139"/>
      <c r="J925" s="139"/>
    </row>
    <row r="926" spans="5:10" ht="15.75" customHeight="1" x14ac:dyDescent="0.25">
      <c r="E926" s="139"/>
      <c r="J926" s="139"/>
    </row>
    <row r="927" spans="5:10" ht="15.75" customHeight="1" x14ac:dyDescent="0.25">
      <c r="E927" s="139"/>
      <c r="J927" s="139"/>
    </row>
    <row r="928" spans="5:10" ht="15.75" customHeight="1" x14ac:dyDescent="0.25">
      <c r="E928" s="139"/>
      <c r="J928" s="139"/>
    </row>
    <row r="929" spans="5:10" ht="15.75" customHeight="1" x14ac:dyDescent="0.25">
      <c r="E929" s="139"/>
      <c r="J929" s="139"/>
    </row>
    <row r="930" spans="5:10" ht="15.75" customHeight="1" x14ac:dyDescent="0.25">
      <c r="E930" s="139"/>
      <c r="J930" s="139"/>
    </row>
    <row r="931" spans="5:10" ht="15.75" customHeight="1" x14ac:dyDescent="0.25">
      <c r="E931" s="139"/>
      <c r="J931" s="139"/>
    </row>
    <row r="932" spans="5:10" ht="15.75" customHeight="1" x14ac:dyDescent="0.25">
      <c r="E932" s="139"/>
      <c r="J932" s="139"/>
    </row>
    <row r="933" spans="5:10" ht="15.75" customHeight="1" x14ac:dyDescent="0.25">
      <c r="E933" s="139"/>
      <c r="J933" s="139"/>
    </row>
    <row r="934" spans="5:10" ht="15.75" customHeight="1" x14ac:dyDescent="0.25">
      <c r="E934" s="139"/>
      <c r="J934" s="139"/>
    </row>
    <row r="935" spans="5:10" ht="15.75" customHeight="1" x14ac:dyDescent="0.25">
      <c r="E935" s="139"/>
      <c r="J935" s="139"/>
    </row>
    <row r="936" spans="5:10" ht="15.75" customHeight="1" x14ac:dyDescent="0.25">
      <c r="E936" s="139"/>
      <c r="J936" s="139"/>
    </row>
    <row r="937" spans="5:10" ht="15.75" customHeight="1" x14ac:dyDescent="0.25">
      <c r="E937" s="139"/>
      <c r="J937" s="139"/>
    </row>
    <row r="938" spans="5:10" ht="15.75" customHeight="1" x14ac:dyDescent="0.25">
      <c r="E938" s="139"/>
      <c r="J938" s="139"/>
    </row>
    <row r="939" spans="5:10" ht="15.75" customHeight="1" x14ac:dyDescent="0.25">
      <c r="E939" s="139"/>
      <c r="J939" s="139"/>
    </row>
    <row r="940" spans="5:10" ht="15.75" customHeight="1" x14ac:dyDescent="0.25">
      <c r="E940" s="139"/>
      <c r="J940" s="139"/>
    </row>
    <row r="941" spans="5:10" ht="15.75" customHeight="1" x14ac:dyDescent="0.25">
      <c r="E941" s="139"/>
      <c r="J941" s="139"/>
    </row>
    <row r="942" spans="5:10" ht="15.75" customHeight="1" x14ac:dyDescent="0.25">
      <c r="E942" s="139"/>
      <c r="J942" s="139"/>
    </row>
    <row r="943" spans="5:10" ht="15.75" customHeight="1" x14ac:dyDescent="0.25">
      <c r="E943" s="139"/>
      <c r="J943" s="139"/>
    </row>
    <row r="944" spans="5:10" ht="15.75" customHeight="1" x14ac:dyDescent="0.25">
      <c r="E944" s="139"/>
      <c r="J944" s="139"/>
    </row>
    <row r="945" spans="5:10" ht="15.75" customHeight="1" x14ac:dyDescent="0.25">
      <c r="E945" s="139"/>
      <c r="J945" s="139"/>
    </row>
    <row r="946" spans="5:10" ht="15.75" customHeight="1" x14ac:dyDescent="0.25">
      <c r="E946" s="139"/>
      <c r="J946" s="139"/>
    </row>
    <row r="947" spans="5:10" ht="15.75" customHeight="1" x14ac:dyDescent="0.25">
      <c r="E947" s="139"/>
      <c r="J947" s="139"/>
    </row>
    <row r="948" spans="5:10" ht="15.75" customHeight="1" x14ac:dyDescent="0.25">
      <c r="E948" s="139"/>
      <c r="J948" s="139"/>
    </row>
    <row r="949" spans="5:10" ht="15.75" customHeight="1" x14ac:dyDescent="0.25">
      <c r="E949" s="139"/>
      <c r="J949" s="139"/>
    </row>
    <row r="950" spans="5:10" ht="15.75" customHeight="1" x14ac:dyDescent="0.25">
      <c r="E950" s="139"/>
      <c r="J950" s="139"/>
    </row>
    <row r="951" spans="5:10" ht="15.75" customHeight="1" x14ac:dyDescent="0.25">
      <c r="E951" s="139"/>
      <c r="J951" s="139"/>
    </row>
    <row r="952" spans="5:10" ht="15.75" customHeight="1" x14ac:dyDescent="0.25">
      <c r="E952" s="139"/>
      <c r="J952" s="139"/>
    </row>
    <row r="953" spans="5:10" ht="15.75" customHeight="1" x14ac:dyDescent="0.25">
      <c r="E953" s="139"/>
      <c r="J953" s="139"/>
    </row>
    <row r="954" spans="5:10" ht="15.75" customHeight="1" x14ac:dyDescent="0.25">
      <c r="E954" s="139"/>
      <c r="J954" s="139"/>
    </row>
    <row r="955" spans="5:10" ht="15.75" customHeight="1" x14ac:dyDescent="0.25">
      <c r="E955" s="139"/>
      <c r="J955" s="139"/>
    </row>
    <row r="956" spans="5:10" ht="15.75" customHeight="1" x14ac:dyDescent="0.25">
      <c r="E956" s="139"/>
      <c r="J956" s="139"/>
    </row>
    <row r="957" spans="5:10" ht="15.75" customHeight="1" x14ac:dyDescent="0.25">
      <c r="E957" s="139"/>
      <c r="J957" s="139"/>
    </row>
    <row r="958" spans="5:10" ht="15.75" customHeight="1" x14ac:dyDescent="0.25">
      <c r="E958" s="139"/>
      <c r="J958" s="139"/>
    </row>
    <row r="959" spans="5:10" ht="15.75" customHeight="1" x14ac:dyDescent="0.25">
      <c r="E959" s="139"/>
      <c r="J959" s="139"/>
    </row>
    <row r="960" spans="5:10" ht="15.75" customHeight="1" x14ac:dyDescent="0.25">
      <c r="E960" s="139"/>
      <c r="J960" s="139"/>
    </row>
    <row r="961" spans="5:10" ht="15.75" customHeight="1" x14ac:dyDescent="0.25">
      <c r="E961" s="139"/>
      <c r="J961" s="139"/>
    </row>
    <row r="962" spans="5:10" ht="15.75" customHeight="1" x14ac:dyDescent="0.25">
      <c r="E962" s="139"/>
      <c r="J962" s="139"/>
    </row>
    <row r="963" spans="5:10" ht="15.75" customHeight="1" x14ac:dyDescent="0.25">
      <c r="E963" s="139"/>
      <c r="J963" s="139"/>
    </row>
    <row r="964" spans="5:10" ht="15.75" customHeight="1" x14ac:dyDescent="0.25">
      <c r="E964" s="139"/>
      <c r="J964" s="139"/>
    </row>
    <row r="965" spans="5:10" ht="15.75" customHeight="1" x14ac:dyDescent="0.25">
      <c r="E965" s="139"/>
      <c r="J965" s="139"/>
    </row>
    <row r="966" spans="5:10" ht="15.75" customHeight="1" x14ac:dyDescent="0.25">
      <c r="E966" s="139"/>
      <c r="J966" s="139"/>
    </row>
    <row r="967" spans="5:10" ht="15.75" customHeight="1" x14ac:dyDescent="0.25">
      <c r="E967" s="139"/>
      <c r="J967" s="139"/>
    </row>
    <row r="968" spans="5:10" ht="15.75" customHeight="1" x14ac:dyDescent="0.25">
      <c r="E968" s="139"/>
      <c r="J968" s="139"/>
    </row>
    <row r="969" spans="5:10" ht="15.75" customHeight="1" x14ac:dyDescent="0.25">
      <c r="E969" s="139"/>
      <c r="J969" s="139"/>
    </row>
    <row r="970" spans="5:10" ht="15.75" customHeight="1" x14ac:dyDescent="0.25">
      <c r="E970" s="139"/>
      <c r="J970" s="139"/>
    </row>
    <row r="971" spans="5:10" ht="15.75" customHeight="1" x14ac:dyDescent="0.25">
      <c r="E971" s="139"/>
      <c r="J971" s="139"/>
    </row>
    <row r="972" spans="5:10" ht="15.75" customHeight="1" x14ac:dyDescent="0.25">
      <c r="E972" s="139"/>
      <c r="J972" s="139"/>
    </row>
    <row r="973" spans="5:10" ht="15.75" customHeight="1" x14ac:dyDescent="0.25">
      <c r="E973" s="139"/>
      <c r="J973" s="139"/>
    </row>
    <row r="974" spans="5:10" ht="15.75" customHeight="1" x14ac:dyDescent="0.25">
      <c r="E974" s="139"/>
      <c r="J974" s="139"/>
    </row>
    <row r="975" spans="5:10" ht="15.75" customHeight="1" x14ac:dyDescent="0.25">
      <c r="E975" s="139"/>
      <c r="J975" s="139"/>
    </row>
    <row r="976" spans="5:10" ht="15.75" customHeight="1" x14ac:dyDescent="0.25">
      <c r="E976" s="139"/>
      <c r="J976" s="139"/>
    </row>
    <row r="977" spans="5:10" ht="15.75" customHeight="1" x14ac:dyDescent="0.25">
      <c r="E977" s="139"/>
      <c r="J977" s="139"/>
    </row>
    <row r="978" spans="5:10" ht="15.75" customHeight="1" x14ac:dyDescent="0.25">
      <c r="E978" s="139"/>
      <c r="J978" s="139"/>
    </row>
    <row r="979" spans="5:10" ht="15.75" customHeight="1" x14ac:dyDescent="0.25">
      <c r="E979" s="139"/>
      <c r="J979" s="139"/>
    </row>
    <row r="980" spans="5:10" ht="15.75" customHeight="1" x14ac:dyDescent="0.25">
      <c r="E980" s="139"/>
      <c r="J980" s="139"/>
    </row>
    <row r="981" spans="5:10" ht="15.75" customHeight="1" x14ac:dyDescent="0.25">
      <c r="E981" s="139"/>
      <c r="J981" s="139"/>
    </row>
    <row r="982" spans="5:10" ht="15.75" customHeight="1" x14ac:dyDescent="0.25">
      <c r="E982" s="139"/>
      <c r="J982" s="139"/>
    </row>
    <row r="983" spans="5:10" ht="15.75" customHeight="1" x14ac:dyDescent="0.25">
      <c r="E983" s="139"/>
      <c r="J983" s="139"/>
    </row>
    <row r="984" spans="5:10" ht="15.75" customHeight="1" x14ac:dyDescent="0.25">
      <c r="E984" s="139"/>
      <c r="J984" s="139"/>
    </row>
    <row r="985" spans="5:10" ht="15.75" customHeight="1" x14ac:dyDescent="0.25">
      <c r="E985" s="139"/>
      <c r="J985" s="139"/>
    </row>
    <row r="986" spans="5:10" ht="15.75" customHeight="1" x14ac:dyDescent="0.25">
      <c r="E986" s="139"/>
      <c r="J986" s="139"/>
    </row>
    <row r="987" spans="5:10" ht="15.75" customHeight="1" x14ac:dyDescent="0.25">
      <c r="E987" s="139"/>
      <c r="J987" s="139"/>
    </row>
    <row r="988" spans="5:10" ht="15.75" customHeight="1" x14ac:dyDescent="0.25">
      <c r="E988" s="139"/>
      <c r="J988" s="139"/>
    </row>
    <row r="989" spans="5:10" ht="15.75" customHeight="1" x14ac:dyDescent="0.25">
      <c r="E989" s="139"/>
      <c r="J989" s="139"/>
    </row>
    <row r="990" spans="5:10" ht="15.75" customHeight="1" x14ac:dyDescent="0.25">
      <c r="E990" s="139"/>
      <c r="J990" s="139"/>
    </row>
    <row r="991" spans="5:10" ht="15.75" customHeight="1" x14ac:dyDescent="0.25">
      <c r="E991" s="139"/>
      <c r="J991" s="139"/>
    </row>
    <row r="992" spans="5:10" ht="15.75" customHeight="1" x14ac:dyDescent="0.25">
      <c r="E992" s="139"/>
      <c r="J992" s="139"/>
    </row>
    <row r="993" spans="5:10" ht="15.75" customHeight="1" x14ac:dyDescent="0.25">
      <c r="E993" s="139"/>
      <c r="J993" s="139"/>
    </row>
    <row r="994" spans="5:10" ht="15.75" customHeight="1" x14ac:dyDescent="0.25">
      <c r="E994" s="139"/>
      <c r="J994" s="139"/>
    </row>
    <row r="995" spans="5:10" ht="15.75" customHeight="1" x14ac:dyDescent="0.25">
      <c r="E995" s="139"/>
      <c r="J995" s="139"/>
    </row>
    <row r="996" spans="5:10" ht="15.75" customHeight="1" x14ac:dyDescent="0.25">
      <c r="E996" s="139"/>
      <c r="J996" s="139"/>
    </row>
    <row r="997" spans="5:10" ht="15.75" customHeight="1" x14ac:dyDescent="0.25">
      <c r="E997" s="139"/>
      <c r="J997" s="139"/>
    </row>
    <row r="998" spans="5:10" ht="15.75" customHeight="1" x14ac:dyDescent="0.25">
      <c r="E998" s="139"/>
      <c r="J998" s="139"/>
    </row>
    <row r="999" spans="5:10" ht="15.75" customHeight="1" x14ac:dyDescent="0.25">
      <c r="E999" s="139"/>
      <c r="J999" s="139"/>
    </row>
    <row r="1000" spans="5:10" ht="15.75" customHeight="1" x14ac:dyDescent="0.25">
      <c r="E1000" s="139"/>
      <c r="J1000" s="139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1500-000000000000}">
          <x14:formula1>
            <xm:f>January!$B$27:$C$44</xm:f>
          </x14:formula1>
          <xm:sqref>E5:E1000</xm:sqref>
        </x14:dataValidation>
        <x14:dataValidation type="list" allowBlank="1" xr:uid="{00000000-0002-0000-1500-000001000000}">
          <x14:formula1>
            <xm:f>January!$H$27:$I$44</xm:f>
          </x14:formula1>
          <xm:sqref>J5:J1000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1000"/>
  <sheetViews>
    <sheetView showGridLines="0" workbookViewId="0"/>
  </sheetViews>
  <sheetFormatPr defaultColWidth="12.6640625" defaultRowHeight="15" customHeight="1" x14ac:dyDescent="0.25"/>
  <cols>
    <col min="1" max="1" width="6.109375" customWidth="1"/>
    <col min="2" max="3" width="8.88671875" customWidth="1"/>
    <col min="4" max="4" width="16.77734375" customWidth="1"/>
    <col min="5" max="5" width="14.88671875" customWidth="1"/>
    <col min="6" max="6" width="17.44140625" customWidth="1"/>
    <col min="7" max="7" width="16.21875" customWidth="1"/>
    <col min="8" max="8" width="8.88671875" customWidth="1"/>
    <col min="9" max="9" width="17" customWidth="1"/>
    <col min="10" max="10" width="12.6640625" customWidth="1"/>
    <col min="11" max="11" width="12.33203125" customWidth="1"/>
    <col min="12" max="12" width="13.77734375" customWidth="1"/>
    <col min="13" max="13" width="6.109375" customWidth="1"/>
  </cols>
  <sheetData>
    <row r="1" spans="1:13" ht="12" customHeight="1" x14ac:dyDescent="0.3">
      <c r="A1" s="142"/>
      <c r="B1" s="142"/>
      <c r="C1" s="142"/>
      <c r="D1" s="142"/>
      <c r="E1" s="142"/>
      <c r="F1" s="142"/>
      <c r="G1" s="143"/>
      <c r="H1" s="142"/>
      <c r="I1" s="142"/>
      <c r="J1" s="142"/>
      <c r="K1" s="142"/>
      <c r="L1" s="142"/>
      <c r="M1" s="142"/>
    </row>
    <row r="2" spans="1:13" ht="21" customHeight="1" x14ac:dyDescent="0.25">
      <c r="A2" s="144"/>
      <c r="B2" s="269" t="s">
        <v>28</v>
      </c>
      <c r="C2" s="266"/>
      <c r="D2" s="266"/>
      <c r="E2" s="266"/>
      <c r="F2" s="266"/>
      <c r="G2" s="266"/>
      <c r="H2" s="266"/>
      <c r="I2" s="270" t="s">
        <v>1</v>
      </c>
      <c r="J2" s="266"/>
      <c r="K2" s="266"/>
      <c r="L2" s="266"/>
      <c r="M2" s="144"/>
    </row>
    <row r="3" spans="1:13" ht="16.5" customHeight="1" x14ac:dyDescent="0.25">
      <c r="A3" s="145"/>
      <c r="B3" s="271" t="s">
        <v>29</v>
      </c>
      <c r="C3" s="266"/>
      <c r="D3" s="266"/>
      <c r="E3" s="266"/>
      <c r="F3" s="266"/>
      <c r="G3" s="266"/>
      <c r="H3" s="146"/>
      <c r="I3" s="272" t="s">
        <v>30</v>
      </c>
      <c r="J3" s="266"/>
      <c r="K3" s="266"/>
      <c r="L3" s="266"/>
      <c r="M3" s="147"/>
    </row>
    <row r="4" spans="1:13" ht="10.5" customHeight="1" x14ac:dyDescent="0.25">
      <c r="A4" s="145"/>
      <c r="B4" s="266"/>
      <c r="C4" s="266"/>
      <c r="D4" s="266"/>
      <c r="E4" s="266"/>
      <c r="F4" s="266"/>
      <c r="G4" s="266"/>
      <c r="H4" s="146"/>
      <c r="I4" s="273" t="s">
        <v>31</v>
      </c>
      <c r="J4" s="266"/>
      <c r="K4" s="266"/>
      <c r="L4" s="266"/>
      <c r="M4" s="266"/>
    </row>
    <row r="5" spans="1:13" ht="15.75" customHeight="1" x14ac:dyDescent="0.25">
      <c r="A5" s="145"/>
      <c r="B5" s="271" t="s">
        <v>32</v>
      </c>
      <c r="C5" s="266"/>
      <c r="D5" s="266"/>
      <c r="E5" s="266"/>
      <c r="F5" s="266"/>
      <c r="G5" s="266"/>
      <c r="H5" s="146"/>
      <c r="I5" s="266"/>
      <c r="J5" s="266"/>
      <c r="K5" s="266"/>
      <c r="L5" s="266"/>
      <c r="M5" s="266"/>
    </row>
    <row r="6" spans="1:13" ht="23.25" customHeight="1" x14ac:dyDescent="0.3">
      <c r="A6" s="148"/>
      <c r="B6" s="266"/>
      <c r="C6" s="266"/>
      <c r="D6" s="266"/>
      <c r="E6" s="266"/>
      <c r="F6" s="266"/>
      <c r="G6" s="266"/>
      <c r="H6" s="149"/>
      <c r="I6" s="142"/>
      <c r="J6" s="142"/>
      <c r="K6" s="142"/>
      <c r="L6" s="142"/>
      <c r="M6" s="142"/>
    </row>
    <row r="7" spans="1:13" ht="30" customHeight="1" x14ac:dyDescent="0.3">
      <c r="A7" s="150"/>
      <c r="B7" s="151"/>
      <c r="C7" s="151"/>
      <c r="D7" s="151"/>
      <c r="E7" s="152"/>
      <c r="F7" s="155"/>
      <c r="G7" s="155"/>
      <c r="H7" s="155"/>
      <c r="I7" s="155"/>
      <c r="J7" s="153"/>
      <c r="K7" s="153"/>
      <c r="L7" s="153"/>
      <c r="M7" s="153"/>
    </row>
    <row r="8" spans="1:13" ht="18" customHeight="1" x14ac:dyDescent="0.3">
      <c r="A8" s="156"/>
      <c r="B8" s="275" t="s">
        <v>65</v>
      </c>
      <c r="C8" s="266"/>
      <c r="D8" s="266"/>
      <c r="E8" s="266"/>
      <c r="F8" s="153"/>
      <c r="G8" s="157"/>
      <c r="H8" s="153"/>
      <c r="I8" s="158"/>
      <c r="J8" s="274" t="s">
        <v>34</v>
      </c>
      <c r="K8" s="266"/>
      <c r="L8" s="159">
        <f>September!E17</f>
        <v>3000000</v>
      </c>
      <c r="M8" s="153"/>
    </row>
    <row r="9" spans="1:13" ht="18" customHeight="1" x14ac:dyDescent="0.25">
      <c r="A9" s="156"/>
      <c r="B9" s="266"/>
      <c r="C9" s="266"/>
      <c r="D9" s="266"/>
      <c r="E9" s="266"/>
      <c r="F9" s="153"/>
      <c r="G9" s="157"/>
      <c r="H9" s="153"/>
      <c r="I9" s="160"/>
      <c r="J9" s="153"/>
      <c r="K9" s="153"/>
      <c r="M9" s="153"/>
    </row>
    <row r="10" spans="1:13" ht="18" customHeight="1" x14ac:dyDescent="0.25">
      <c r="A10" s="153"/>
      <c r="B10" s="161"/>
      <c r="C10" s="161"/>
      <c r="D10" s="161"/>
      <c r="E10" s="161"/>
      <c r="F10" s="153"/>
      <c r="G10" s="157"/>
      <c r="H10" s="153"/>
      <c r="I10" s="160"/>
      <c r="J10" s="153"/>
      <c r="K10" s="153"/>
      <c r="L10" s="157"/>
      <c r="M10" s="153"/>
    </row>
    <row r="11" spans="1:13" ht="12" customHeight="1" x14ac:dyDescent="0.3">
      <c r="A11" s="150"/>
      <c r="B11" s="162"/>
      <c r="C11" s="162"/>
      <c r="D11" s="163"/>
      <c r="E11" s="150"/>
      <c r="F11" s="150"/>
      <c r="G11" s="158"/>
      <c r="H11" s="164"/>
      <c r="I11" s="165"/>
      <c r="J11" s="165"/>
      <c r="K11" s="165"/>
      <c r="L11" s="166"/>
      <c r="M11" s="150"/>
    </row>
    <row r="12" spans="1:13" ht="18" customHeight="1" x14ac:dyDescent="0.3">
      <c r="A12" s="158"/>
      <c r="B12" s="150"/>
      <c r="C12" s="158"/>
      <c r="D12" s="276" t="str">
        <f ca="1">IFERROR(__xludf.DUMMYFUNCTION("SPARKLINE(D17,{""charttype"",""column"";""ymin"", 0; ""ymax"",MAX(D17:E17);""firstcolor"",""#334960""})"),"")</f>
        <v/>
      </c>
      <c r="E12" s="278" t="str">
        <f ca="1">IFERROR(__xludf.DUMMYFUNCTION("SPARKLINE(E17,{""charttype"",""column"";""ymin"", 0; ""ymax"",max(D17:E17);""firstcolor"",""#f46524""})"),"")</f>
        <v/>
      </c>
      <c r="F12" s="150"/>
      <c r="G12" s="150"/>
      <c r="H12" s="167"/>
      <c r="I12" s="168"/>
      <c r="J12" s="168"/>
      <c r="K12" s="168"/>
      <c r="L12" s="169"/>
      <c r="M12" s="158"/>
    </row>
    <row r="13" spans="1:13" ht="18" customHeight="1" x14ac:dyDescent="0.6">
      <c r="A13" s="158"/>
      <c r="B13" s="150"/>
      <c r="C13" s="150"/>
      <c r="D13" s="277"/>
      <c r="E13" s="266"/>
      <c r="F13" s="150"/>
      <c r="G13" s="150"/>
      <c r="H13" s="167"/>
      <c r="I13" s="279">
        <f>IFERROR(E17/D17-1, "")</f>
        <v>0</v>
      </c>
      <c r="J13" s="266"/>
      <c r="K13" s="266"/>
      <c r="L13" s="169"/>
      <c r="M13" s="170"/>
    </row>
    <row r="14" spans="1:13" ht="24" customHeight="1" x14ac:dyDescent="0.6">
      <c r="A14" s="150"/>
      <c r="B14" s="150"/>
      <c r="C14" s="150"/>
      <c r="D14" s="277"/>
      <c r="E14" s="266"/>
      <c r="F14" s="150"/>
      <c r="G14" s="150"/>
      <c r="H14" s="167"/>
      <c r="I14" s="280" t="str">
        <f>IF(I13 &lt; 0, "Decrease in total savings", "Increase in total savings")</f>
        <v>Increase in total savings</v>
      </c>
      <c r="J14" s="281"/>
      <c r="K14" s="281"/>
      <c r="L14" s="169"/>
      <c r="M14" s="170"/>
    </row>
    <row r="15" spans="1:13" ht="39.75" customHeight="1" x14ac:dyDescent="0.6">
      <c r="A15" s="150"/>
      <c r="B15" s="150"/>
      <c r="C15" s="150"/>
      <c r="D15" s="277"/>
      <c r="E15" s="266"/>
      <c r="F15" s="150"/>
      <c r="G15" s="150"/>
      <c r="H15" s="167"/>
      <c r="I15" s="279">
        <f>IFERROR(E17-D17, 0)</f>
        <v>0</v>
      </c>
      <c r="J15" s="266"/>
      <c r="K15" s="266"/>
      <c r="L15" s="169"/>
      <c r="M15" s="170"/>
    </row>
    <row r="16" spans="1:13" ht="18" customHeight="1" x14ac:dyDescent="0.35">
      <c r="A16" s="150"/>
      <c r="B16" s="162"/>
      <c r="C16" s="171"/>
      <c r="D16" s="172" t="s">
        <v>35</v>
      </c>
      <c r="E16" s="173" t="s">
        <v>36</v>
      </c>
      <c r="F16" s="171"/>
      <c r="G16" s="162"/>
      <c r="H16" s="167"/>
      <c r="I16" s="282" t="str">
        <f>IF(J15&lt;0, "Spent this month", "Saved this month")</f>
        <v>Saved this month</v>
      </c>
      <c r="J16" s="266"/>
      <c r="K16" s="266"/>
      <c r="L16" s="169"/>
      <c r="M16" s="174"/>
    </row>
    <row r="17" spans="1:13" ht="18" customHeight="1" x14ac:dyDescent="0.3">
      <c r="A17" s="158"/>
      <c r="B17" s="150"/>
      <c r="C17" s="158"/>
      <c r="D17" s="175">
        <f>IF(ISBLANK(L8),0,L8)</f>
        <v>3000000</v>
      </c>
      <c r="E17" s="176">
        <f>D17+(I22-C22)</f>
        <v>3000000</v>
      </c>
      <c r="F17" s="158"/>
      <c r="G17" s="150"/>
      <c r="H17" s="167"/>
      <c r="I17" s="283"/>
      <c r="J17" s="266"/>
      <c r="K17" s="266"/>
      <c r="L17" s="169"/>
      <c r="M17" s="158"/>
    </row>
    <row r="18" spans="1:13" ht="12" customHeight="1" x14ac:dyDescent="0.3">
      <c r="A18" s="158"/>
      <c r="B18" s="177"/>
      <c r="C18" s="177"/>
      <c r="D18" s="177"/>
      <c r="E18" s="157"/>
      <c r="F18" s="177"/>
      <c r="G18" s="158"/>
      <c r="H18" s="178"/>
      <c r="I18" s="179"/>
      <c r="J18" s="180"/>
      <c r="K18" s="179"/>
      <c r="L18" s="181"/>
      <c r="M18" s="158"/>
    </row>
    <row r="19" spans="1:13" ht="24" customHeight="1" x14ac:dyDescent="0.3">
      <c r="A19" s="158"/>
      <c r="B19" s="177"/>
      <c r="C19" s="177"/>
      <c r="D19" s="177"/>
      <c r="E19" s="177"/>
      <c r="F19" s="177"/>
      <c r="G19" s="158"/>
      <c r="H19" s="158"/>
      <c r="I19" s="158"/>
      <c r="J19" s="151"/>
      <c r="K19" s="158"/>
      <c r="L19" s="158"/>
      <c r="M19" s="158"/>
    </row>
    <row r="20" spans="1:13" ht="24" customHeight="1" x14ac:dyDescent="0.25">
      <c r="A20" s="182"/>
      <c r="B20" s="284" t="s">
        <v>10</v>
      </c>
      <c r="C20" s="266"/>
      <c r="D20" s="266"/>
      <c r="E20" s="266"/>
      <c r="F20" s="266"/>
      <c r="G20" s="182"/>
      <c r="H20" s="183" t="s">
        <v>9</v>
      </c>
      <c r="I20" s="183"/>
      <c r="J20" s="184"/>
      <c r="K20" s="182"/>
      <c r="L20" s="182"/>
      <c r="M20" s="182"/>
    </row>
    <row r="21" spans="1:13" ht="19.5" customHeight="1" x14ac:dyDescent="0.25">
      <c r="A21" s="185"/>
      <c r="B21" s="186" t="s">
        <v>37</v>
      </c>
      <c r="C21" s="187">
        <f>D26</f>
        <v>22450000</v>
      </c>
      <c r="D21" s="285" t="str">
        <f ca="1">IFERROR(__xludf.DUMMYFUNCTION("SPARKLINE(C21,{""charttype"",""bar"";""max"",max(C21:C22);""color1"",""#AEB7C0""})"),"")</f>
        <v/>
      </c>
      <c r="E21" s="266"/>
      <c r="F21" s="266"/>
      <c r="G21" s="185"/>
      <c r="H21" s="186" t="s">
        <v>37</v>
      </c>
      <c r="I21" s="187">
        <f>J26</f>
        <v>0</v>
      </c>
      <c r="J21" s="285" t="str">
        <f ca="1">IFERROR(__xludf.DUMMYFUNCTION("SPARKLINE(I21,{""charttype"",""bar"";""max"",max(I21:I22);""color1"",""#AEB7C0""})"),"")</f>
        <v/>
      </c>
      <c r="K21" s="266"/>
      <c r="L21" s="266"/>
      <c r="M21" s="185"/>
    </row>
    <row r="22" spans="1:13" ht="19.5" customHeight="1" x14ac:dyDescent="0.25">
      <c r="A22" s="188"/>
      <c r="B22" s="189" t="s">
        <v>38</v>
      </c>
      <c r="C22" s="190">
        <f>E26</f>
        <v>0</v>
      </c>
      <c r="D22" s="286" t="str">
        <f ca="1">IFERROR(__xludf.DUMMYFUNCTION("SPARKLINE(C22,{""charttype"",""bar"";""max"",max(C21:C22);""color1"",""#334960""})"),"")</f>
        <v/>
      </c>
      <c r="E22" s="266"/>
      <c r="F22" s="266"/>
      <c r="G22" s="177"/>
      <c r="H22" s="189" t="s">
        <v>38</v>
      </c>
      <c r="I22" s="190">
        <f>K26</f>
        <v>0</v>
      </c>
      <c r="J22" s="286" t="str">
        <f ca="1">IFERROR(__xludf.DUMMYFUNCTION("SPARKLINE(I22,{""charttype"",""bar"";""max"",max(I21:I22);""color1"",""#334960""})"),"")</f>
        <v/>
      </c>
      <c r="K22" s="266"/>
      <c r="L22" s="266"/>
      <c r="M22" s="188"/>
    </row>
    <row r="23" spans="1:13" ht="30" customHeight="1" x14ac:dyDescent="0.3">
      <c r="A23" s="150"/>
      <c r="B23" s="191"/>
      <c r="C23" s="192"/>
      <c r="D23" s="287"/>
      <c r="E23" s="266"/>
      <c r="F23" s="266"/>
      <c r="G23" s="150"/>
      <c r="H23" s="191"/>
      <c r="I23" s="192"/>
      <c r="J23" s="287"/>
      <c r="K23" s="266"/>
      <c r="L23" s="266"/>
      <c r="M23" s="188"/>
    </row>
    <row r="24" spans="1:13" ht="29.25" customHeight="1" x14ac:dyDescent="0.25">
      <c r="A24" s="193"/>
      <c r="B24" s="288" t="s">
        <v>10</v>
      </c>
      <c r="C24" s="266"/>
      <c r="D24" s="194"/>
      <c r="E24" s="194"/>
      <c r="F24" s="194"/>
      <c r="G24" s="195"/>
      <c r="H24" s="196" t="s">
        <v>9</v>
      </c>
      <c r="I24" s="197"/>
      <c r="J24" s="194"/>
      <c r="K24" s="194"/>
      <c r="L24" s="194"/>
      <c r="M24" s="193"/>
    </row>
    <row r="25" spans="1:13" ht="19.5" customHeight="1" x14ac:dyDescent="0.45">
      <c r="A25" s="198"/>
      <c r="B25" s="199"/>
      <c r="C25" s="200"/>
      <c r="D25" s="199" t="s">
        <v>37</v>
      </c>
      <c r="E25" s="199" t="s">
        <v>38</v>
      </c>
      <c r="F25" s="199" t="s">
        <v>39</v>
      </c>
      <c r="G25" s="201"/>
      <c r="H25" s="202"/>
      <c r="I25" s="203"/>
      <c r="J25" s="199" t="s">
        <v>37</v>
      </c>
      <c r="K25" s="199" t="s">
        <v>38</v>
      </c>
      <c r="L25" s="199" t="s">
        <v>39</v>
      </c>
      <c r="M25" s="198"/>
    </row>
    <row r="26" spans="1:13" ht="17.25" customHeight="1" x14ac:dyDescent="0.25">
      <c r="A26" s="204"/>
      <c r="B26" s="205" t="s">
        <v>40</v>
      </c>
      <c r="C26" s="205"/>
      <c r="D26" s="206">
        <f t="shared" ref="D26:F26" si="0">SUM(D27:D1044)</f>
        <v>22450000</v>
      </c>
      <c r="E26" s="206">
        <f t="shared" si="0"/>
        <v>0</v>
      </c>
      <c r="F26" s="206">
        <f t="shared" si="0"/>
        <v>22450000</v>
      </c>
      <c r="G26" s="207"/>
      <c r="H26" s="208" t="s">
        <v>40</v>
      </c>
      <c r="I26" s="206"/>
      <c r="J26" s="206">
        <f t="shared" ref="J26:L26" si="1">SUM(J27:J44)</f>
        <v>0</v>
      </c>
      <c r="K26" s="206">
        <f t="shared" si="1"/>
        <v>0</v>
      </c>
      <c r="L26" s="206">
        <f t="shared" si="1"/>
        <v>0</v>
      </c>
      <c r="M26" s="204"/>
    </row>
    <row r="27" spans="1:13" ht="18" hidden="1" customHeight="1" x14ac:dyDescent="0.25">
      <c r="A27" s="209"/>
      <c r="B27" s="289"/>
      <c r="C27" s="290"/>
      <c r="D27" s="210"/>
      <c r="E27" s="211" t="str">
        <f>IF(ISBLANK($B27), "", SUMIF('Trans Okt'!$E:$E,$B27,'Trans Okt'!$C:$C))</f>
        <v/>
      </c>
      <c r="F27" s="211" t="str">
        <f t="shared" ref="F27:F43" si="2">IF(ISBLANK($B27), "", D27-E27)</f>
        <v/>
      </c>
      <c r="G27" s="190"/>
      <c r="H27" s="291"/>
      <c r="I27" s="292"/>
      <c r="J27" s="212"/>
      <c r="K27" s="211" t="str">
        <f>IF(ISBLANK($H27), "", SUMIF('Trans Okt'!$J:$J,$H27,'Trans Okt'!$H:$H))</f>
        <v/>
      </c>
      <c r="L27" s="211" t="str">
        <f t="shared" ref="L27:L44" si="3">IF(ISBLANK($H27), "", K27-J27)</f>
        <v/>
      </c>
      <c r="M27" s="209"/>
    </row>
    <row r="28" spans="1:13" ht="18" customHeight="1" x14ac:dyDescent="0.25">
      <c r="A28" s="209"/>
      <c r="B28" s="267" t="s">
        <v>15</v>
      </c>
      <c r="C28" s="268"/>
      <c r="D28" s="213">
        <v>7000000</v>
      </c>
      <c r="E28" s="214">
        <f>IF(ISBLANK($B28), "", SUMIF('Trans Okt'!$E:$E,$B28,'Trans Okt'!$C:$C))</f>
        <v>0</v>
      </c>
      <c r="F28" s="214">
        <f t="shared" si="2"/>
        <v>7000000</v>
      </c>
      <c r="G28" s="215"/>
      <c r="H28" s="267" t="s">
        <v>41</v>
      </c>
      <c r="I28" s="268"/>
      <c r="J28" s="213"/>
      <c r="K28" s="211">
        <f>IF(ISBLANK($H28), "", SUMIF('Trans Okt'!$J:$J,$H28,'Trans Okt'!$H:$H))</f>
        <v>0</v>
      </c>
      <c r="L28" s="214">
        <f t="shared" si="3"/>
        <v>0</v>
      </c>
      <c r="M28" s="209"/>
    </row>
    <row r="29" spans="1:13" ht="18" customHeight="1" x14ac:dyDescent="0.25">
      <c r="A29" s="209"/>
      <c r="B29" s="267" t="s">
        <v>23</v>
      </c>
      <c r="C29" s="268"/>
      <c r="D29" s="213">
        <v>500000</v>
      </c>
      <c r="E29" s="214">
        <f>IF(ISBLANK($B29), "", SUMIF('Trans Okt'!$E:$E,$B29,'Trans Okt'!$C:$C))</f>
        <v>0</v>
      </c>
      <c r="F29" s="214">
        <f t="shared" si="2"/>
        <v>500000</v>
      </c>
      <c r="G29" s="217"/>
      <c r="H29" s="267" t="s">
        <v>42</v>
      </c>
      <c r="I29" s="268"/>
      <c r="J29" s="213"/>
      <c r="K29" s="211">
        <f>IF(ISBLANK($H29), "", SUMIF('Trans Okt'!$J:$J,$H29,'Trans Okt'!$H:$H))</f>
        <v>0</v>
      </c>
      <c r="L29" s="214">
        <f t="shared" si="3"/>
        <v>0</v>
      </c>
      <c r="M29" s="209"/>
    </row>
    <row r="30" spans="1:13" ht="18" customHeight="1" x14ac:dyDescent="0.25">
      <c r="A30" s="188"/>
      <c r="B30" s="267" t="s">
        <v>24</v>
      </c>
      <c r="C30" s="268"/>
      <c r="D30" s="213">
        <v>600000</v>
      </c>
      <c r="E30" s="214">
        <f>IF(ISBLANK($B30), "", SUMIF('Trans Okt'!$E:$E,$B30,'Trans Okt'!$C:$C))</f>
        <v>0</v>
      </c>
      <c r="F30" s="214">
        <f t="shared" si="2"/>
        <v>600000</v>
      </c>
      <c r="G30" s="217"/>
      <c r="H30" s="267" t="s">
        <v>43</v>
      </c>
      <c r="I30" s="268"/>
      <c r="J30" s="213"/>
      <c r="K30" s="211">
        <f>IF(ISBLANK($H30), "", SUMIF('Trans Okt'!$J:$J,$H30,'Trans Okt'!$H:$H))</f>
        <v>0</v>
      </c>
      <c r="L30" s="214">
        <f t="shared" si="3"/>
        <v>0</v>
      </c>
      <c r="M30" s="188"/>
    </row>
    <row r="31" spans="1:13" ht="18" customHeight="1" x14ac:dyDescent="0.25">
      <c r="A31" s="188"/>
      <c r="B31" s="267" t="s">
        <v>44</v>
      </c>
      <c r="C31" s="268"/>
      <c r="D31" s="213">
        <v>5000000</v>
      </c>
      <c r="E31" s="214">
        <f>IF(ISBLANK($B31), "", SUMIF('Trans Okt'!$E:$E,$B31,'Trans Okt'!$C:$C))</f>
        <v>0</v>
      </c>
      <c r="F31" s="214">
        <f t="shared" si="2"/>
        <v>5000000</v>
      </c>
      <c r="G31" s="217"/>
      <c r="H31" s="267" t="s">
        <v>45</v>
      </c>
      <c r="I31" s="268"/>
      <c r="J31" s="213"/>
      <c r="K31" s="211">
        <f>IF(ISBLANK($H31), "", SUMIF('Trans Okt'!$J:$J,$H31,'Trans Okt'!$H:$H))</f>
        <v>0</v>
      </c>
      <c r="L31" s="214">
        <f t="shared" si="3"/>
        <v>0</v>
      </c>
      <c r="M31" s="188"/>
    </row>
    <row r="32" spans="1:13" ht="18" customHeight="1" x14ac:dyDescent="0.25">
      <c r="A32" s="188"/>
      <c r="B32" s="267" t="s">
        <v>46</v>
      </c>
      <c r="C32" s="268"/>
      <c r="D32" s="213">
        <v>4000000</v>
      </c>
      <c r="E32" s="214">
        <f>IF(ISBLANK($B32), "", SUMIF('Trans Okt'!$E:$E,$B32,'Trans Okt'!$C:$C))</f>
        <v>0</v>
      </c>
      <c r="F32" s="214">
        <f t="shared" si="2"/>
        <v>4000000</v>
      </c>
      <c r="G32" s="217"/>
      <c r="H32" s="267" t="s">
        <v>47</v>
      </c>
      <c r="I32" s="268"/>
      <c r="J32" s="213"/>
      <c r="K32" s="211">
        <f>IF(ISBLANK($H32), "", SUMIF('Trans Okt'!$J:$J,$H32,'Trans Okt'!$H:$H))</f>
        <v>0</v>
      </c>
      <c r="L32" s="214">
        <f t="shared" si="3"/>
        <v>0</v>
      </c>
      <c r="M32" s="188"/>
    </row>
    <row r="33" spans="1:13" ht="18" customHeight="1" x14ac:dyDescent="0.25">
      <c r="A33" s="188"/>
      <c r="B33" s="267" t="s">
        <v>48</v>
      </c>
      <c r="C33" s="268"/>
      <c r="D33" s="213">
        <v>1500000</v>
      </c>
      <c r="E33" s="214">
        <f>IF(ISBLANK($B33), "", SUMIF('Trans Okt'!$E:$E,$B33,'Trans Okt'!$C:$C))</f>
        <v>0</v>
      </c>
      <c r="F33" s="214">
        <f t="shared" si="2"/>
        <v>1500000</v>
      </c>
      <c r="G33" s="217"/>
      <c r="H33" s="267" t="s">
        <v>49</v>
      </c>
      <c r="I33" s="268"/>
      <c r="J33" s="218"/>
      <c r="K33" s="211">
        <f>IF(ISBLANK($H33), "", SUMIF('Trans Okt'!$J:$J,$H33,'Trans Okt'!$H:$H))</f>
        <v>0</v>
      </c>
      <c r="L33" s="214">
        <f t="shared" si="3"/>
        <v>0</v>
      </c>
      <c r="M33" s="188"/>
    </row>
    <row r="34" spans="1:13" ht="18" customHeight="1" x14ac:dyDescent="0.25">
      <c r="A34" s="188"/>
      <c r="B34" s="267" t="s">
        <v>50</v>
      </c>
      <c r="C34" s="268"/>
      <c r="D34" s="213">
        <v>500000</v>
      </c>
      <c r="E34" s="214">
        <f>IF(ISBLANK($B34), "", SUMIF('Trans Okt'!$E:$E,$B34,'Trans Okt'!$C:$C))</f>
        <v>0</v>
      </c>
      <c r="F34" s="214">
        <f t="shared" si="2"/>
        <v>500000</v>
      </c>
      <c r="G34" s="217"/>
      <c r="H34" s="267" t="s">
        <v>51</v>
      </c>
      <c r="I34" s="268"/>
      <c r="J34" s="218"/>
      <c r="K34" s="211">
        <f>IF(ISBLANK($H34), "", SUMIF('Trans Okt'!$J:$J,$H34,'Trans Okt'!$H:$H))</f>
        <v>0</v>
      </c>
      <c r="L34" s="214">
        <f t="shared" si="3"/>
        <v>0</v>
      </c>
      <c r="M34" s="188"/>
    </row>
    <row r="35" spans="1:13" ht="18" customHeight="1" x14ac:dyDescent="0.3">
      <c r="A35" s="188"/>
      <c r="B35" s="267" t="s">
        <v>52</v>
      </c>
      <c r="C35" s="268"/>
      <c r="D35" s="213">
        <v>500000</v>
      </c>
      <c r="E35" s="214">
        <f>IF(ISBLANK($B35), "", SUMIF('Trans Okt'!$E:$E,$B35,'Trans Okt'!$C:$C))</f>
        <v>0</v>
      </c>
      <c r="F35" s="214">
        <f t="shared" si="2"/>
        <v>500000</v>
      </c>
      <c r="G35" s="217"/>
      <c r="H35" s="293"/>
      <c r="I35" s="268"/>
      <c r="J35" s="219"/>
      <c r="K35" s="211" t="str">
        <f>IF(ISBLANK($H35), "", SUMIF('Trans Okt'!$J:$J,$H35,'Trans Okt'!$H:$H))</f>
        <v/>
      </c>
      <c r="L35" s="214" t="str">
        <f t="shared" si="3"/>
        <v/>
      </c>
      <c r="M35" s="188"/>
    </row>
    <row r="36" spans="1:13" ht="18" customHeight="1" x14ac:dyDescent="0.3">
      <c r="A36" s="188"/>
      <c r="B36" s="267" t="s">
        <v>53</v>
      </c>
      <c r="C36" s="268"/>
      <c r="D36" s="213">
        <v>500000</v>
      </c>
      <c r="E36" s="214">
        <f>IF(ISBLANK($B36), "", SUMIF('Trans Okt'!$E:$E,$B36,'Trans Okt'!$C:$C))</f>
        <v>0</v>
      </c>
      <c r="F36" s="214">
        <f t="shared" si="2"/>
        <v>500000</v>
      </c>
      <c r="G36" s="216"/>
      <c r="H36" s="293"/>
      <c r="I36" s="268"/>
      <c r="J36" s="219"/>
      <c r="K36" s="211" t="str">
        <f>IF(ISBLANK($H36), "", SUMIF('Trans Okt'!$J:$J,$H36,'Trans Okt'!$H:$H))</f>
        <v/>
      </c>
      <c r="L36" s="214" t="str">
        <f t="shared" si="3"/>
        <v/>
      </c>
      <c r="M36" s="188"/>
    </row>
    <row r="37" spans="1:13" ht="18" customHeight="1" x14ac:dyDescent="0.3">
      <c r="A37" s="188"/>
      <c r="B37" s="267" t="s">
        <v>54</v>
      </c>
      <c r="C37" s="268"/>
      <c r="D37" s="213">
        <v>500000</v>
      </c>
      <c r="E37" s="214">
        <f>IF(ISBLANK($B37), "", SUMIF('Trans Okt'!$E:$E,$B37,'Trans Okt'!$C:$C))</f>
        <v>0</v>
      </c>
      <c r="F37" s="214">
        <f t="shared" si="2"/>
        <v>500000</v>
      </c>
      <c r="G37" s="217"/>
      <c r="H37" s="293"/>
      <c r="I37" s="268"/>
      <c r="J37" s="219"/>
      <c r="K37" s="211" t="str">
        <f>IF(ISBLANK($H37), "", SUMIF('Trans Okt'!$J:$J,$H37,'Trans Okt'!$H:$H))</f>
        <v/>
      </c>
      <c r="L37" s="214" t="str">
        <f t="shared" si="3"/>
        <v/>
      </c>
      <c r="M37" s="188"/>
    </row>
    <row r="38" spans="1:13" ht="18" customHeight="1" x14ac:dyDescent="0.3">
      <c r="A38" s="188"/>
      <c r="B38" s="267" t="s">
        <v>55</v>
      </c>
      <c r="C38" s="268"/>
      <c r="D38" s="213">
        <v>200000</v>
      </c>
      <c r="E38" s="214">
        <f>IF(ISBLANK($B38), "", SUMIF('Trans Okt'!$E:$E,$B38,'Trans Okt'!$C:$C))</f>
        <v>0</v>
      </c>
      <c r="F38" s="214">
        <f t="shared" si="2"/>
        <v>200000</v>
      </c>
      <c r="G38" s="217"/>
      <c r="H38" s="293"/>
      <c r="I38" s="268"/>
      <c r="J38" s="219"/>
      <c r="K38" s="211" t="str">
        <f>IF(ISBLANK($H38), "", SUMIF('Trans Okt'!$J:$J,$H38,'Trans Okt'!$H:$H))</f>
        <v/>
      </c>
      <c r="L38" s="214" t="str">
        <f t="shared" si="3"/>
        <v/>
      </c>
      <c r="M38" s="188"/>
    </row>
    <row r="39" spans="1:13" ht="18" customHeight="1" x14ac:dyDescent="0.3">
      <c r="A39" s="188"/>
      <c r="B39" s="267" t="s">
        <v>56</v>
      </c>
      <c r="C39" s="268"/>
      <c r="D39" s="213">
        <v>150000</v>
      </c>
      <c r="E39" s="214">
        <f>IF(ISBLANK($B39), "", SUMIF('Trans Okt'!$E:$E,$B39,'Trans Okt'!$C:$C))</f>
        <v>0</v>
      </c>
      <c r="F39" s="214">
        <f t="shared" si="2"/>
        <v>150000</v>
      </c>
      <c r="G39" s="216"/>
      <c r="H39" s="293"/>
      <c r="I39" s="268"/>
      <c r="J39" s="219"/>
      <c r="K39" s="211" t="str">
        <f>IF(ISBLANK($H39), "", SUMIF('Trans Okt'!$J:$J,$H39,'Trans Okt'!$H:$H))</f>
        <v/>
      </c>
      <c r="L39" s="214" t="str">
        <f t="shared" si="3"/>
        <v/>
      </c>
      <c r="M39" s="188"/>
    </row>
    <row r="40" spans="1:13" ht="18" customHeight="1" x14ac:dyDescent="0.3">
      <c r="A40" s="188"/>
      <c r="B40" s="267" t="s">
        <v>57</v>
      </c>
      <c r="C40" s="268"/>
      <c r="D40" s="213">
        <v>1500000</v>
      </c>
      <c r="E40" s="214">
        <f>IF(ISBLANK($B40), "", SUMIF('Trans Okt'!$E:$E,$B40,'Trans Okt'!$C:$C))</f>
        <v>0</v>
      </c>
      <c r="F40" s="214">
        <f t="shared" si="2"/>
        <v>1500000</v>
      </c>
      <c r="G40" s="249"/>
      <c r="H40" s="293"/>
      <c r="I40" s="268"/>
      <c r="J40" s="219"/>
      <c r="K40" s="211" t="str">
        <f>IF(ISBLANK($H40), "", SUMIF('Trans Okt'!$J:$J,$H40,'Trans Okt'!$H:$H))</f>
        <v/>
      </c>
      <c r="L40" s="214" t="str">
        <f t="shared" si="3"/>
        <v/>
      </c>
      <c r="M40" s="188"/>
    </row>
    <row r="41" spans="1:13" ht="18" customHeight="1" x14ac:dyDescent="0.3">
      <c r="A41" s="188"/>
      <c r="B41" s="267" t="s">
        <v>58</v>
      </c>
      <c r="C41" s="268"/>
      <c r="D41" s="220">
        <v>0</v>
      </c>
      <c r="E41" s="214">
        <f>IF(ISBLANK($B41), "", SUMIF('Trans Okt'!$E:$E,$B41,'Trans Okt'!$C:$C))</f>
        <v>0</v>
      </c>
      <c r="F41" s="214">
        <f t="shared" si="2"/>
        <v>0</v>
      </c>
      <c r="G41" s="217"/>
      <c r="H41" s="293"/>
      <c r="I41" s="268"/>
      <c r="J41" s="219"/>
      <c r="K41" s="211" t="str">
        <f>IF(ISBLANK($H41), "", SUMIF('Trans Okt'!$J:$J,$H41,'Trans Okt'!$H:$H))</f>
        <v/>
      </c>
      <c r="L41" s="214" t="str">
        <f t="shared" si="3"/>
        <v/>
      </c>
      <c r="M41" s="188"/>
    </row>
    <row r="42" spans="1:13" ht="19.5" customHeight="1" x14ac:dyDescent="0.3">
      <c r="A42" s="188"/>
      <c r="B42" s="267" t="s">
        <v>59</v>
      </c>
      <c r="C42" s="268"/>
      <c r="D42" s="213">
        <v>0</v>
      </c>
      <c r="E42" s="214">
        <f>IF(ISBLANK($B42), "", SUMIF('Trans Okt'!$E:$E,$B42,'Trans Okt'!$C:$C))</f>
        <v>0</v>
      </c>
      <c r="F42" s="214">
        <f t="shared" si="2"/>
        <v>0</v>
      </c>
      <c r="G42" s="216"/>
      <c r="H42" s="293"/>
      <c r="I42" s="268"/>
      <c r="J42" s="219"/>
      <c r="K42" s="211" t="str">
        <f>IF(ISBLANK($H42), "", SUMIF('Trans Okt'!$J:$J,$H42,'Trans Okt'!$H:$H))</f>
        <v/>
      </c>
      <c r="L42" s="214" t="str">
        <f t="shared" si="3"/>
        <v/>
      </c>
      <c r="M42" s="188"/>
    </row>
    <row r="43" spans="1:13" ht="18" customHeight="1" x14ac:dyDescent="0.3">
      <c r="A43" s="188"/>
      <c r="B43" s="267"/>
      <c r="C43" s="268"/>
      <c r="D43" s="220"/>
      <c r="E43" s="211"/>
      <c r="F43" s="214" t="str">
        <f t="shared" si="2"/>
        <v/>
      </c>
      <c r="G43" s="216"/>
      <c r="H43" s="267"/>
      <c r="I43" s="268"/>
      <c r="J43" s="218"/>
      <c r="K43" s="211" t="str">
        <f>IF(ISBLANK($H43), "", SUMIF('Trans Okt'!$J:$J,$H43,'Trans Okt'!$H:$H))</f>
        <v/>
      </c>
      <c r="L43" s="214" t="str">
        <f t="shared" si="3"/>
        <v/>
      </c>
      <c r="M43" s="188"/>
    </row>
    <row r="44" spans="1:13" ht="18" customHeight="1" x14ac:dyDescent="0.25">
      <c r="A44" s="188"/>
      <c r="B44" s="267"/>
      <c r="C44" s="268"/>
      <c r="D44" s="218"/>
      <c r="E44" s="211" t="str">
        <f>IF(ISBLANK($B44), "", SUMIF('Trans Okt'!$E:$E,$B44,'Trans Okt'!$C:$C))</f>
        <v/>
      </c>
      <c r="F44" s="214"/>
      <c r="G44" s="216"/>
      <c r="H44" s="267"/>
      <c r="I44" s="268"/>
      <c r="J44" s="218"/>
      <c r="K44" s="211" t="str">
        <f>IF(ISBLANK($H44), "", SUMIF('Trans Okt'!$J:$J,$H44,'Trans Okt'!$H:$H))</f>
        <v/>
      </c>
      <c r="L44" s="214" t="str">
        <f t="shared" si="3"/>
        <v/>
      </c>
      <c r="M44" s="188"/>
    </row>
    <row r="45" spans="1:13" ht="18" customHeight="1" x14ac:dyDescent="0.25">
      <c r="A45" s="188"/>
      <c r="B45" s="221"/>
      <c r="C45" s="221"/>
      <c r="D45" s="252"/>
      <c r="E45" s="211"/>
      <c r="F45" s="214"/>
      <c r="G45" s="216"/>
      <c r="H45" s="221"/>
      <c r="I45" s="221"/>
      <c r="J45" s="222"/>
      <c r="K45" s="211"/>
      <c r="L45" s="214"/>
      <c r="M45" s="188"/>
    </row>
    <row r="46" spans="1:13" ht="18" customHeight="1" x14ac:dyDescent="0.25">
      <c r="A46" s="188"/>
      <c r="B46" s="221"/>
      <c r="C46" s="221"/>
      <c r="D46" s="252"/>
      <c r="E46" s="211"/>
      <c r="F46" s="214"/>
      <c r="G46" s="216"/>
      <c r="H46" s="221"/>
      <c r="I46" s="221"/>
      <c r="J46" s="222"/>
      <c r="K46" s="211"/>
      <c r="L46" s="214"/>
      <c r="M46" s="188"/>
    </row>
    <row r="47" spans="1:13" ht="18" customHeight="1" x14ac:dyDescent="0.25">
      <c r="A47" s="188"/>
      <c r="B47" s="221"/>
      <c r="C47" s="221"/>
      <c r="D47" s="252"/>
      <c r="E47" s="211"/>
      <c r="F47" s="214"/>
      <c r="G47" s="216"/>
      <c r="H47" s="221"/>
      <c r="I47" s="221"/>
      <c r="J47" s="222"/>
      <c r="K47" s="211"/>
      <c r="L47" s="214"/>
      <c r="M47" s="188"/>
    </row>
    <row r="48" spans="1:13" ht="18" customHeight="1" x14ac:dyDescent="0.25">
      <c r="A48" s="188"/>
      <c r="B48" s="221"/>
      <c r="C48" s="221"/>
      <c r="D48" s="222"/>
      <c r="E48" s="211"/>
      <c r="F48" s="214"/>
      <c r="G48" s="216"/>
      <c r="H48" s="221"/>
      <c r="I48" s="221"/>
      <c r="J48" s="222"/>
      <c r="K48" s="211"/>
      <c r="L48" s="214"/>
      <c r="M48" s="188"/>
    </row>
    <row r="49" spans="1:13" ht="18" customHeight="1" x14ac:dyDescent="0.25">
      <c r="A49" s="188"/>
      <c r="B49" s="221"/>
      <c r="C49" s="221"/>
      <c r="D49" s="222"/>
      <c r="E49" s="211"/>
      <c r="F49" s="214"/>
      <c r="G49" s="216"/>
      <c r="H49" s="221"/>
      <c r="I49" s="221"/>
      <c r="J49" s="222"/>
      <c r="K49" s="211"/>
      <c r="L49" s="214"/>
      <c r="M49" s="188"/>
    </row>
    <row r="50" spans="1:13" ht="18" customHeight="1" x14ac:dyDescent="0.25">
      <c r="A50" s="188"/>
      <c r="B50" s="221"/>
      <c r="C50" s="221"/>
      <c r="D50" s="222"/>
      <c r="E50" s="211"/>
      <c r="F50" s="214"/>
      <c r="G50" s="216"/>
      <c r="H50" s="221"/>
      <c r="I50" s="221"/>
      <c r="J50" s="222"/>
      <c r="K50" s="211"/>
      <c r="L50" s="214"/>
      <c r="M50" s="188"/>
    </row>
    <row r="51" spans="1:13" ht="18" customHeight="1" x14ac:dyDescent="0.25">
      <c r="A51" s="188"/>
      <c r="B51" s="221"/>
      <c r="C51" s="221"/>
      <c r="D51" s="222"/>
      <c r="E51" s="211"/>
      <c r="F51" s="214"/>
      <c r="G51" s="216"/>
      <c r="H51" s="221"/>
      <c r="I51" s="221"/>
      <c r="J51" s="222"/>
      <c r="K51" s="211"/>
      <c r="L51" s="214"/>
      <c r="M51" s="188"/>
    </row>
    <row r="52" spans="1:13" ht="18" customHeight="1" x14ac:dyDescent="0.25">
      <c r="A52" s="188"/>
      <c r="B52" s="221"/>
      <c r="C52" s="221"/>
      <c r="D52" s="222"/>
      <c r="E52" s="211"/>
      <c r="F52" s="214"/>
      <c r="G52" s="216"/>
      <c r="H52" s="221"/>
      <c r="I52" s="221"/>
      <c r="J52" s="222"/>
      <c r="K52" s="211"/>
      <c r="L52" s="214"/>
      <c r="M52" s="188"/>
    </row>
    <row r="53" spans="1:13" ht="18" customHeight="1" x14ac:dyDescent="0.25">
      <c r="A53" s="188"/>
      <c r="B53" s="221"/>
      <c r="C53" s="221"/>
      <c r="D53" s="222"/>
      <c r="E53" s="211"/>
      <c r="F53" s="214"/>
      <c r="G53" s="216"/>
      <c r="H53" s="221"/>
      <c r="I53" s="221"/>
      <c r="J53" s="222"/>
      <c r="K53" s="211"/>
      <c r="L53" s="214"/>
      <c r="M53" s="188"/>
    </row>
    <row r="54" spans="1:13" ht="18" customHeight="1" x14ac:dyDescent="0.25">
      <c r="A54" s="188"/>
      <c r="B54" s="221"/>
      <c r="C54" s="221"/>
      <c r="D54" s="222"/>
      <c r="E54" s="211"/>
      <c r="F54" s="214"/>
      <c r="G54" s="216"/>
      <c r="H54" s="221"/>
      <c r="I54" s="221"/>
      <c r="J54" s="222"/>
      <c r="K54" s="211"/>
      <c r="L54" s="214"/>
      <c r="M54" s="188"/>
    </row>
    <row r="55" spans="1:13" ht="18" customHeight="1" x14ac:dyDescent="0.25">
      <c r="A55" s="188"/>
      <c r="B55" s="221"/>
      <c r="C55" s="221"/>
      <c r="D55" s="222"/>
      <c r="E55" s="211"/>
      <c r="F55" s="214"/>
      <c r="G55" s="216"/>
      <c r="H55" s="221"/>
      <c r="I55" s="221"/>
      <c r="J55" s="222"/>
      <c r="K55" s="211"/>
      <c r="L55" s="214"/>
      <c r="M55" s="188"/>
    </row>
    <row r="56" spans="1:13" ht="18" customHeight="1" x14ac:dyDescent="0.25">
      <c r="A56" s="188"/>
      <c r="B56" s="221"/>
      <c r="C56" s="221"/>
      <c r="D56" s="222"/>
      <c r="E56" s="211"/>
      <c r="F56" s="214"/>
      <c r="G56" s="216"/>
      <c r="H56" s="221"/>
      <c r="I56" s="221"/>
      <c r="J56" s="222"/>
      <c r="K56" s="211"/>
      <c r="L56" s="214"/>
      <c r="M56" s="188"/>
    </row>
    <row r="57" spans="1:13" ht="18" customHeight="1" x14ac:dyDescent="0.25">
      <c r="A57" s="188"/>
      <c r="B57" s="221"/>
      <c r="C57" s="221"/>
      <c r="D57" s="222"/>
      <c r="E57" s="211"/>
      <c r="F57" s="214"/>
      <c r="G57" s="216"/>
      <c r="H57" s="221"/>
      <c r="I57" s="221"/>
      <c r="J57" s="222"/>
      <c r="K57" s="211"/>
      <c r="L57" s="214"/>
      <c r="M57" s="188"/>
    </row>
    <row r="58" spans="1:13" ht="18" customHeight="1" x14ac:dyDescent="0.25">
      <c r="A58" s="188"/>
      <c r="B58" s="221"/>
      <c r="C58" s="221"/>
      <c r="D58" s="222"/>
      <c r="E58" s="211"/>
      <c r="F58" s="214"/>
      <c r="G58" s="216"/>
      <c r="H58" s="221"/>
      <c r="I58" s="221"/>
      <c r="J58" s="222"/>
      <c r="K58" s="211"/>
      <c r="L58" s="214"/>
      <c r="M58" s="188"/>
    </row>
    <row r="59" spans="1:13" ht="18" customHeight="1" x14ac:dyDescent="0.25">
      <c r="A59" s="188"/>
      <c r="B59" s="221"/>
      <c r="C59" s="221"/>
      <c r="D59" s="222"/>
      <c r="E59" s="211"/>
      <c r="F59" s="214"/>
      <c r="G59" s="216"/>
      <c r="H59" s="221"/>
      <c r="I59" s="221"/>
      <c r="J59" s="222"/>
      <c r="K59" s="211"/>
      <c r="L59" s="214"/>
      <c r="M59" s="188"/>
    </row>
    <row r="60" spans="1:13" ht="18" customHeight="1" x14ac:dyDescent="0.25">
      <c r="A60" s="188"/>
      <c r="B60" s="221"/>
      <c r="C60" s="221"/>
      <c r="D60" s="222"/>
      <c r="E60" s="211"/>
      <c r="F60" s="214"/>
      <c r="G60" s="216"/>
      <c r="H60" s="221"/>
      <c r="I60" s="221"/>
      <c r="J60" s="222"/>
      <c r="K60" s="211"/>
      <c r="L60" s="214"/>
      <c r="M60" s="188"/>
    </row>
    <row r="61" spans="1:13" ht="18" customHeight="1" x14ac:dyDescent="0.25">
      <c r="A61" s="188"/>
      <c r="B61" s="221"/>
      <c r="C61" s="221"/>
      <c r="D61" s="222"/>
      <c r="E61" s="211"/>
      <c r="F61" s="214"/>
      <c r="G61" s="216"/>
      <c r="H61" s="221"/>
      <c r="I61" s="221"/>
      <c r="J61" s="222"/>
      <c r="K61" s="211"/>
      <c r="L61" s="214"/>
      <c r="M61" s="188"/>
    </row>
    <row r="62" spans="1:13" ht="18" customHeight="1" x14ac:dyDescent="0.25">
      <c r="A62" s="188"/>
      <c r="B62" s="221"/>
      <c r="C62" s="221"/>
      <c r="D62" s="222"/>
      <c r="E62" s="211"/>
      <c r="F62" s="214"/>
      <c r="G62" s="216"/>
      <c r="H62" s="221"/>
      <c r="I62" s="221"/>
      <c r="J62" s="222"/>
      <c r="K62" s="211"/>
      <c r="L62" s="214"/>
      <c r="M62" s="188"/>
    </row>
    <row r="63" spans="1:13" ht="18" customHeight="1" x14ac:dyDescent="0.25">
      <c r="A63" s="188"/>
      <c r="B63" s="221"/>
      <c r="C63" s="221"/>
      <c r="D63" s="222"/>
      <c r="E63" s="211"/>
      <c r="F63" s="214"/>
      <c r="G63" s="216"/>
      <c r="H63" s="221"/>
      <c r="I63" s="221"/>
      <c r="J63" s="222"/>
      <c r="K63" s="211"/>
      <c r="L63" s="214"/>
      <c r="M63" s="188"/>
    </row>
    <row r="64" spans="1:13" ht="18" customHeight="1" x14ac:dyDescent="0.25">
      <c r="A64" s="188"/>
      <c r="B64" s="221"/>
      <c r="C64" s="221"/>
      <c r="D64" s="222"/>
      <c r="E64" s="211"/>
      <c r="F64" s="214"/>
      <c r="G64" s="216"/>
      <c r="H64" s="221"/>
      <c r="I64" s="221"/>
      <c r="J64" s="222"/>
      <c r="K64" s="211"/>
      <c r="L64" s="214"/>
      <c r="M64" s="188"/>
    </row>
    <row r="65" spans="1:13" ht="18" customHeight="1" x14ac:dyDescent="0.25">
      <c r="A65" s="188"/>
      <c r="B65" s="221"/>
      <c r="C65" s="221"/>
      <c r="D65" s="222"/>
      <c r="E65" s="211"/>
      <c r="F65" s="214"/>
      <c r="G65" s="216"/>
      <c r="H65" s="221"/>
      <c r="I65" s="221"/>
      <c r="J65" s="222"/>
      <c r="K65" s="211"/>
      <c r="L65" s="214"/>
      <c r="M65" s="188"/>
    </row>
    <row r="66" spans="1:13" ht="18" customHeight="1" x14ac:dyDescent="0.25">
      <c r="A66" s="188"/>
      <c r="B66" s="221"/>
      <c r="C66" s="221"/>
      <c r="D66" s="222"/>
      <c r="E66" s="211"/>
      <c r="F66" s="214"/>
      <c r="G66" s="216"/>
      <c r="H66" s="221"/>
      <c r="I66" s="221"/>
      <c r="J66" s="222"/>
      <c r="K66" s="211"/>
      <c r="L66" s="214"/>
      <c r="M66" s="188"/>
    </row>
    <row r="67" spans="1:13" ht="18" customHeight="1" x14ac:dyDescent="0.25">
      <c r="A67" s="188"/>
      <c r="B67" s="221"/>
      <c r="C67" s="221"/>
      <c r="D67" s="222"/>
      <c r="E67" s="211"/>
      <c r="F67" s="214"/>
      <c r="G67" s="216"/>
      <c r="H67" s="221"/>
      <c r="I67" s="221"/>
      <c r="J67" s="222"/>
      <c r="K67" s="211"/>
      <c r="L67" s="214"/>
      <c r="M67" s="188"/>
    </row>
    <row r="68" spans="1:13" ht="18" customHeight="1" x14ac:dyDescent="0.25">
      <c r="A68" s="188"/>
      <c r="B68" s="221"/>
      <c r="C68" s="221"/>
      <c r="D68" s="222"/>
      <c r="E68" s="211"/>
      <c r="F68" s="214"/>
      <c r="G68" s="216"/>
      <c r="H68" s="221"/>
      <c r="I68" s="221"/>
      <c r="J68" s="222"/>
      <c r="K68" s="211"/>
      <c r="L68" s="214"/>
      <c r="M68" s="188"/>
    </row>
    <row r="69" spans="1:13" ht="18" customHeight="1" x14ac:dyDescent="0.25">
      <c r="A69" s="188"/>
      <c r="B69" s="221"/>
      <c r="C69" s="221"/>
      <c r="D69" s="222"/>
      <c r="E69" s="211"/>
      <c r="F69" s="214"/>
      <c r="G69" s="216"/>
      <c r="H69" s="221"/>
      <c r="I69" s="221"/>
      <c r="J69" s="222"/>
      <c r="K69" s="211"/>
      <c r="L69" s="214"/>
      <c r="M69" s="188"/>
    </row>
    <row r="70" spans="1:13" ht="18" customHeight="1" x14ac:dyDescent="0.25">
      <c r="A70" s="188"/>
      <c r="B70" s="221"/>
      <c r="C70" s="221"/>
      <c r="D70" s="222"/>
      <c r="E70" s="211"/>
      <c r="F70" s="214"/>
      <c r="G70" s="216"/>
      <c r="H70" s="221"/>
      <c r="I70" s="221"/>
      <c r="J70" s="222"/>
      <c r="K70" s="211"/>
      <c r="L70" s="214"/>
      <c r="M70" s="188"/>
    </row>
    <row r="71" spans="1:13" ht="18" customHeight="1" x14ac:dyDescent="0.25">
      <c r="A71" s="188"/>
      <c r="B71" s="221"/>
      <c r="C71" s="221"/>
      <c r="D71" s="222"/>
      <c r="E71" s="211"/>
      <c r="F71" s="214"/>
      <c r="G71" s="216"/>
      <c r="H71" s="221"/>
      <c r="I71" s="221"/>
      <c r="J71" s="222"/>
      <c r="K71" s="211"/>
      <c r="L71" s="214"/>
      <c r="M71" s="188"/>
    </row>
    <row r="72" spans="1:13" ht="18" customHeight="1" x14ac:dyDescent="0.25">
      <c r="A72" s="188"/>
      <c r="B72" s="221"/>
      <c r="C72" s="221"/>
      <c r="D72" s="222"/>
      <c r="E72" s="211"/>
      <c r="F72" s="214"/>
      <c r="G72" s="216"/>
      <c r="H72" s="221"/>
      <c r="I72" s="221"/>
      <c r="J72" s="222"/>
      <c r="K72" s="211"/>
      <c r="L72" s="214"/>
      <c r="M72" s="188"/>
    </row>
    <row r="73" spans="1:13" ht="18" customHeight="1" x14ac:dyDescent="0.25">
      <c r="A73" s="188"/>
      <c r="B73" s="221"/>
      <c r="C73" s="221"/>
      <c r="D73" s="222"/>
      <c r="E73" s="211"/>
      <c r="F73" s="214"/>
      <c r="G73" s="216"/>
      <c r="H73" s="221"/>
      <c r="I73" s="221"/>
      <c r="J73" s="222"/>
      <c r="K73" s="211"/>
      <c r="L73" s="214"/>
      <c r="M73" s="188"/>
    </row>
    <row r="74" spans="1:13" ht="18" customHeight="1" x14ac:dyDescent="0.25">
      <c r="A74" s="188"/>
      <c r="B74" s="221"/>
      <c r="C74" s="221"/>
      <c r="D74" s="222"/>
      <c r="E74" s="211"/>
      <c r="F74" s="214"/>
      <c r="G74" s="216"/>
      <c r="H74" s="221"/>
      <c r="I74" s="221"/>
      <c r="J74" s="222"/>
      <c r="K74" s="211"/>
      <c r="L74" s="214"/>
      <c r="M74" s="188"/>
    </row>
    <row r="75" spans="1:13" ht="18" customHeight="1" x14ac:dyDescent="0.25">
      <c r="A75" s="188"/>
      <c r="B75" s="221"/>
      <c r="C75" s="221"/>
      <c r="D75" s="222"/>
      <c r="E75" s="211"/>
      <c r="F75" s="214"/>
      <c r="G75" s="216"/>
      <c r="H75" s="221"/>
      <c r="I75" s="221"/>
      <c r="J75" s="222"/>
      <c r="K75" s="211"/>
      <c r="L75" s="214"/>
      <c r="M75" s="188"/>
    </row>
    <row r="76" spans="1:13" ht="18" customHeight="1" x14ac:dyDescent="0.25">
      <c r="A76" s="188"/>
      <c r="B76" s="221"/>
      <c r="C76" s="221"/>
      <c r="D76" s="222"/>
      <c r="E76" s="211"/>
      <c r="F76" s="214"/>
      <c r="G76" s="216"/>
      <c r="H76" s="221"/>
      <c r="I76" s="221"/>
      <c r="J76" s="222"/>
      <c r="K76" s="211"/>
      <c r="L76" s="214"/>
      <c r="M76" s="188"/>
    </row>
    <row r="77" spans="1:13" ht="18" customHeight="1" x14ac:dyDescent="0.25">
      <c r="A77" s="188"/>
      <c r="B77" s="221"/>
      <c r="C77" s="221"/>
      <c r="D77" s="222"/>
      <c r="E77" s="211"/>
      <c r="F77" s="214"/>
      <c r="G77" s="216"/>
      <c r="H77" s="221"/>
      <c r="I77" s="221"/>
      <c r="J77" s="222"/>
      <c r="K77" s="211"/>
      <c r="L77" s="214"/>
      <c r="M77" s="188"/>
    </row>
    <row r="78" spans="1:13" ht="18" customHeight="1" x14ac:dyDescent="0.25">
      <c r="A78" s="188"/>
      <c r="B78" s="221"/>
      <c r="C78" s="221"/>
      <c r="D78" s="222"/>
      <c r="E78" s="211"/>
      <c r="F78" s="214"/>
      <c r="G78" s="216"/>
      <c r="H78" s="221"/>
      <c r="I78" s="221"/>
      <c r="J78" s="222"/>
      <c r="K78" s="211"/>
      <c r="L78" s="214"/>
      <c r="M78" s="188"/>
    </row>
    <row r="79" spans="1:13" ht="18" customHeight="1" x14ac:dyDescent="0.25">
      <c r="A79" s="188"/>
      <c r="B79" s="221"/>
      <c r="C79" s="221"/>
      <c r="D79" s="222"/>
      <c r="E79" s="211"/>
      <c r="F79" s="214"/>
      <c r="G79" s="216"/>
      <c r="H79" s="221"/>
      <c r="I79" s="221"/>
      <c r="J79" s="222"/>
      <c r="K79" s="211"/>
      <c r="L79" s="214"/>
      <c r="M79" s="188"/>
    </row>
    <row r="80" spans="1:13" ht="18" customHeight="1" x14ac:dyDescent="0.25">
      <c r="A80" s="188"/>
      <c r="B80" s="221"/>
      <c r="C80" s="221"/>
      <c r="D80" s="222"/>
      <c r="E80" s="211"/>
      <c r="F80" s="214"/>
      <c r="G80" s="216"/>
      <c r="H80" s="221"/>
      <c r="I80" s="221"/>
      <c r="J80" s="222"/>
      <c r="K80" s="211"/>
      <c r="L80" s="214"/>
      <c r="M80" s="188"/>
    </row>
    <row r="81" spans="1:13" ht="18" customHeight="1" x14ac:dyDescent="0.25">
      <c r="A81" s="188"/>
      <c r="B81" s="221"/>
      <c r="C81" s="221"/>
      <c r="D81" s="222"/>
      <c r="E81" s="211"/>
      <c r="F81" s="214"/>
      <c r="G81" s="216"/>
      <c r="H81" s="221"/>
      <c r="I81" s="221"/>
      <c r="J81" s="222"/>
      <c r="K81" s="211"/>
      <c r="L81" s="214"/>
      <c r="M81" s="188"/>
    </row>
    <row r="82" spans="1:13" ht="18" customHeight="1" x14ac:dyDescent="0.25">
      <c r="A82" s="188"/>
      <c r="B82" s="221"/>
      <c r="C82" s="221"/>
      <c r="D82" s="222"/>
      <c r="E82" s="211"/>
      <c r="F82" s="214"/>
      <c r="G82" s="216"/>
      <c r="H82" s="221"/>
      <c r="I82" s="221"/>
      <c r="J82" s="222"/>
      <c r="K82" s="211"/>
      <c r="L82" s="214"/>
      <c r="M82" s="188"/>
    </row>
    <row r="83" spans="1:13" ht="18" customHeight="1" x14ac:dyDescent="0.25">
      <c r="A83" s="188"/>
      <c r="B83" s="221"/>
      <c r="C83" s="221"/>
      <c r="D83" s="222"/>
      <c r="E83" s="211"/>
      <c r="F83" s="214"/>
      <c r="G83" s="216"/>
      <c r="H83" s="221"/>
      <c r="I83" s="221"/>
      <c r="J83" s="222"/>
      <c r="K83" s="211"/>
      <c r="L83" s="214"/>
      <c r="M83" s="188"/>
    </row>
    <row r="84" spans="1:13" ht="18" customHeight="1" x14ac:dyDescent="0.25">
      <c r="A84" s="188"/>
      <c r="B84" s="221"/>
      <c r="C84" s="221"/>
      <c r="D84" s="222"/>
      <c r="E84" s="211"/>
      <c r="F84" s="214"/>
      <c r="G84" s="216"/>
      <c r="H84" s="221"/>
      <c r="I84" s="221"/>
      <c r="J84" s="222"/>
      <c r="K84" s="211"/>
      <c r="L84" s="214"/>
      <c r="M84" s="188"/>
    </row>
    <row r="85" spans="1:13" ht="18" customHeight="1" x14ac:dyDescent="0.25">
      <c r="A85" s="188"/>
      <c r="B85" s="221"/>
      <c r="C85" s="221"/>
      <c r="D85" s="222"/>
      <c r="E85" s="211"/>
      <c r="F85" s="214"/>
      <c r="G85" s="216"/>
      <c r="H85" s="221"/>
      <c r="I85" s="221"/>
      <c r="J85" s="222"/>
      <c r="K85" s="211"/>
      <c r="L85" s="214"/>
      <c r="M85" s="188"/>
    </row>
    <row r="86" spans="1:13" ht="18" customHeight="1" x14ac:dyDescent="0.25">
      <c r="A86" s="188"/>
      <c r="B86" s="221"/>
      <c r="C86" s="221"/>
      <c r="D86" s="222"/>
      <c r="E86" s="211"/>
      <c r="F86" s="214"/>
      <c r="G86" s="216"/>
      <c r="H86" s="221"/>
      <c r="I86" s="221"/>
      <c r="J86" s="222"/>
      <c r="K86" s="211"/>
      <c r="L86" s="214"/>
      <c r="M86" s="188"/>
    </row>
    <row r="87" spans="1:13" ht="18" customHeight="1" x14ac:dyDescent="0.25">
      <c r="A87" s="188"/>
      <c r="B87" s="221"/>
      <c r="C87" s="221"/>
      <c r="D87" s="222"/>
      <c r="E87" s="211"/>
      <c r="F87" s="214"/>
      <c r="G87" s="216"/>
      <c r="H87" s="221"/>
      <c r="I87" s="221"/>
      <c r="J87" s="222"/>
      <c r="K87" s="211"/>
      <c r="L87" s="214"/>
      <c r="M87" s="188"/>
    </row>
    <row r="88" spans="1:13" ht="18" customHeight="1" x14ac:dyDescent="0.25">
      <c r="A88" s="188"/>
      <c r="B88" s="221"/>
      <c r="C88" s="221"/>
      <c r="D88" s="222"/>
      <c r="E88" s="211"/>
      <c r="F88" s="214"/>
      <c r="G88" s="216"/>
      <c r="H88" s="221"/>
      <c r="I88" s="221"/>
      <c r="J88" s="222"/>
      <c r="K88" s="211"/>
      <c r="L88" s="214"/>
      <c r="M88" s="188"/>
    </row>
    <row r="89" spans="1:13" ht="18" customHeight="1" x14ac:dyDescent="0.25">
      <c r="A89" s="188"/>
      <c r="B89" s="221"/>
      <c r="C89" s="221"/>
      <c r="D89" s="222"/>
      <c r="E89" s="211"/>
      <c r="F89" s="214"/>
      <c r="G89" s="216"/>
      <c r="H89" s="221"/>
      <c r="I89" s="221"/>
      <c r="J89" s="222"/>
      <c r="K89" s="211"/>
      <c r="L89" s="214"/>
      <c r="M89" s="188"/>
    </row>
    <row r="90" spans="1:13" ht="18" customHeight="1" x14ac:dyDescent="0.25">
      <c r="A90" s="188"/>
      <c r="B90" s="221"/>
      <c r="C90" s="221"/>
      <c r="D90" s="222"/>
      <c r="E90" s="211"/>
      <c r="F90" s="214"/>
      <c r="G90" s="216"/>
      <c r="H90" s="221"/>
      <c r="I90" s="221"/>
      <c r="J90" s="222"/>
      <c r="K90" s="211"/>
      <c r="L90" s="214"/>
      <c r="M90" s="188"/>
    </row>
    <row r="91" spans="1:13" ht="18" customHeight="1" x14ac:dyDescent="0.25">
      <c r="A91" s="188"/>
      <c r="B91" s="221"/>
      <c r="C91" s="221"/>
      <c r="D91" s="222"/>
      <c r="E91" s="211"/>
      <c r="F91" s="214"/>
      <c r="G91" s="216"/>
      <c r="H91" s="221"/>
      <c r="I91" s="221"/>
      <c r="J91" s="222"/>
      <c r="K91" s="211"/>
      <c r="L91" s="214"/>
      <c r="M91" s="188"/>
    </row>
    <row r="92" spans="1:13" ht="18" customHeight="1" x14ac:dyDescent="0.25">
      <c r="A92" s="188"/>
      <c r="B92" s="221"/>
      <c r="C92" s="221"/>
      <c r="D92" s="222"/>
      <c r="E92" s="211"/>
      <c r="F92" s="214"/>
      <c r="G92" s="216"/>
      <c r="H92" s="221"/>
      <c r="I92" s="221"/>
      <c r="J92" s="222"/>
      <c r="K92" s="211"/>
      <c r="L92" s="214"/>
      <c r="M92" s="188"/>
    </row>
    <row r="93" spans="1:13" ht="18" customHeight="1" x14ac:dyDescent="0.25">
      <c r="A93" s="188"/>
      <c r="B93" s="221"/>
      <c r="C93" s="221"/>
      <c r="D93" s="222"/>
      <c r="E93" s="211"/>
      <c r="F93" s="214"/>
      <c r="G93" s="216"/>
      <c r="H93" s="221"/>
      <c r="I93" s="221"/>
      <c r="J93" s="222"/>
      <c r="K93" s="211"/>
      <c r="L93" s="214"/>
      <c r="M93" s="188"/>
    </row>
    <row r="94" spans="1:13" ht="18" customHeight="1" x14ac:dyDescent="0.25">
      <c r="A94" s="188"/>
      <c r="B94" s="221"/>
      <c r="C94" s="221"/>
      <c r="D94" s="222"/>
      <c r="E94" s="211"/>
      <c r="F94" s="214"/>
      <c r="G94" s="216"/>
      <c r="H94" s="221"/>
      <c r="I94" s="221"/>
      <c r="J94" s="222"/>
      <c r="K94" s="211"/>
      <c r="L94" s="214"/>
      <c r="M94" s="188"/>
    </row>
    <row r="95" spans="1:13" ht="18" customHeight="1" x14ac:dyDescent="0.25">
      <c r="A95" s="188"/>
      <c r="B95" s="221"/>
      <c r="C95" s="221"/>
      <c r="D95" s="222"/>
      <c r="E95" s="211"/>
      <c r="F95" s="214"/>
      <c r="G95" s="216"/>
      <c r="H95" s="221"/>
      <c r="I95" s="221"/>
      <c r="J95" s="222"/>
      <c r="K95" s="211"/>
      <c r="L95" s="214"/>
      <c r="M95" s="188"/>
    </row>
    <row r="96" spans="1:13" ht="18" customHeight="1" x14ac:dyDescent="0.25">
      <c r="A96" s="188"/>
      <c r="B96" s="221"/>
      <c r="C96" s="221"/>
      <c r="D96" s="222"/>
      <c r="E96" s="211"/>
      <c r="F96" s="214"/>
      <c r="G96" s="216"/>
      <c r="H96" s="221"/>
      <c r="I96" s="221"/>
      <c r="J96" s="222"/>
      <c r="K96" s="211"/>
      <c r="L96" s="214"/>
      <c r="M96" s="188"/>
    </row>
    <row r="97" spans="1:13" ht="18" customHeight="1" x14ac:dyDescent="0.25">
      <c r="A97" s="188"/>
      <c r="B97" s="221"/>
      <c r="C97" s="221"/>
      <c r="D97" s="222"/>
      <c r="E97" s="211"/>
      <c r="F97" s="214"/>
      <c r="G97" s="216"/>
      <c r="H97" s="221"/>
      <c r="I97" s="221"/>
      <c r="J97" s="222"/>
      <c r="K97" s="211"/>
      <c r="L97" s="214"/>
      <c r="M97" s="188"/>
    </row>
    <row r="98" spans="1:13" ht="18" customHeight="1" x14ac:dyDescent="0.25">
      <c r="A98" s="188"/>
      <c r="B98" s="221"/>
      <c r="C98" s="221"/>
      <c r="D98" s="222"/>
      <c r="E98" s="211"/>
      <c r="F98" s="214"/>
      <c r="G98" s="216"/>
      <c r="H98" s="221"/>
      <c r="I98" s="221"/>
      <c r="J98" s="222"/>
      <c r="K98" s="211"/>
      <c r="L98" s="214"/>
      <c r="M98" s="188"/>
    </row>
    <row r="99" spans="1:13" ht="18" customHeight="1" x14ac:dyDescent="0.25">
      <c r="A99" s="188"/>
      <c r="B99" s="221"/>
      <c r="C99" s="221"/>
      <c r="D99" s="222"/>
      <c r="E99" s="211"/>
      <c r="F99" s="214"/>
      <c r="G99" s="216"/>
      <c r="H99" s="221"/>
      <c r="I99" s="221"/>
      <c r="J99" s="222"/>
      <c r="K99" s="211"/>
      <c r="L99" s="214"/>
      <c r="M99" s="188"/>
    </row>
    <row r="100" spans="1:13" ht="18" customHeight="1" x14ac:dyDescent="0.25">
      <c r="A100" s="188"/>
      <c r="B100" s="221"/>
      <c r="C100" s="221"/>
      <c r="D100" s="222"/>
      <c r="E100" s="211"/>
      <c r="F100" s="214"/>
      <c r="G100" s="216"/>
      <c r="H100" s="221"/>
      <c r="I100" s="221"/>
      <c r="J100" s="222"/>
      <c r="K100" s="211"/>
      <c r="L100" s="214"/>
      <c r="M100" s="188"/>
    </row>
    <row r="101" spans="1:13" ht="18" customHeight="1" x14ac:dyDescent="0.25">
      <c r="A101" s="188"/>
      <c r="B101" s="221"/>
      <c r="C101" s="221"/>
      <c r="D101" s="222"/>
      <c r="E101" s="211"/>
      <c r="F101" s="214"/>
      <c r="G101" s="216"/>
      <c r="H101" s="221"/>
      <c r="I101" s="221"/>
      <c r="J101" s="222"/>
      <c r="K101" s="211"/>
      <c r="L101" s="214"/>
      <c r="M101" s="188"/>
    </row>
    <row r="102" spans="1:13" ht="18" customHeight="1" x14ac:dyDescent="0.25">
      <c r="A102" s="188"/>
      <c r="B102" s="221"/>
      <c r="C102" s="221"/>
      <c r="D102" s="222"/>
      <c r="E102" s="211"/>
      <c r="F102" s="214"/>
      <c r="G102" s="216"/>
      <c r="H102" s="221"/>
      <c r="I102" s="221"/>
      <c r="J102" s="222"/>
      <c r="K102" s="211"/>
      <c r="L102" s="214"/>
      <c r="M102" s="188"/>
    </row>
    <row r="103" spans="1:13" ht="18" customHeight="1" x14ac:dyDescent="0.25">
      <c r="A103" s="188"/>
      <c r="B103" s="221"/>
      <c r="C103" s="221"/>
      <c r="D103" s="222"/>
      <c r="E103" s="211"/>
      <c r="F103" s="214"/>
      <c r="G103" s="216"/>
      <c r="H103" s="221"/>
      <c r="I103" s="221"/>
      <c r="J103" s="222"/>
      <c r="K103" s="211"/>
      <c r="L103" s="214"/>
      <c r="M103" s="188"/>
    </row>
    <row r="104" spans="1:13" ht="18" customHeight="1" x14ac:dyDescent="0.25">
      <c r="A104" s="188"/>
      <c r="B104" s="221"/>
      <c r="C104" s="221"/>
      <c r="D104" s="222"/>
      <c r="E104" s="211"/>
      <c r="F104" s="214"/>
      <c r="G104" s="216"/>
      <c r="H104" s="221"/>
      <c r="I104" s="221"/>
      <c r="J104" s="222"/>
      <c r="K104" s="211"/>
      <c r="L104" s="214"/>
      <c r="M104" s="188"/>
    </row>
    <row r="105" spans="1:13" ht="18" customHeight="1" x14ac:dyDescent="0.25">
      <c r="A105" s="188"/>
      <c r="B105" s="221"/>
      <c r="C105" s="221"/>
      <c r="D105" s="222"/>
      <c r="E105" s="211"/>
      <c r="F105" s="214"/>
      <c r="G105" s="216"/>
      <c r="H105" s="221"/>
      <c r="I105" s="221"/>
      <c r="J105" s="222"/>
      <c r="K105" s="211"/>
      <c r="L105" s="214"/>
      <c r="M105" s="188"/>
    </row>
    <row r="106" spans="1:13" ht="18" customHeight="1" x14ac:dyDescent="0.25">
      <c r="A106" s="188"/>
      <c r="B106" s="221"/>
      <c r="C106" s="221"/>
      <c r="D106" s="222"/>
      <c r="E106" s="211"/>
      <c r="F106" s="214"/>
      <c r="G106" s="216"/>
      <c r="H106" s="221"/>
      <c r="I106" s="221"/>
      <c r="J106" s="222"/>
      <c r="K106" s="211"/>
      <c r="L106" s="214"/>
      <c r="M106" s="188"/>
    </row>
    <row r="107" spans="1:13" ht="18" customHeight="1" x14ac:dyDescent="0.25">
      <c r="A107" s="188"/>
      <c r="B107" s="221"/>
      <c r="C107" s="221"/>
      <c r="D107" s="222"/>
      <c r="E107" s="211"/>
      <c r="F107" s="214"/>
      <c r="G107" s="216"/>
      <c r="H107" s="221"/>
      <c r="I107" s="221"/>
      <c r="J107" s="222"/>
      <c r="K107" s="211"/>
      <c r="L107" s="214"/>
      <c r="M107" s="188"/>
    </row>
    <row r="108" spans="1:13" ht="18" customHeight="1" x14ac:dyDescent="0.25">
      <c r="A108" s="188"/>
      <c r="B108" s="221"/>
      <c r="C108" s="221"/>
      <c r="D108" s="222"/>
      <c r="E108" s="211"/>
      <c r="F108" s="214"/>
      <c r="G108" s="216"/>
      <c r="H108" s="221"/>
      <c r="I108" s="221"/>
      <c r="J108" s="222"/>
      <c r="K108" s="211"/>
      <c r="L108" s="214"/>
      <c r="M108" s="188"/>
    </row>
    <row r="109" spans="1:13" ht="18" customHeight="1" x14ac:dyDescent="0.25">
      <c r="A109" s="188"/>
      <c r="B109" s="221"/>
      <c r="C109" s="221"/>
      <c r="D109" s="222"/>
      <c r="E109" s="211"/>
      <c r="F109" s="214"/>
      <c r="G109" s="216"/>
      <c r="H109" s="221"/>
      <c r="I109" s="221"/>
      <c r="J109" s="222"/>
      <c r="K109" s="211"/>
      <c r="L109" s="214"/>
      <c r="M109" s="188"/>
    </row>
    <row r="110" spans="1:13" ht="18" customHeight="1" x14ac:dyDescent="0.25">
      <c r="A110" s="188"/>
      <c r="B110" s="221"/>
      <c r="C110" s="221"/>
      <c r="D110" s="222"/>
      <c r="E110" s="211"/>
      <c r="F110" s="214"/>
      <c r="G110" s="216"/>
      <c r="H110" s="221"/>
      <c r="I110" s="221"/>
      <c r="J110" s="222"/>
      <c r="K110" s="211"/>
      <c r="L110" s="214"/>
      <c r="M110" s="188"/>
    </row>
    <row r="111" spans="1:13" ht="18" customHeight="1" x14ac:dyDescent="0.25">
      <c r="A111" s="188"/>
      <c r="B111" s="221"/>
      <c r="C111" s="221"/>
      <c r="D111" s="222"/>
      <c r="E111" s="211"/>
      <c r="F111" s="214"/>
      <c r="G111" s="216"/>
      <c r="H111" s="221"/>
      <c r="I111" s="221"/>
      <c r="J111" s="222"/>
      <c r="K111" s="211"/>
      <c r="L111" s="214"/>
      <c r="M111" s="188"/>
    </row>
    <row r="112" spans="1:13" ht="18" customHeight="1" x14ac:dyDescent="0.25">
      <c r="A112" s="188"/>
      <c r="B112" s="221"/>
      <c r="C112" s="221"/>
      <c r="D112" s="222"/>
      <c r="E112" s="211"/>
      <c r="F112" s="214"/>
      <c r="G112" s="216"/>
      <c r="H112" s="221"/>
      <c r="I112" s="221"/>
      <c r="J112" s="222"/>
      <c r="K112" s="211"/>
      <c r="L112" s="214"/>
      <c r="M112" s="188"/>
    </row>
    <row r="113" spans="1:13" ht="18" customHeight="1" x14ac:dyDescent="0.25">
      <c r="A113" s="188"/>
      <c r="B113" s="221"/>
      <c r="C113" s="221"/>
      <c r="D113" s="222"/>
      <c r="E113" s="211"/>
      <c r="F113" s="214"/>
      <c r="G113" s="216"/>
      <c r="H113" s="221"/>
      <c r="I113" s="221"/>
      <c r="J113" s="222"/>
      <c r="K113" s="211"/>
      <c r="L113" s="214"/>
      <c r="M113" s="188"/>
    </row>
    <row r="114" spans="1:13" ht="18" customHeight="1" x14ac:dyDescent="0.25">
      <c r="A114" s="188"/>
      <c r="B114" s="221"/>
      <c r="C114" s="221"/>
      <c r="D114" s="222"/>
      <c r="E114" s="211"/>
      <c r="F114" s="214"/>
      <c r="G114" s="216"/>
      <c r="H114" s="221"/>
      <c r="I114" s="221"/>
      <c r="J114" s="222"/>
      <c r="K114" s="211"/>
      <c r="L114" s="214"/>
      <c r="M114" s="188"/>
    </row>
    <row r="115" spans="1:13" ht="18" customHeight="1" x14ac:dyDescent="0.25">
      <c r="A115" s="188"/>
      <c r="B115" s="221"/>
      <c r="C115" s="221"/>
      <c r="D115" s="222"/>
      <c r="E115" s="211"/>
      <c r="F115" s="214"/>
      <c r="G115" s="216"/>
      <c r="H115" s="221"/>
      <c r="I115" s="221"/>
      <c r="J115" s="222"/>
      <c r="K115" s="211"/>
      <c r="L115" s="214"/>
      <c r="M115" s="188"/>
    </row>
    <row r="116" spans="1:13" ht="18" customHeight="1" x14ac:dyDescent="0.25">
      <c r="A116" s="188"/>
      <c r="B116" s="221"/>
      <c r="C116" s="221"/>
      <c r="D116" s="222"/>
      <c r="E116" s="211"/>
      <c r="F116" s="214"/>
      <c r="G116" s="216"/>
      <c r="H116" s="221"/>
      <c r="I116" s="221"/>
      <c r="J116" s="222"/>
      <c r="K116" s="211"/>
      <c r="L116" s="214"/>
      <c r="M116" s="188"/>
    </row>
    <row r="117" spans="1:13" ht="18" customHeight="1" x14ac:dyDescent="0.25">
      <c r="A117" s="188"/>
      <c r="B117" s="221"/>
      <c r="C117" s="221"/>
      <c r="D117" s="222"/>
      <c r="E117" s="211"/>
      <c r="F117" s="214"/>
      <c r="G117" s="216"/>
      <c r="H117" s="221"/>
      <c r="I117" s="221"/>
      <c r="J117" s="222"/>
      <c r="K117" s="211"/>
      <c r="L117" s="214"/>
      <c r="M117" s="188"/>
    </row>
    <row r="118" spans="1:13" ht="18" customHeight="1" x14ac:dyDescent="0.25">
      <c r="A118" s="188"/>
      <c r="B118" s="221"/>
      <c r="C118" s="221"/>
      <c r="D118" s="222"/>
      <c r="E118" s="211"/>
      <c r="F118" s="214"/>
      <c r="G118" s="216"/>
      <c r="H118" s="221"/>
      <c r="I118" s="221"/>
      <c r="J118" s="222"/>
      <c r="K118" s="211"/>
      <c r="L118" s="214"/>
      <c r="M118" s="188"/>
    </row>
    <row r="119" spans="1:13" ht="18" customHeight="1" x14ac:dyDescent="0.25">
      <c r="A119" s="188"/>
      <c r="B119" s="221"/>
      <c r="C119" s="221"/>
      <c r="D119" s="222"/>
      <c r="E119" s="211"/>
      <c r="F119" s="214"/>
      <c r="G119" s="216"/>
      <c r="H119" s="221"/>
      <c r="I119" s="221"/>
      <c r="J119" s="222"/>
      <c r="K119" s="211"/>
      <c r="L119" s="214"/>
      <c r="M119" s="188"/>
    </row>
    <row r="120" spans="1:13" ht="18" customHeight="1" x14ac:dyDescent="0.25">
      <c r="A120" s="188"/>
      <c r="B120" s="221"/>
      <c r="C120" s="221"/>
      <c r="D120" s="222"/>
      <c r="E120" s="211"/>
      <c r="F120" s="214"/>
      <c r="G120" s="216"/>
      <c r="H120" s="221"/>
      <c r="I120" s="221"/>
      <c r="J120" s="222"/>
      <c r="K120" s="211"/>
      <c r="L120" s="214"/>
      <c r="M120" s="188"/>
    </row>
    <row r="121" spans="1:13" ht="18" customHeight="1" x14ac:dyDescent="0.25">
      <c r="A121" s="188"/>
      <c r="B121" s="221"/>
      <c r="C121" s="221"/>
      <c r="D121" s="222"/>
      <c r="E121" s="211"/>
      <c r="F121" s="214"/>
      <c r="G121" s="216"/>
      <c r="H121" s="221"/>
      <c r="I121" s="221"/>
      <c r="J121" s="222"/>
      <c r="K121" s="211"/>
      <c r="L121" s="214"/>
      <c r="M121" s="188"/>
    </row>
    <row r="122" spans="1:13" ht="18" customHeight="1" x14ac:dyDescent="0.25">
      <c r="A122" s="188"/>
      <c r="B122" s="221"/>
      <c r="C122" s="221"/>
      <c r="D122" s="222"/>
      <c r="E122" s="211"/>
      <c r="F122" s="214"/>
      <c r="G122" s="216"/>
      <c r="H122" s="221"/>
      <c r="I122" s="221"/>
      <c r="J122" s="222"/>
      <c r="K122" s="211"/>
      <c r="L122" s="214"/>
      <c r="M122" s="188"/>
    </row>
    <row r="123" spans="1:13" ht="18" customHeight="1" x14ac:dyDescent="0.25">
      <c r="A123" s="188"/>
      <c r="B123" s="221"/>
      <c r="C123" s="221"/>
      <c r="D123" s="222"/>
      <c r="E123" s="211"/>
      <c r="F123" s="214"/>
      <c r="G123" s="216"/>
      <c r="H123" s="221"/>
      <c r="I123" s="221"/>
      <c r="J123" s="222"/>
      <c r="K123" s="211"/>
      <c r="L123" s="214"/>
      <c r="M123" s="188"/>
    </row>
    <row r="124" spans="1:13" ht="18" customHeight="1" x14ac:dyDescent="0.25">
      <c r="A124" s="188"/>
      <c r="B124" s="221"/>
      <c r="C124" s="221"/>
      <c r="D124" s="222"/>
      <c r="E124" s="211"/>
      <c r="F124" s="214"/>
      <c r="G124" s="216"/>
      <c r="H124" s="221"/>
      <c r="I124" s="221"/>
      <c r="J124" s="222"/>
      <c r="K124" s="211"/>
      <c r="L124" s="214"/>
      <c r="M124" s="188"/>
    </row>
    <row r="125" spans="1:13" ht="18" customHeight="1" x14ac:dyDescent="0.25">
      <c r="A125" s="188"/>
      <c r="B125" s="221"/>
      <c r="C125" s="221"/>
      <c r="D125" s="222"/>
      <c r="E125" s="211"/>
      <c r="F125" s="214"/>
      <c r="G125" s="216"/>
      <c r="H125" s="221"/>
      <c r="I125" s="221"/>
      <c r="J125" s="222"/>
      <c r="K125" s="211"/>
      <c r="L125" s="214"/>
      <c r="M125" s="188"/>
    </row>
    <row r="126" spans="1:13" ht="18" customHeight="1" x14ac:dyDescent="0.25">
      <c r="A126" s="188"/>
      <c r="B126" s="221"/>
      <c r="C126" s="221"/>
      <c r="D126" s="222"/>
      <c r="E126" s="211"/>
      <c r="F126" s="214"/>
      <c r="G126" s="216"/>
      <c r="H126" s="221"/>
      <c r="I126" s="221"/>
      <c r="J126" s="222"/>
      <c r="K126" s="211"/>
      <c r="L126" s="214"/>
      <c r="M126" s="188"/>
    </row>
    <row r="127" spans="1:13" ht="18" customHeight="1" x14ac:dyDescent="0.25">
      <c r="A127" s="188"/>
      <c r="B127" s="221"/>
      <c r="C127" s="221"/>
      <c r="D127" s="222"/>
      <c r="E127" s="211"/>
      <c r="F127" s="214"/>
      <c r="G127" s="216"/>
      <c r="H127" s="221"/>
      <c r="I127" s="221"/>
      <c r="J127" s="222"/>
      <c r="K127" s="211"/>
      <c r="L127" s="214"/>
      <c r="M127" s="188"/>
    </row>
    <row r="128" spans="1:13" ht="18" customHeight="1" x14ac:dyDescent="0.25">
      <c r="A128" s="188"/>
      <c r="B128" s="221"/>
      <c r="C128" s="221"/>
      <c r="D128" s="222"/>
      <c r="E128" s="211"/>
      <c r="F128" s="214"/>
      <c r="G128" s="216"/>
      <c r="H128" s="221"/>
      <c r="I128" s="221"/>
      <c r="J128" s="222"/>
      <c r="K128" s="211"/>
      <c r="L128" s="214"/>
      <c r="M128" s="188"/>
    </row>
    <row r="129" spans="1:13" ht="18" customHeight="1" x14ac:dyDescent="0.25">
      <c r="A129" s="188"/>
      <c r="B129" s="221"/>
      <c r="C129" s="221"/>
      <c r="D129" s="222"/>
      <c r="E129" s="211"/>
      <c r="F129" s="214"/>
      <c r="G129" s="216"/>
      <c r="H129" s="221"/>
      <c r="I129" s="221"/>
      <c r="J129" s="222"/>
      <c r="K129" s="211"/>
      <c r="L129" s="214"/>
      <c r="M129" s="188"/>
    </row>
    <row r="130" spans="1:13" ht="18" customHeight="1" x14ac:dyDescent="0.25">
      <c r="A130" s="188"/>
      <c r="B130" s="221"/>
      <c r="C130" s="221"/>
      <c r="D130" s="222"/>
      <c r="E130" s="211"/>
      <c r="F130" s="214"/>
      <c r="G130" s="216"/>
      <c r="H130" s="221"/>
      <c r="I130" s="221"/>
      <c r="J130" s="222"/>
      <c r="K130" s="211"/>
      <c r="L130" s="214"/>
      <c r="M130" s="188"/>
    </row>
    <row r="131" spans="1:13" ht="18" customHeight="1" x14ac:dyDescent="0.25">
      <c r="A131" s="188"/>
      <c r="B131" s="221"/>
      <c r="C131" s="221"/>
      <c r="D131" s="222"/>
      <c r="E131" s="211"/>
      <c r="F131" s="214"/>
      <c r="G131" s="216"/>
      <c r="H131" s="221"/>
      <c r="I131" s="221"/>
      <c r="J131" s="222"/>
      <c r="K131" s="211"/>
      <c r="L131" s="214"/>
      <c r="M131" s="188"/>
    </row>
    <row r="132" spans="1:13" ht="18" customHeight="1" x14ac:dyDescent="0.25">
      <c r="A132" s="188"/>
      <c r="B132" s="221"/>
      <c r="C132" s="221"/>
      <c r="D132" s="222"/>
      <c r="E132" s="211"/>
      <c r="F132" s="214"/>
      <c r="G132" s="216"/>
      <c r="H132" s="221"/>
      <c r="I132" s="221"/>
      <c r="J132" s="222"/>
      <c r="K132" s="211"/>
      <c r="L132" s="214"/>
      <c r="M132" s="188"/>
    </row>
    <row r="133" spans="1:13" ht="18" customHeight="1" x14ac:dyDescent="0.25">
      <c r="A133" s="188"/>
      <c r="B133" s="221"/>
      <c r="C133" s="221"/>
      <c r="D133" s="222"/>
      <c r="E133" s="211"/>
      <c r="F133" s="214"/>
      <c r="G133" s="216"/>
      <c r="H133" s="221"/>
      <c r="I133" s="221"/>
      <c r="J133" s="222"/>
      <c r="K133" s="211"/>
      <c r="L133" s="214"/>
      <c r="M133" s="188"/>
    </row>
    <row r="134" spans="1:13" ht="18" customHeight="1" x14ac:dyDescent="0.25">
      <c r="A134" s="188"/>
      <c r="B134" s="221"/>
      <c r="C134" s="221"/>
      <c r="D134" s="222"/>
      <c r="E134" s="211"/>
      <c r="F134" s="214"/>
      <c r="G134" s="216"/>
      <c r="H134" s="221"/>
      <c r="I134" s="221"/>
      <c r="J134" s="222"/>
      <c r="K134" s="211"/>
      <c r="L134" s="214"/>
      <c r="M134" s="188"/>
    </row>
    <row r="135" spans="1:13" ht="18" customHeight="1" x14ac:dyDescent="0.25">
      <c r="A135" s="188"/>
      <c r="B135" s="221"/>
      <c r="C135" s="221"/>
      <c r="D135" s="222"/>
      <c r="E135" s="211"/>
      <c r="F135" s="214"/>
      <c r="G135" s="216"/>
      <c r="H135" s="221"/>
      <c r="I135" s="221"/>
      <c r="J135" s="222"/>
      <c r="K135" s="211"/>
      <c r="L135" s="214"/>
      <c r="M135" s="188"/>
    </row>
    <row r="136" spans="1:13" ht="18" customHeight="1" x14ac:dyDescent="0.25">
      <c r="A136" s="188"/>
      <c r="B136" s="221"/>
      <c r="C136" s="221"/>
      <c r="D136" s="222"/>
      <c r="E136" s="211"/>
      <c r="F136" s="214"/>
      <c r="G136" s="216"/>
      <c r="H136" s="221"/>
      <c r="I136" s="221"/>
      <c r="J136" s="222"/>
      <c r="K136" s="211"/>
      <c r="L136" s="214"/>
      <c r="M136" s="188"/>
    </row>
    <row r="137" spans="1:13" ht="18" customHeight="1" x14ac:dyDescent="0.25">
      <c r="A137" s="188"/>
      <c r="B137" s="221"/>
      <c r="C137" s="221"/>
      <c r="D137" s="222"/>
      <c r="E137" s="211"/>
      <c r="F137" s="214"/>
      <c r="G137" s="216"/>
      <c r="H137" s="221"/>
      <c r="I137" s="221"/>
      <c r="J137" s="222"/>
      <c r="K137" s="211"/>
      <c r="L137" s="214"/>
      <c r="M137" s="188"/>
    </row>
    <row r="138" spans="1:13" ht="18" customHeight="1" x14ac:dyDescent="0.25">
      <c r="A138" s="188"/>
      <c r="B138" s="221"/>
      <c r="C138" s="221"/>
      <c r="D138" s="222"/>
      <c r="E138" s="211"/>
      <c r="F138" s="214"/>
      <c r="G138" s="216"/>
      <c r="H138" s="221"/>
      <c r="I138" s="221"/>
      <c r="J138" s="222"/>
      <c r="K138" s="211"/>
      <c r="L138" s="214"/>
      <c r="M138" s="188"/>
    </row>
    <row r="139" spans="1:13" ht="18" customHeight="1" x14ac:dyDescent="0.25">
      <c r="A139" s="188"/>
      <c r="B139" s="221"/>
      <c r="C139" s="221"/>
      <c r="D139" s="222"/>
      <c r="E139" s="211"/>
      <c r="F139" s="214"/>
      <c r="G139" s="216"/>
      <c r="H139" s="221"/>
      <c r="I139" s="221"/>
      <c r="J139" s="222"/>
      <c r="K139" s="211"/>
      <c r="L139" s="214"/>
      <c r="M139" s="188"/>
    </row>
    <row r="140" spans="1:13" ht="18" customHeight="1" x14ac:dyDescent="0.25">
      <c r="A140" s="188"/>
      <c r="B140" s="221"/>
      <c r="C140" s="221"/>
      <c r="D140" s="222"/>
      <c r="E140" s="211"/>
      <c r="F140" s="214"/>
      <c r="G140" s="216"/>
      <c r="H140" s="221"/>
      <c r="I140" s="221"/>
      <c r="J140" s="222"/>
      <c r="K140" s="211"/>
      <c r="L140" s="214"/>
      <c r="M140" s="188"/>
    </row>
    <row r="141" spans="1:13" ht="18" customHeight="1" x14ac:dyDescent="0.25">
      <c r="A141" s="188"/>
      <c r="B141" s="221"/>
      <c r="C141" s="221"/>
      <c r="D141" s="222"/>
      <c r="E141" s="211"/>
      <c r="F141" s="214"/>
      <c r="G141" s="216"/>
      <c r="H141" s="221"/>
      <c r="I141" s="221"/>
      <c r="J141" s="222"/>
      <c r="K141" s="211"/>
      <c r="L141" s="214"/>
      <c r="M141" s="188"/>
    </row>
    <row r="142" spans="1:13" ht="18" customHeight="1" x14ac:dyDescent="0.25">
      <c r="A142" s="188"/>
      <c r="B142" s="221"/>
      <c r="C142" s="221"/>
      <c r="D142" s="222"/>
      <c r="E142" s="211"/>
      <c r="F142" s="214"/>
      <c r="G142" s="216"/>
      <c r="H142" s="221"/>
      <c r="I142" s="221"/>
      <c r="J142" s="222"/>
      <c r="K142" s="211"/>
      <c r="L142" s="214"/>
      <c r="M142" s="188"/>
    </row>
    <row r="143" spans="1:13" ht="18" customHeight="1" x14ac:dyDescent="0.25">
      <c r="A143" s="188"/>
      <c r="B143" s="221"/>
      <c r="C143" s="221"/>
      <c r="D143" s="222"/>
      <c r="E143" s="211"/>
      <c r="F143" s="214"/>
      <c r="G143" s="216"/>
      <c r="H143" s="221"/>
      <c r="I143" s="221"/>
      <c r="J143" s="222"/>
      <c r="K143" s="211"/>
      <c r="L143" s="214"/>
      <c r="M143" s="188"/>
    </row>
    <row r="144" spans="1:13" ht="18" customHeight="1" x14ac:dyDescent="0.25">
      <c r="A144" s="188"/>
      <c r="B144" s="221"/>
      <c r="C144" s="221"/>
      <c r="D144" s="222"/>
      <c r="E144" s="211"/>
      <c r="F144" s="214"/>
      <c r="G144" s="216"/>
      <c r="H144" s="221"/>
      <c r="I144" s="221"/>
      <c r="J144" s="222"/>
      <c r="K144" s="211"/>
      <c r="L144" s="214"/>
      <c r="M144" s="188"/>
    </row>
    <row r="145" spans="1:13" ht="18" customHeight="1" x14ac:dyDescent="0.25">
      <c r="A145" s="188"/>
      <c r="B145" s="221"/>
      <c r="C145" s="221"/>
      <c r="D145" s="222"/>
      <c r="E145" s="211"/>
      <c r="F145" s="214"/>
      <c r="G145" s="216"/>
      <c r="H145" s="221"/>
      <c r="I145" s="221"/>
      <c r="J145" s="222"/>
      <c r="K145" s="211"/>
      <c r="L145" s="214"/>
      <c r="M145" s="188"/>
    </row>
    <row r="146" spans="1:13" ht="18" customHeight="1" x14ac:dyDescent="0.25">
      <c r="A146" s="188"/>
      <c r="B146" s="221"/>
      <c r="C146" s="221"/>
      <c r="D146" s="222"/>
      <c r="E146" s="211"/>
      <c r="F146" s="214"/>
      <c r="G146" s="216"/>
      <c r="H146" s="221"/>
      <c r="I146" s="221"/>
      <c r="J146" s="222"/>
      <c r="K146" s="211"/>
      <c r="L146" s="214"/>
      <c r="M146" s="188"/>
    </row>
    <row r="147" spans="1:13" ht="18" customHeight="1" x14ac:dyDescent="0.25">
      <c r="A147" s="188"/>
      <c r="B147" s="221"/>
      <c r="C147" s="221"/>
      <c r="D147" s="222"/>
      <c r="E147" s="211"/>
      <c r="F147" s="214"/>
      <c r="G147" s="216"/>
      <c r="H147" s="221"/>
      <c r="I147" s="221"/>
      <c r="J147" s="222"/>
      <c r="K147" s="211"/>
      <c r="L147" s="214"/>
      <c r="M147" s="188"/>
    </row>
    <row r="148" spans="1:13" ht="18" customHeight="1" x14ac:dyDescent="0.25">
      <c r="A148" s="188"/>
      <c r="B148" s="221"/>
      <c r="C148" s="221"/>
      <c r="D148" s="222"/>
      <c r="E148" s="211"/>
      <c r="F148" s="214"/>
      <c r="G148" s="216"/>
      <c r="H148" s="221"/>
      <c r="I148" s="221"/>
      <c r="J148" s="222"/>
      <c r="K148" s="211"/>
      <c r="L148" s="214"/>
      <c r="M148" s="188"/>
    </row>
    <row r="149" spans="1:13" ht="18" customHeight="1" x14ac:dyDescent="0.25">
      <c r="A149" s="188"/>
      <c r="B149" s="221"/>
      <c r="C149" s="221"/>
      <c r="D149" s="222"/>
      <c r="E149" s="211"/>
      <c r="F149" s="214"/>
      <c r="G149" s="216"/>
      <c r="H149" s="221"/>
      <c r="I149" s="221"/>
      <c r="J149" s="222"/>
      <c r="K149" s="211"/>
      <c r="L149" s="214"/>
      <c r="M149" s="188"/>
    </row>
    <row r="150" spans="1:13" ht="18" customHeight="1" x14ac:dyDescent="0.25">
      <c r="A150" s="188"/>
      <c r="B150" s="221"/>
      <c r="C150" s="221"/>
      <c r="D150" s="222"/>
      <c r="E150" s="211"/>
      <c r="F150" s="214"/>
      <c r="G150" s="216"/>
      <c r="H150" s="221"/>
      <c r="I150" s="221"/>
      <c r="J150" s="222"/>
      <c r="K150" s="211"/>
      <c r="L150" s="214"/>
      <c r="M150" s="188"/>
    </row>
    <row r="151" spans="1:13" ht="18" customHeight="1" x14ac:dyDescent="0.25">
      <c r="A151" s="188"/>
      <c r="B151" s="221"/>
      <c r="C151" s="221"/>
      <c r="D151" s="222"/>
      <c r="E151" s="211"/>
      <c r="F151" s="214"/>
      <c r="G151" s="216"/>
      <c r="H151" s="221"/>
      <c r="I151" s="221"/>
      <c r="J151" s="222"/>
      <c r="K151" s="211"/>
      <c r="L151" s="214"/>
      <c r="M151" s="188"/>
    </row>
    <row r="152" spans="1:13" ht="18" customHeight="1" x14ac:dyDescent="0.25">
      <c r="A152" s="188"/>
      <c r="B152" s="221"/>
      <c r="C152" s="221"/>
      <c r="D152" s="222"/>
      <c r="E152" s="211"/>
      <c r="F152" s="214"/>
      <c r="G152" s="216"/>
      <c r="H152" s="221"/>
      <c r="I152" s="221"/>
      <c r="J152" s="222"/>
      <c r="K152" s="211"/>
      <c r="L152" s="214"/>
      <c r="M152" s="188"/>
    </row>
    <row r="153" spans="1:13" ht="18" customHeight="1" x14ac:dyDescent="0.25">
      <c r="A153" s="188"/>
      <c r="B153" s="221"/>
      <c r="C153" s="221"/>
      <c r="D153" s="222"/>
      <c r="E153" s="211"/>
      <c r="F153" s="214"/>
      <c r="G153" s="216"/>
      <c r="H153" s="221"/>
      <c r="I153" s="221"/>
      <c r="J153" s="222"/>
      <c r="K153" s="211"/>
      <c r="L153" s="214"/>
      <c r="M153" s="188"/>
    </row>
    <row r="154" spans="1:13" ht="18" customHeight="1" x14ac:dyDescent="0.25">
      <c r="A154" s="188"/>
      <c r="B154" s="221"/>
      <c r="C154" s="221"/>
      <c r="D154" s="222"/>
      <c r="E154" s="211"/>
      <c r="F154" s="214"/>
      <c r="G154" s="216"/>
      <c r="H154" s="221"/>
      <c r="I154" s="221"/>
      <c r="J154" s="222"/>
      <c r="K154" s="211"/>
      <c r="L154" s="214"/>
      <c r="M154" s="188"/>
    </row>
    <row r="155" spans="1:13" ht="18" customHeight="1" x14ac:dyDescent="0.25">
      <c r="A155" s="188"/>
      <c r="B155" s="221"/>
      <c r="C155" s="221"/>
      <c r="D155" s="222"/>
      <c r="E155" s="211"/>
      <c r="F155" s="214"/>
      <c r="G155" s="216"/>
      <c r="H155" s="221"/>
      <c r="I155" s="221"/>
      <c r="J155" s="222"/>
      <c r="K155" s="211"/>
      <c r="L155" s="214"/>
      <c r="M155" s="188"/>
    </row>
    <row r="156" spans="1:13" ht="18" customHeight="1" x14ac:dyDescent="0.25">
      <c r="A156" s="188"/>
      <c r="B156" s="221"/>
      <c r="C156" s="221"/>
      <c r="D156" s="222"/>
      <c r="E156" s="211"/>
      <c r="F156" s="214"/>
      <c r="G156" s="216"/>
      <c r="H156" s="221"/>
      <c r="I156" s="221"/>
      <c r="J156" s="222"/>
      <c r="K156" s="211"/>
      <c r="L156" s="214"/>
      <c r="M156" s="188"/>
    </row>
    <row r="157" spans="1:13" ht="18" customHeight="1" x14ac:dyDescent="0.25">
      <c r="A157" s="188"/>
      <c r="B157" s="221"/>
      <c r="C157" s="221"/>
      <c r="D157" s="222"/>
      <c r="E157" s="211"/>
      <c r="F157" s="214"/>
      <c r="G157" s="216"/>
      <c r="H157" s="221"/>
      <c r="I157" s="221"/>
      <c r="J157" s="222"/>
      <c r="K157" s="211"/>
      <c r="L157" s="214"/>
      <c r="M157" s="188"/>
    </row>
    <row r="158" spans="1:13" ht="18" customHeight="1" x14ac:dyDescent="0.25">
      <c r="A158" s="188"/>
      <c r="B158" s="221"/>
      <c r="C158" s="221"/>
      <c r="D158" s="222"/>
      <c r="E158" s="211"/>
      <c r="F158" s="214"/>
      <c r="G158" s="216"/>
      <c r="H158" s="221"/>
      <c r="I158" s="221"/>
      <c r="J158" s="222"/>
      <c r="K158" s="211"/>
      <c r="L158" s="214"/>
      <c r="M158" s="188"/>
    </row>
    <row r="159" spans="1:13" ht="18" customHeight="1" x14ac:dyDescent="0.25">
      <c r="A159" s="188"/>
      <c r="B159" s="221"/>
      <c r="C159" s="221"/>
      <c r="D159" s="222"/>
      <c r="E159" s="211"/>
      <c r="F159" s="214"/>
      <c r="G159" s="216"/>
      <c r="H159" s="221"/>
      <c r="I159" s="221"/>
      <c r="J159" s="222"/>
      <c r="K159" s="211"/>
      <c r="L159" s="214"/>
      <c r="M159" s="188"/>
    </row>
    <row r="160" spans="1:13" ht="18" customHeight="1" x14ac:dyDescent="0.25">
      <c r="A160" s="188"/>
      <c r="B160" s="221"/>
      <c r="C160" s="221"/>
      <c r="D160" s="222"/>
      <c r="E160" s="211"/>
      <c r="F160" s="214"/>
      <c r="G160" s="216"/>
      <c r="H160" s="221"/>
      <c r="I160" s="221"/>
      <c r="J160" s="222"/>
      <c r="K160" s="211"/>
      <c r="L160" s="214"/>
      <c r="M160" s="188"/>
    </row>
    <row r="161" spans="1:13" ht="18" customHeight="1" x14ac:dyDescent="0.25">
      <c r="A161" s="188"/>
      <c r="B161" s="221"/>
      <c r="C161" s="221"/>
      <c r="D161" s="222"/>
      <c r="E161" s="211"/>
      <c r="F161" s="214"/>
      <c r="G161" s="216"/>
      <c r="H161" s="221"/>
      <c r="I161" s="221"/>
      <c r="J161" s="222"/>
      <c r="K161" s="211"/>
      <c r="L161" s="214"/>
      <c r="M161" s="188"/>
    </row>
    <row r="162" spans="1:13" ht="18" customHeight="1" x14ac:dyDescent="0.25">
      <c r="A162" s="188"/>
      <c r="B162" s="221"/>
      <c r="C162" s="221"/>
      <c r="D162" s="222"/>
      <c r="E162" s="211"/>
      <c r="F162" s="214"/>
      <c r="G162" s="216"/>
      <c r="H162" s="221"/>
      <c r="I162" s="221"/>
      <c r="J162" s="222"/>
      <c r="K162" s="211"/>
      <c r="L162" s="214"/>
      <c r="M162" s="188"/>
    </row>
    <row r="163" spans="1:13" ht="18" customHeight="1" x14ac:dyDescent="0.25">
      <c r="A163" s="188"/>
      <c r="B163" s="221"/>
      <c r="C163" s="221"/>
      <c r="D163" s="222"/>
      <c r="E163" s="211"/>
      <c r="F163" s="214"/>
      <c r="G163" s="216"/>
      <c r="H163" s="221"/>
      <c r="I163" s="221"/>
      <c r="J163" s="222"/>
      <c r="K163" s="211"/>
      <c r="L163" s="214"/>
      <c r="M163" s="188"/>
    </row>
    <row r="164" spans="1:13" ht="18" customHeight="1" x14ac:dyDescent="0.25">
      <c r="A164" s="188"/>
      <c r="B164" s="221"/>
      <c r="C164" s="221"/>
      <c r="D164" s="222"/>
      <c r="E164" s="211"/>
      <c r="F164" s="214"/>
      <c r="G164" s="216"/>
      <c r="H164" s="221"/>
      <c r="I164" s="221"/>
      <c r="J164" s="222"/>
      <c r="K164" s="211"/>
      <c r="L164" s="214"/>
      <c r="M164" s="188"/>
    </row>
    <row r="165" spans="1:13" ht="18" customHeight="1" x14ac:dyDescent="0.25">
      <c r="A165" s="188"/>
      <c r="B165" s="221"/>
      <c r="C165" s="221"/>
      <c r="D165" s="222"/>
      <c r="E165" s="211"/>
      <c r="F165" s="214"/>
      <c r="G165" s="216"/>
      <c r="H165" s="221"/>
      <c r="I165" s="221"/>
      <c r="J165" s="222"/>
      <c r="K165" s="211"/>
      <c r="L165" s="214"/>
      <c r="M165" s="188"/>
    </row>
    <row r="166" spans="1:13" ht="18" customHeight="1" x14ac:dyDescent="0.25">
      <c r="A166" s="188"/>
      <c r="B166" s="221"/>
      <c r="C166" s="221"/>
      <c r="D166" s="222"/>
      <c r="E166" s="211"/>
      <c r="F166" s="214"/>
      <c r="G166" s="216"/>
      <c r="H166" s="221"/>
      <c r="I166" s="221"/>
      <c r="J166" s="222"/>
      <c r="K166" s="211"/>
      <c r="L166" s="214"/>
      <c r="M166" s="188"/>
    </row>
    <row r="167" spans="1:13" ht="18" customHeight="1" x14ac:dyDescent="0.25">
      <c r="A167" s="188"/>
      <c r="B167" s="221"/>
      <c r="C167" s="221"/>
      <c r="D167" s="222"/>
      <c r="E167" s="211"/>
      <c r="F167" s="214"/>
      <c r="G167" s="216"/>
      <c r="H167" s="221"/>
      <c r="I167" s="221"/>
      <c r="J167" s="222"/>
      <c r="K167" s="211"/>
      <c r="L167" s="214"/>
      <c r="M167" s="188"/>
    </row>
    <row r="168" spans="1:13" ht="18" customHeight="1" x14ac:dyDescent="0.25">
      <c r="A168" s="188"/>
      <c r="B168" s="221"/>
      <c r="C168" s="221"/>
      <c r="D168" s="222"/>
      <c r="E168" s="211"/>
      <c r="F168" s="214"/>
      <c r="G168" s="216"/>
      <c r="H168" s="221"/>
      <c r="I168" s="221"/>
      <c r="J168" s="222"/>
      <c r="K168" s="211"/>
      <c r="L168" s="214"/>
      <c r="M168" s="188"/>
    </row>
    <row r="169" spans="1:13" ht="18" customHeight="1" x14ac:dyDescent="0.25">
      <c r="A169" s="188"/>
      <c r="B169" s="221"/>
      <c r="C169" s="221"/>
      <c r="D169" s="222"/>
      <c r="E169" s="211"/>
      <c r="F169" s="214"/>
      <c r="G169" s="216"/>
      <c r="H169" s="221"/>
      <c r="I169" s="221"/>
      <c r="J169" s="222"/>
      <c r="K169" s="211"/>
      <c r="L169" s="214"/>
      <c r="M169" s="188"/>
    </row>
    <row r="170" spans="1:13" ht="18" customHeight="1" x14ac:dyDescent="0.25">
      <c r="A170" s="188"/>
      <c r="B170" s="221"/>
      <c r="C170" s="221"/>
      <c r="D170" s="222"/>
      <c r="E170" s="211"/>
      <c r="F170" s="214"/>
      <c r="G170" s="216"/>
      <c r="H170" s="221"/>
      <c r="I170" s="221"/>
      <c r="J170" s="222"/>
      <c r="K170" s="211"/>
      <c r="L170" s="214"/>
      <c r="M170" s="188"/>
    </row>
    <row r="171" spans="1:13" ht="18" customHeight="1" x14ac:dyDescent="0.25">
      <c r="A171" s="188"/>
      <c r="B171" s="221"/>
      <c r="C171" s="221"/>
      <c r="D171" s="222"/>
      <c r="E171" s="211"/>
      <c r="F171" s="214"/>
      <c r="G171" s="216"/>
      <c r="H171" s="221"/>
      <c r="I171" s="221"/>
      <c r="J171" s="222"/>
      <c r="K171" s="211"/>
      <c r="L171" s="214"/>
      <c r="M171" s="188"/>
    </row>
    <row r="172" spans="1:13" ht="18" customHeight="1" x14ac:dyDescent="0.25">
      <c r="A172" s="188"/>
      <c r="B172" s="221"/>
      <c r="C172" s="221"/>
      <c r="D172" s="222"/>
      <c r="E172" s="211"/>
      <c r="F172" s="214"/>
      <c r="G172" s="216"/>
      <c r="H172" s="221"/>
      <c r="I172" s="221"/>
      <c r="J172" s="222"/>
      <c r="K172" s="211"/>
      <c r="L172" s="214"/>
      <c r="M172" s="188"/>
    </row>
    <row r="173" spans="1:13" ht="18" customHeight="1" x14ac:dyDescent="0.25">
      <c r="A173" s="188"/>
      <c r="B173" s="221"/>
      <c r="C173" s="221"/>
      <c r="D173" s="222"/>
      <c r="E173" s="211"/>
      <c r="F173" s="214"/>
      <c r="G173" s="216"/>
      <c r="H173" s="221"/>
      <c r="I173" s="221"/>
      <c r="J173" s="222"/>
      <c r="K173" s="211"/>
      <c r="L173" s="214"/>
      <c r="M173" s="188"/>
    </row>
    <row r="174" spans="1:13" ht="18" customHeight="1" x14ac:dyDescent="0.25">
      <c r="A174" s="188"/>
      <c r="B174" s="221"/>
      <c r="C174" s="221"/>
      <c r="D174" s="222"/>
      <c r="E174" s="211"/>
      <c r="F174" s="214"/>
      <c r="G174" s="216"/>
      <c r="H174" s="221"/>
      <c r="I174" s="221"/>
      <c r="J174" s="222"/>
      <c r="K174" s="211"/>
      <c r="L174" s="214"/>
      <c r="M174" s="188"/>
    </row>
    <row r="175" spans="1:13" ht="18" customHeight="1" x14ac:dyDescent="0.25">
      <c r="A175" s="188"/>
      <c r="B175" s="221"/>
      <c r="C175" s="221"/>
      <c r="D175" s="222"/>
      <c r="E175" s="211"/>
      <c r="F175" s="214"/>
      <c r="G175" s="216"/>
      <c r="H175" s="221"/>
      <c r="I175" s="221"/>
      <c r="J175" s="222"/>
      <c r="K175" s="211"/>
      <c r="L175" s="214"/>
      <c r="M175" s="188"/>
    </row>
    <row r="176" spans="1:13" ht="18" customHeight="1" x14ac:dyDescent="0.25">
      <c r="A176" s="188"/>
      <c r="B176" s="221"/>
      <c r="C176" s="221"/>
      <c r="D176" s="222"/>
      <c r="E176" s="211"/>
      <c r="F176" s="214"/>
      <c r="G176" s="216"/>
      <c r="H176" s="221"/>
      <c r="I176" s="221"/>
      <c r="J176" s="222"/>
      <c r="K176" s="211"/>
      <c r="L176" s="214"/>
      <c r="M176" s="188"/>
    </row>
    <row r="177" spans="1:13" ht="18" customHeight="1" x14ac:dyDescent="0.25">
      <c r="A177" s="188"/>
      <c r="B177" s="221"/>
      <c r="C177" s="221"/>
      <c r="D177" s="222"/>
      <c r="E177" s="211"/>
      <c r="F177" s="214"/>
      <c r="G177" s="216"/>
      <c r="H177" s="221"/>
      <c r="I177" s="221"/>
      <c r="J177" s="222"/>
      <c r="K177" s="211"/>
      <c r="L177" s="214"/>
      <c r="M177" s="188"/>
    </row>
    <row r="178" spans="1:13" ht="18" customHeight="1" x14ac:dyDescent="0.25">
      <c r="A178" s="188"/>
      <c r="B178" s="221"/>
      <c r="C178" s="221"/>
      <c r="D178" s="222"/>
      <c r="E178" s="211"/>
      <c r="F178" s="214"/>
      <c r="G178" s="216"/>
      <c r="H178" s="221"/>
      <c r="I178" s="221"/>
      <c r="J178" s="222"/>
      <c r="K178" s="211"/>
      <c r="L178" s="214"/>
      <c r="M178" s="188"/>
    </row>
    <row r="179" spans="1:13" ht="18" customHeight="1" x14ac:dyDescent="0.25">
      <c r="A179" s="188"/>
      <c r="B179" s="221"/>
      <c r="C179" s="221"/>
      <c r="D179" s="222"/>
      <c r="E179" s="211"/>
      <c r="F179" s="214"/>
      <c r="G179" s="216"/>
      <c r="H179" s="221"/>
      <c r="I179" s="221"/>
      <c r="J179" s="222"/>
      <c r="K179" s="211"/>
      <c r="L179" s="214"/>
      <c r="M179" s="188"/>
    </row>
    <row r="180" spans="1:13" ht="18" customHeight="1" x14ac:dyDescent="0.25">
      <c r="A180" s="188"/>
      <c r="B180" s="221"/>
      <c r="C180" s="221"/>
      <c r="D180" s="222"/>
      <c r="E180" s="211"/>
      <c r="F180" s="214"/>
      <c r="G180" s="216"/>
      <c r="H180" s="221"/>
      <c r="I180" s="221"/>
      <c r="J180" s="222"/>
      <c r="K180" s="211"/>
      <c r="L180" s="214"/>
      <c r="M180" s="188"/>
    </row>
    <row r="181" spans="1:13" ht="18" customHeight="1" x14ac:dyDescent="0.25">
      <c r="A181" s="188"/>
      <c r="B181" s="221"/>
      <c r="C181" s="221"/>
      <c r="D181" s="222"/>
      <c r="E181" s="211"/>
      <c r="F181" s="214"/>
      <c r="G181" s="216"/>
      <c r="H181" s="221"/>
      <c r="I181" s="221"/>
      <c r="J181" s="222"/>
      <c r="K181" s="211"/>
      <c r="L181" s="214"/>
      <c r="M181" s="188"/>
    </row>
    <row r="182" spans="1:13" ht="18" customHeight="1" x14ac:dyDescent="0.25">
      <c r="A182" s="188"/>
      <c r="B182" s="221"/>
      <c r="C182" s="221"/>
      <c r="D182" s="222"/>
      <c r="E182" s="211"/>
      <c r="F182" s="214"/>
      <c r="G182" s="216"/>
      <c r="H182" s="221"/>
      <c r="I182" s="221"/>
      <c r="J182" s="222"/>
      <c r="K182" s="211"/>
      <c r="L182" s="214"/>
      <c r="M182" s="188"/>
    </row>
    <row r="183" spans="1:13" ht="18" customHeight="1" x14ac:dyDescent="0.25">
      <c r="A183" s="188"/>
      <c r="B183" s="221"/>
      <c r="C183" s="221"/>
      <c r="D183" s="222"/>
      <c r="E183" s="211"/>
      <c r="F183" s="214"/>
      <c r="G183" s="216"/>
      <c r="H183" s="221"/>
      <c r="I183" s="221"/>
      <c r="J183" s="222"/>
      <c r="K183" s="211"/>
      <c r="L183" s="214"/>
      <c r="M183" s="188"/>
    </row>
    <row r="184" spans="1:13" ht="18" customHeight="1" x14ac:dyDescent="0.25">
      <c r="A184" s="188"/>
      <c r="B184" s="221"/>
      <c r="C184" s="221"/>
      <c r="D184" s="222"/>
      <c r="E184" s="211"/>
      <c r="F184" s="214"/>
      <c r="G184" s="216"/>
      <c r="H184" s="221"/>
      <c r="I184" s="221"/>
      <c r="J184" s="222"/>
      <c r="K184" s="211"/>
      <c r="L184" s="214"/>
      <c r="M184" s="188"/>
    </row>
    <row r="185" spans="1:13" ht="18" customHeight="1" x14ac:dyDescent="0.25">
      <c r="A185" s="188"/>
      <c r="B185" s="221"/>
      <c r="C185" s="221"/>
      <c r="D185" s="222"/>
      <c r="E185" s="211"/>
      <c r="F185" s="214"/>
      <c r="G185" s="216"/>
      <c r="H185" s="221"/>
      <c r="I185" s="221"/>
      <c r="J185" s="222"/>
      <c r="K185" s="211"/>
      <c r="L185" s="214"/>
      <c r="M185" s="188"/>
    </row>
    <row r="186" spans="1:13" ht="18" customHeight="1" x14ac:dyDescent="0.25">
      <c r="A186" s="188"/>
      <c r="B186" s="221"/>
      <c r="C186" s="221"/>
      <c r="D186" s="222"/>
      <c r="E186" s="211"/>
      <c r="F186" s="214"/>
      <c r="G186" s="216"/>
      <c r="H186" s="221"/>
      <c r="I186" s="221"/>
      <c r="J186" s="222"/>
      <c r="K186" s="211"/>
      <c r="L186" s="214"/>
      <c r="M186" s="188"/>
    </row>
    <row r="187" spans="1:13" ht="18" customHeight="1" x14ac:dyDescent="0.25">
      <c r="A187" s="188"/>
      <c r="B187" s="221"/>
      <c r="C187" s="221"/>
      <c r="D187" s="222"/>
      <c r="E187" s="211"/>
      <c r="F187" s="214"/>
      <c r="G187" s="216"/>
      <c r="H187" s="221"/>
      <c r="I187" s="221"/>
      <c r="J187" s="222"/>
      <c r="K187" s="211"/>
      <c r="L187" s="214"/>
      <c r="M187" s="188"/>
    </row>
    <row r="188" spans="1:13" ht="18" customHeight="1" x14ac:dyDescent="0.25">
      <c r="A188" s="188"/>
      <c r="B188" s="221"/>
      <c r="C188" s="221"/>
      <c r="D188" s="222"/>
      <c r="E188" s="211"/>
      <c r="F188" s="214"/>
      <c r="G188" s="216"/>
      <c r="H188" s="221"/>
      <c r="I188" s="221"/>
      <c r="J188" s="222"/>
      <c r="K188" s="211"/>
      <c r="L188" s="214"/>
      <c r="M188" s="188"/>
    </row>
    <row r="189" spans="1:13" ht="18" customHeight="1" x14ac:dyDescent="0.25">
      <c r="A189" s="188"/>
      <c r="B189" s="221"/>
      <c r="C189" s="221"/>
      <c r="D189" s="222"/>
      <c r="E189" s="211"/>
      <c r="F189" s="214"/>
      <c r="G189" s="216"/>
      <c r="H189" s="221"/>
      <c r="I189" s="221"/>
      <c r="J189" s="222"/>
      <c r="K189" s="211"/>
      <c r="L189" s="214"/>
      <c r="M189" s="188"/>
    </row>
    <row r="190" spans="1:13" ht="18" customHeight="1" x14ac:dyDescent="0.25">
      <c r="A190" s="188"/>
      <c r="B190" s="221"/>
      <c r="C190" s="221"/>
      <c r="D190" s="222"/>
      <c r="E190" s="211"/>
      <c r="F190" s="214"/>
      <c r="G190" s="216"/>
      <c r="H190" s="221"/>
      <c r="I190" s="221"/>
      <c r="J190" s="222"/>
      <c r="K190" s="211"/>
      <c r="L190" s="214"/>
      <c r="M190" s="188"/>
    </row>
    <row r="191" spans="1:13" ht="18" customHeight="1" x14ac:dyDescent="0.25">
      <c r="A191" s="188"/>
      <c r="B191" s="221"/>
      <c r="C191" s="221"/>
      <c r="D191" s="222"/>
      <c r="E191" s="211"/>
      <c r="F191" s="214"/>
      <c r="G191" s="216"/>
      <c r="H191" s="221"/>
      <c r="I191" s="221"/>
      <c r="J191" s="222"/>
      <c r="K191" s="211"/>
      <c r="L191" s="214"/>
      <c r="M191" s="188"/>
    </row>
    <row r="192" spans="1:13" ht="18" customHeight="1" x14ac:dyDescent="0.25">
      <c r="A192" s="188"/>
      <c r="B192" s="221"/>
      <c r="C192" s="221"/>
      <c r="D192" s="222"/>
      <c r="E192" s="211"/>
      <c r="F192" s="214"/>
      <c r="G192" s="216"/>
      <c r="H192" s="221"/>
      <c r="I192" s="221"/>
      <c r="J192" s="222"/>
      <c r="K192" s="211"/>
      <c r="L192" s="214"/>
      <c r="M192" s="188"/>
    </row>
    <row r="193" spans="1:13" ht="18" customHeight="1" x14ac:dyDescent="0.25">
      <c r="A193" s="188"/>
      <c r="B193" s="221"/>
      <c r="C193" s="221"/>
      <c r="D193" s="222"/>
      <c r="E193" s="211"/>
      <c r="F193" s="214"/>
      <c r="G193" s="216"/>
      <c r="H193" s="221"/>
      <c r="I193" s="221"/>
      <c r="J193" s="222"/>
      <c r="K193" s="211"/>
      <c r="L193" s="214"/>
      <c r="M193" s="188"/>
    </row>
    <row r="194" spans="1:13" ht="18" customHeight="1" x14ac:dyDescent="0.25">
      <c r="A194" s="188"/>
      <c r="B194" s="221"/>
      <c r="C194" s="221"/>
      <c r="D194" s="222"/>
      <c r="E194" s="211"/>
      <c r="F194" s="214"/>
      <c r="G194" s="216"/>
      <c r="H194" s="221"/>
      <c r="I194" s="221"/>
      <c r="J194" s="222"/>
      <c r="K194" s="211"/>
      <c r="L194" s="214"/>
      <c r="M194" s="188"/>
    </row>
    <row r="195" spans="1:13" ht="18" customHeight="1" x14ac:dyDescent="0.25">
      <c r="A195" s="188"/>
      <c r="B195" s="221"/>
      <c r="C195" s="221"/>
      <c r="D195" s="222"/>
      <c r="E195" s="211"/>
      <c r="F195" s="214"/>
      <c r="G195" s="216"/>
      <c r="H195" s="221"/>
      <c r="I195" s="221"/>
      <c r="J195" s="222"/>
      <c r="K195" s="211"/>
      <c r="L195" s="214"/>
      <c r="M195" s="188"/>
    </row>
    <row r="196" spans="1:13" ht="18" customHeight="1" x14ac:dyDescent="0.25">
      <c r="A196" s="188"/>
      <c r="B196" s="221"/>
      <c r="C196" s="221"/>
      <c r="D196" s="222"/>
      <c r="E196" s="211"/>
      <c r="F196" s="214"/>
      <c r="G196" s="216"/>
      <c r="H196" s="221"/>
      <c r="I196" s="221"/>
      <c r="J196" s="222"/>
      <c r="K196" s="211"/>
      <c r="L196" s="214"/>
      <c r="M196" s="188"/>
    </row>
    <row r="197" spans="1:13" ht="18" customHeight="1" x14ac:dyDescent="0.25">
      <c r="A197" s="188"/>
      <c r="B197" s="221"/>
      <c r="C197" s="221"/>
      <c r="D197" s="222"/>
      <c r="E197" s="211"/>
      <c r="F197" s="214"/>
      <c r="G197" s="216"/>
      <c r="H197" s="221"/>
      <c r="I197" s="221"/>
      <c r="J197" s="222"/>
      <c r="K197" s="211"/>
      <c r="L197" s="214"/>
      <c r="M197" s="188"/>
    </row>
    <row r="198" spans="1:13" ht="18" customHeight="1" x14ac:dyDescent="0.25">
      <c r="A198" s="188"/>
      <c r="B198" s="221"/>
      <c r="C198" s="221"/>
      <c r="D198" s="222"/>
      <c r="E198" s="211"/>
      <c r="F198" s="214"/>
      <c r="G198" s="216"/>
      <c r="H198" s="221"/>
      <c r="I198" s="221"/>
      <c r="J198" s="222"/>
      <c r="K198" s="211"/>
      <c r="L198" s="214"/>
      <c r="M198" s="188"/>
    </row>
    <row r="199" spans="1:13" ht="18" customHeight="1" x14ac:dyDescent="0.25">
      <c r="A199" s="188"/>
      <c r="B199" s="221"/>
      <c r="C199" s="221"/>
      <c r="D199" s="222"/>
      <c r="E199" s="211"/>
      <c r="F199" s="214"/>
      <c r="G199" s="216"/>
      <c r="H199" s="221"/>
      <c r="I199" s="221"/>
      <c r="J199" s="222"/>
      <c r="K199" s="211"/>
      <c r="L199" s="214"/>
      <c r="M199" s="188"/>
    </row>
    <row r="200" spans="1:13" ht="18" customHeight="1" x14ac:dyDescent="0.25">
      <c r="A200" s="188"/>
      <c r="B200" s="221"/>
      <c r="C200" s="221"/>
      <c r="D200" s="222"/>
      <c r="E200" s="211"/>
      <c r="F200" s="214"/>
      <c r="G200" s="216"/>
      <c r="H200" s="221"/>
      <c r="I200" s="221"/>
      <c r="J200" s="222"/>
      <c r="K200" s="211"/>
      <c r="L200" s="214"/>
      <c r="M200" s="188"/>
    </row>
    <row r="201" spans="1:13" ht="18" customHeight="1" x14ac:dyDescent="0.25">
      <c r="A201" s="188"/>
      <c r="B201" s="221"/>
      <c r="C201" s="221"/>
      <c r="D201" s="222"/>
      <c r="E201" s="211"/>
      <c r="F201" s="214"/>
      <c r="G201" s="216"/>
      <c r="H201" s="221"/>
      <c r="I201" s="221"/>
      <c r="J201" s="222"/>
      <c r="K201" s="211"/>
      <c r="L201" s="214"/>
      <c r="M201" s="188"/>
    </row>
    <row r="202" spans="1:13" ht="18" customHeight="1" x14ac:dyDescent="0.25">
      <c r="A202" s="188"/>
      <c r="B202" s="221"/>
      <c r="C202" s="221"/>
      <c r="D202" s="222"/>
      <c r="E202" s="211"/>
      <c r="F202" s="214"/>
      <c r="G202" s="216"/>
      <c r="H202" s="221"/>
      <c r="I202" s="221"/>
      <c r="J202" s="222"/>
      <c r="K202" s="211"/>
      <c r="L202" s="214"/>
      <c r="M202" s="188"/>
    </row>
    <row r="203" spans="1:13" ht="18" customHeight="1" x14ac:dyDescent="0.25">
      <c r="A203" s="188"/>
      <c r="B203" s="221"/>
      <c r="C203" s="221"/>
      <c r="D203" s="222"/>
      <c r="E203" s="211"/>
      <c r="F203" s="214"/>
      <c r="G203" s="216"/>
      <c r="H203" s="221"/>
      <c r="I203" s="221"/>
      <c r="J203" s="222"/>
      <c r="K203" s="211"/>
      <c r="L203" s="214"/>
      <c r="M203" s="188"/>
    </row>
    <row r="204" spans="1:13" ht="18" customHeight="1" x14ac:dyDescent="0.25">
      <c r="A204" s="188"/>
      <c r="B204" s="221"/>
      <c r="C204" s="221"/>
      <c r="D204" s="222"/>
      <c r="E204" s="211"/>
      <c r="F204" s="214"/>
      <c r="G204" s="216"/>
      <c r="H204" s="221"/>
      <c r="I204" s="221"/>
      <c r="J204" s="222"/>
      <c r="K204" s="211"/>
      <c r="L204" s="214"/>
      <c r="M204" s="188"/>
    </row>
    <row r="205" spans="1:13" ht="18" customHeight="1" x14ac:dyDescent="0.25">
      <c r="A205" s="188"/>
      <c r="B205" s="221"/>
      <c r="C205" s="221"/>
      <c r="D205" s="222"/>
      <c r="E205" s="211"/>
      <c r="F205" s="214"/>
      <c r="G205" s="216"/>
      <c r="H205" s="221"/>
      <c r="I205" s="221"/>
      <c r="J205" s="222"/>
      <c r="K205" s="211"/>
      <c r="L205" s="214"/>
      <c r="M205" s="188"/>
    </row>
    <row r="206" spans="1:13" ht="18" customHeight="1" x14ac:dyDescent="0.25">
      <c r="A206" s="188"/>
      <c r="B206" s="221"/>
      <c r="C206" s="221"/>
      <c r="D206" s="222"/>
      <c r="E206" s="211"/>
      <c r="F206" s="214"/>
      <c r="G206" s="216"/>
      <c r="H206" s="221"/>
      <c r="I206" s="221"/>
      <c r="J206" s="222"/>
      <c r="K206" s="211"/>
      <c r="L206" s="214"/>
      <c r="M206" s="188"/>
    </row>
    <row r="207" spans="1:13" ht="18" customHeight="1" x14ac:dyDescent="0.25">
      <c r="A207" s="188"/>
      <c r="B207" s="221"/>
      <c r="C207" s="221"/>
      <c r="D207" s="222"/>
      <c r="E207" s="211"/>
      <c r="F207" s="214"/>
      <c r="G207" s="216"/>
      <c r="H207" s="221"/>
      <c r="I207" s="221"/>
      <c r="J207" s="222"/>
      <c r="K207" s="211"/>
      <c r="L207" s="214"/>
      <c r="M207" s="188"/>
    </row>
    <row r="208" spans="1:13" ht="18" customHeight="1" x14ac:dyDescent="0.25">
      <c r="A208" s="188"/>
      <c r="B208" s="221"/>
      <c r="C208" s="221"/>
      <c r="D208" s="222"/>
      <c r="E208" s="211"/>
      <c r="F208" s="214"/>
      <c r="G208" s="216"/>
      <c r="H208" s="221"/>
      <c r="I208" s="221"/>
      <c r="J208" s="222"/>
      <c r="K208" s="211"/>
      <c r="L208" s="214"/>
      <c r="M208" s="188"/>
    </row>
    <row r="209" spans="1:13" ht="18" customHeight="1" x14ac:dyDescent="0.25">
      <c r="A209" s="188"/>
      <c r="B209" s="221"/>
      <c r="C209" s="221"/>
      <c r="D209" s="222"/>
      <c r="E209" s="211"/>
      <c r="F209" s="214"/>
      <c r="G209" s="216"/>
      <c r="H209" s="221"/>
      <c r="I209" s="221"/>
      <c r="J209" s="222"/>
      <c r="K209" s="211"/>
      <c r="L209" s="214"/>
      <c r="M209" s="188"/>
    </row>
    <row r="210" spans="1:13" ht="18" customHeight="1" x14ac:dyDescent="0.25">
      <c r="A210" s="188"/>
      <c r="B210" s="221"/>
      <c r="C210" s="221"/>
      <c r="D210" s="222"/>
      <c r="E210" s="211"/>
      <c r="F210" s="214"/>
      <c r="G210" s="216"/>
      <c r="H210" s="221"/>
      <c r="I210" s="221"/>
      <c r="J210" s="222"/>
      <c r="K210" s="211"/>
      <c r="L210" s="214"/>
      <c r="M210" s="188"/>
    </row>
    <row r="211" spans="1:13" ht="18" customHeight="1" x14ac:dyDescent="0.25">
      <c r="A211" s="188"/>
      <c r="B211" s="221"/>
      <c r="C211" s="221"/>
      <c r="D211" s="222"/>
      <c r="E211" s="211"/>
      <c r="F211" s="214"/>
      <c r="G211" s="216"/>
      <c r="H211" s="221"/>
      <c r="I211" s="221"/>
      <c r="J211" s="222"/>
      <c r="K211" s="211"/>
      <c r="L211" s="214"/>
      <c r="M211" s="188"/>
    </row>
    <row r="212" spans="1:13" ht="18" customHeight="1" x14ac:dyDescent="0.25">
      <c r="A212" s="188"/>
      <c r="B212" s="221"/>
      <c r="C212" s="221"/>
      <c r="D212" s="222"/>
      <c r="E212" s="211"/>
      <c r="F212" s="214"/>
      <c r="G212" s="216"/>
      <c r="H212" s="221"/>
      <c r="I212" s="221"/>
      <c r="J212" s="222"/>
      <c r="K212" s="211"/>
      <c r="L212" s="214"/>
      <c r="M212" s="188"/>
    </row>
    <row r="213" spans="1:13" ht="18" customHeight="1" x14ac:dyDescent="0.25">
      <c r="A213" s="188"/>
      <c r="B213" s="221"/>
      <c r="C213" s="221"/>
      <c r="D213" s="222"/>
      <c r="E213" s="211"/>
      <c r="F213" s="214"/>
      <c r="G213" s="216"/>
      <c r="H213" s="221"/>
      <c r="I213" s="221"/>
      <c r="J213" s="222"/>
      <c r="K213" s="211"/>
      <c r="L213" s="214"/>
      <c r="M213" s="188"/>
    </row>
    <row r="214" spans="1:13" ht="18" customHeight="1" x14ac:dyDescent="0.25">
      <c r="A214" s="188"/>
      <c r="B214" s="221"/>
      <c r="C214" s="221"/>
      <c r="D214" s="222"/>
      <c r="E214" s="211"/>
      <c r="F214" s="214"/>
      <c r="G214" s="216"/>
      <c r="H214" s="221"/>
      <c r="I214" s="221"/>
      <c r="J214" s="222"/>
      <c r="K214" s="211"/>
      <c r="L214" s="214"/>
      <c r="M214" s="188"/>
    </row>
    <row r="215" spans="1:13" ht="18" customHeight="1" x14ac:dyDescent="0.25">
      <c r="A215" s="188"/>
      <c r="B215" s="221"/>
      <c r="C215" s="221"/>
      <c r="D215" s="222"/>
      <c r="E215" s="211"/>
      <c r="F215" s="214"/>
      <c r="G215" s="216"/>
      <c r="H215" s="221"/>
      <c r="I215" s="221"/>
      <c r="J215" s="222"/>
      <c r="K215" s="211"/>
      <c r="L215" s="214"/>
      <c r="M215" s="188"/>
    </row>
    <row r="216" spans="1:13" ht="18" customHeight="1" x14ac:dyDescent="0.25">
      <c r="A216" s="188"/>
      <c r="B216" s="221"/>
      <c r="C216" s="221"/>
      <c r="D216" s="222"/>
      <c r="E216" s="211"/>
      <c r="F216" s="214"/>
      <c r="G216" s="216"/>
      <c r="H216" s="221"/>
      <c r="I216" s="221"/>
      <c r="J216" s="222"/>
      <c r="K216" s="211"/>
      <c r="L216" s="214"/>
      <c r="M216" s="188"/>
    </row>
    <row r="217" spans="1:13" ht="18" customHeight="1" x14ac:dyDescent="0.25">
      <c r="A217" s="188"/>
      <c r="B217" s="221"/>
      <c r="C217" s="221"/>
      <c r="D217" s="222"/>
      <c r="E217" s="211"/>
      <c r="F217" s="214"/>
      <c r="G217" s="216"/>
      <c r="H217" s="221"/>
      <c r="I217" s="221"/>
      <c r="J217" s="222"/>
      <c r="K217" s="211"/>
      <c r="L217" s="214"/>
      <c r="M217" s="188"/>
    </row>
    <row r="218" spans="1:13" ht="18" customHeight="1" x14ac:dyDescent="0.25">
      <c r="A218" s="188"/>
      <c r="B218" s="221"/>
      <c r="C218" s="221"/>
      <c r="D218" s="222"/>
      <c r="E218" s="211"/>
      <c r="F218" s="214"/>
      <c r="G218" s="216"/>
      <c r="H218" s="221"/>
      <c r="I218" s="221"/>
      <c r="J218" s="222"/>
      <c r="K218" s="211"/>
      <c r="L218" s="214"/>
      <c r="M218" s="188"/>
    </row>
    <row r="219" spans="1:13" ht="18" customHeight="1" x14ac:dyDescent="0.25">
      <c r="A219" s="188"/>
      <c r="B219" s="221"/>
      <c r="C219" s="221"/>
      <c r="D219" s="222"/>
      <c r="E219" s="211"/>
      <c r="F219" s="214"/>
      <c r="G219" s="216"/>
      <c r="H219" s="221"/>
      <c r="I219" s="221"/>
      <c r="J219" s="222"/>
      <c r="K219" s="211"/>
      <c r="L219" s="214"/>
      <c r="M219" s="188"/>
    </row>
    <row r="220" spans="1:13" ht="18" customHeight="1" x14ac:dyDescent="0.25">
      <c r="A220" s="188"/>
      <c r="B220" s="221"/>
      <c r="C220" s="221"/>
      <c r="D220" s="222"/>
      <c r="E220" s="211"/>
      <c r="F220" s="214"/>
      <c r="G220" s="216"/>
      <c r="H220" s="221"/>
      <c r="I220" s="221"/>
      <c r="J220" s="222"/>
      <c r="K220" s="211"/>
      <c r="L220" s="214"/>
      <c r="M220" s="188"/>
    </row>
    <row r="221" spans="1:13" ht="18" customHeight="1" x14ac:dyDescent="0.25">
      <c r="A221" s="188"/>
      <c r="B221" s="221"/>
      <c r="C221" s="221"/>
      <c r="D221" s="222"/>
      <c r="E221" s="211"/>
      <c r="F221" s="214"/>
      <c r="G221" s="216"/>
      <c r="H221" s="221"/>
      <c r="I221" s="221"/>
      <c r="J221" s="222"/>
      <c r="K221" s="211"/>
      <c r="L221" s="214"/>
      <c r="M221" s="188"/>
    </row>
    <row r="222" spans="1:13" ht="18" customHeight="1" x14ac:dyDescent="0.25">
      <c r="A222" s="188"/>
      <c r="B222" s="221"/>
      <c r="C222" s="221"/>
      <c r="D222" s="222"/>
      <c r="E222" s="211"/>
      <c r="F222" s="214"/>
      <c r="G222" s="216"/>
      <c r="H222" s="221"/>
      <c r="I222" s="221"/>
      <c r="J222" s="222"/>
      <c r="K222" s="211"/>
      <c r="L222" s="214"/>
      <c r="M222" s="188"/>
    </row>
    <row r="223" spans="1:13" ht="18" customHeight="1" x14ac:dyDescent="0.25">
      <c r="A223" s="188"/>
      <c r="B223" s="221"/>
      <c r="C223" s="221"/>
      <c r="D223" s="222"/>
      <c r="E223" s="211"/>
      <c r="F223" s="214"/>
      <c r="G223" s="216"/>
      <c r="H223" s="221"/>
      <c r="I223" s="221"/>
      <c r="J223" s="222"/>
      <c r="K223" s="211"/>
      <c r="L223" s="214"/>
      <c r="M223" s="188"/>
    </row>
    <row r="224" spans="1:13" ht="18" customHeight="1" x14ac:dyDescent="0.25">
      <c r="A224" s="188"/>
      <c r="B224" s="221"/>
      <c r="C224" s="221"/>
      <c r="D224" s="222"/>
      <c r="E224" s="211"/>
      <c r="F224" s="214"/>
      <c r="G224" s="216"/>
      <c r="H224" s="221"/>
      <c r="I224" s="221"/>
      <c r="J224" s="222"/>
      <c r="K224" s="211"/>
      <c r="L224" s="214"/>
      <c r="M224" s="188"/>
    </row>
    <row r="225" spans="1:13" ht="18" customHeight="1" x14ac:dyDescent="0.25">
      <c r="A225" s="188"/>
      <c r="B225" s="221"/>
      <c r="C225" s="221"/>
      <c r="D225" s="222"/>
      <c r="E225" s="211"/>
      <c r="F225" s="214"/>
      <c r="G225" s="216"/>
      <c r="H225" s="221"/>
      <c r="I225" s="221"/>
      <c r="J225" s="222"/>
      <c r="K225" s="211"/>
      <c r="L225" s="214"/>
      <c r="M225" s="188"/>
    </row>
    <row r="226" spans="1:13" ht="18" customHeight="1" x14ac:dyDescent="0.25">
      <c r="A226" s="188"/>
      <c r="B226" s="221"/>
      <c r="C226" s="221"/>
      <c r="D226" s="222"/>
      <c r="E226" s="211"/>
      <c r="F226" s="214"/>
      <c r="G226" s="216"/>
      <c r="H226" s="221"/>
      <c r="I226" s="221"/>
      <c r="J226" s="222"/>
      <c r="K226" s="211"/>
      <c r="L226" s="214"/>
      <c r="M226" s="188"/>
    </row>
    <row r="227" spans="1:13" ht="18" customHeight="1" x14ac:dyDescent="0.25">
      <c r="A227" s="188"/>
      <c r="B227" s="221"/>
      <c r="C227" s="221"/>
      <c r="D227" s="222"/>
      <c r="E227" s="211"/>
      <c r="F227" s="214"/>
      <c r="G227" s="216"/>
      <c r="H227" s="221"/>
      <c r="I227" s="221"/>
      <c r="J227" s="222"/>
      <c r="K227" s="211"/>
      <c r="L227" s="214"/>
      <c r="M227" s="188"/>
    </row>
    <row r="228" spans="1:13" ht="18" customHeight="1" x14ac:dyDescent="0.25">
      <c r="A228" s="188"/>
      <c r="B228" s="221"/>
      <c r="C228" s="221"/>
      <c r="D228" s="222"/>
      <c r="E228" s="211"/>
      <c r="F228" s="214"/>
      <c r="G228" s="216"/>
      <c r="H228" s="221"/>
      <c r="I228" s="221"/>
      <c r="J228" s="222"/>
      <c r="K228" s="211"/>
      <c r="L228" s="214"/>
      <c r="M228" s="188"/>
    </row>
    <row r="229" spans="1:13" ht="18" customHeight="1" x14ac:dyDescent="0.25">
      <c r="A229" s="188"/>
      <c r="B229" s="221"/>
      <c r="C229" s="221"/>
      <c r="D229" s="222"/>
      <c r="E229" s="211"/>
      <c r="F229" s="214"/>
      <c r="G229" s="216"/>
      <c r="H229" s="221"/>
      <c r="I229" s="221"/>
      <c r="J229" s="222"/>
      <c r="K229" s="211"/>
      <c r="L229" s="214"/>
      <c r="M229" s="188"/>
    </row>
    <row r="230" spans="1:13" ht="18" customHeight="1" x14ac:dyDescent="0.25">
      <c r="A230" s="188"/>
      <c r="B230" s="221"/>
      <c r="C230" s="221"/>
      <c r="D230" s="222"/>
      <c r="E230" s="211"/>
      <c r="F230" s="214"/>
      <c r="G230" s="216"/>
      <c r="H230" s="221"/>
      <c r="I230" s="221"/>
      <c r="J230" s="222"/>
      <c r="K230" s="211"/>
      <c r="L230" s="214"/>
      <c r="M230" s="188"/>
    </row>
    <row r="231" spans="1:13" ht="18" customHeight="1" x14ac:dyDescent="0.25">
      <c r="A231" s="188"/>
      <c r="B231" s="221"/>
      <c r="C231" s="221"/>
      <c r="D231" s="222"/>
      <c r="E231" s="211"/>
      <c r="F231" s="214"/>
      <c r="G231" s="216"/>
      <c r="H231" s="221"/>
      <c r="I231" s="221"/>
      <c r="J231" s="222"/>
      <c r="K231" s="211"/>
      <c r="L231" s="214"/>
      <c r="M231" s="188"/>
    </row>
    <row r="232" spans="1:13" ht="18" customHeight="1" x14ac:dyDescent="0.25">
      <c r="A232" s="188"/>
      <c r="B232" s="221"/>
      <c r="C232" s="221"/>
      <c r="D232" s="222"/>
      <c r="E232" s="211"/>
      <c r="F232" s="214"/>
      <c r="G232" s="216"/>
      <c r="H232" s="221"/>
      <c r="I232" s="221"/>
      <c r="J232" s="222"/>
      <c r="K232" s="211"/>
      <c r="L232" s="214"/>
      <c r="M232" s="188"/>
    </row>
    <row r="233" spans="1:13" ht="18" customHeight="1" x14ac:dyDescent="0.25">
      <c r="A233" s="188"/>
      <c r="B233" s="221"/>
      <c r="C233" s="221"/>
      <c r="D233" s="222"/>
      <c r="E233" s="211"/>
      <c r="F233" s="214"/>
      <c r="G233" s="216"/>
      <c r="H233" s="221"/>
      <c r="I233" s="221"/>
      <c r="J233" s="222"/>
      <c r="K233" s="211"/>
      <c r="L233" s="214"/>
      <c r="M233" s="188"/>
    </row>
    <row r="234" spans="1:13" ht="18" customHeight="1" x14ac:dyDescent="0.25">
      <c r="A234" s="188"/>
      <c r="B234" s="221"/>
      <c r="C234" s="221"/>
      <c r="D234" s="222"/>
      <c r="E234" s="211"/>
      <c r="F234" s="214"/>
      <c r="G234" s="216"/>
      <c r="H234" s="221"/>
      <c r="I234" s="221"/>
      <c r="J234" s="222"/>
      <c r="K234" s="211"/>
      <c r="L234" s="214"/>
      <c r="M234" s="188"/>
    </row>
    <row r="235" spans="1:13" ht="18" customHeight="1" x14ac:dyDescent="0.25">
      <c r="A235" s="188"/>
      <c r="B235" s="221"/>
      <c r="C235" s="221"/>
      <c r="D235" s="222"/>
      <c r="E235" s="211"/>
      <c r="F235" s="214"/>
      <c r="G235" s="216"/>
      <c r="H235" s="221"/>
      <c r="I235" s="221"/>
      <c r="J235" s="222"/>
      <c r="K235" s="211"/>
      <c r="L235" s="214"/>
      <c r="M235" s="188"/>
    </row>
    <row r="236" spans="1:13" ht="18" customHeight="1" x14ac:dyDescent="0.25">
      <c r="A236" s="188"/>
      <c r="B236" s="221"/>
      <c r="C236" s="221"/>
      <c r="D236" s="222"/>
      <c r="E236" s="211"/>
      <c r="F236" s="214"/>
      <c r="G236" s="216"/>
      <c r="H236" s="221"/>
      <c r="I236" s="221"/>
      <c r="J236" s="222"/>
      <c r="K236" s="211"/>
      <c r="L236" s="214"/>
      <c r="M236" s="188"/>
    </row>
    <row r="237" spans="1:13" ht="18" customHeight="1" x14ac:dyDescent="0.25">
      <c r="A237" s="188"/>
      <c r="B237" s="221"/>
      <c r="C237" s="221"/>
      <c r="D237" s="222"/>
      <c r="E237" s="211"/>
      <c r="F237" s="214"/>
      <c r="G237" s="216"/>
      <c r="H237" s="221"/>
      <c r="I237" s="221"/>
      <c r="J237" s="222"/>
      <c r="K237" s="211"/>
      <c r="L237" s="214"/>
      <c r="M237" s="188"/>
    </row>
    <row r="238" spans="1:13" ht="18" customHeight="1" x14ac:dyDescent="0.25">
      <c r="A238" s="188"/>
      <c r="B238" s="221"/>
      <c r="C238" s="221"/>
      <c r="D238" s="222"/>
      <c r="E238" s="211"/>
      <c r="F238" s="214"/>
      <c r="G238" s="216"/>
      <c r="H238" s="221"/>
      <c r="I238" s="221"/>
      <c r="J238" s="222"/>
      <c r="K238" s="211"/>
      <c r="L238" s="214"/>
      <c r="M238" s="188"/>
    </row>
    <row r="239" spans="1:13" ht="18" customHeight="1" x14ac:dyDescent="0.25">
      <c r="A239" s="188"/>
      <c r="B239" s="221"/>
      <c r="C239" s="221"/>
      <c r="D239" s="222"/>
      <c r="E239" s="211"/>
      <c r="F239" s="214"/>
      <c r="G239" s="216"/>
      <c r="H239" s="221"/>
      <c r="I239" s="221"/>
      <c r="J239" s="222"/>
      <c r="K239" s="211"/>
      <c r="L239" s="214"/>
      <c r="M239" s="188"/>
    </row>
    <row r="240" spans="1:13" ht="18" customHeight="1" x14ac:dyDescent="0.25">
      <c r="A240" s="188"/>
      <c r="B240" s="221"/>
      <c r="C240" s="221"/>
      <c r="D240" s="222"/>
      <c r="E240" s="211"/>
      <c r="F240" s="214"/>
      <c r="G240" s="216"/>
      <c r="H240" s="221"/>
      <c r="I240" s="221"/>
      <c r="J240" s="222"/>
      <c r="K240" s="211"/>
      <c r="L240" s="214"/>
      <c r="M240" s="188"/>
    </row>
    <row r="241" spans="1:13" ht="18" customHeight="1" x14ac:dyDescent="0.25">
      <c r="A241" s="188"/>
      <c r="B241" s="221"/>
      <c r="C241" s="221"/>
      <c r="D241" s="222"/>
      <c r="E241" s="211"/>
      <c r="F241" s="214"/>
      <c r="G241" s="216"/>
      <c r="H241" s="221"/>
      <c r="I241" s="221"/>
      <c r="J241" s="222"/>
      <c r="K241" s="211"/>
      <c r="L241" s="214"/>
      <c r="M241" s="188"/>
    </row>
    <row r="242" spans="1:13" ht="18" customHeight="1" x14ac:dyDescent="0.25">
      <c r="A242" s="188"/>
      <c r="B242" s="221"/>
      <c r="C242" s="221"/>
      <c r="D242" s="222"/>
      <c r="E242" s="211"/>
      <c r="F242" s="214"/>
      <c r="G242" s="216"/>
      <c r="H242" s="221"/>
      <c r="I242" s="221"/>
      <c r="J242" s="222"/>
      <c r="K242" s="211"/>
      <c r="L242" s="214"/>
      <c r="M242" s="188"/>
    </row>
    <row r="243" spans="1:13" ht="18" customHeight="1" x14ac:dyDescent="0.25">
      <c r="A243" s="188"/>
      <c r="B243" s="221"/>
      <c r="C243" s="221"/>
      <c r="D243" s="222"/>
      <c r="E243" s="211"/>
      <c r="F243" s="214"/>
      <c r="G243" s="216"/>
      <c r="H243" s="221"/>
      <c r="I243" s="221"/>
      <c r="J243" s="222"/>
      <c r="K243" s="211"/>
      <c r="L243" s="214"/>
      <c r="M243" s="188"/>
    </row>
    <row r="244" spans="1:13" ht="18" customHeight="1" x14ac:dyDescent="0.25">
      <c r="A244" s="188"/>
      <c r="B244" s="221"/>
      <c r="C244" s="221"/>
      <c r="D244" s="222"/>
      <c r="E244" s="211"/>
      <c r="F244" s="214"/>
      <c r="G244" s="216"/>
      <c r="H244" s="221"/>
      <c r="I244" s="221"/>
      <c r="J244" s="222"/>
      <c r="K244" s="211"/>
      <c r="L244" s="214"/>
      <c r="M244" s="188"/>
    </row>
    <row r="245" spans="1:13" ht="15.75" customHeight="1" x14ac:dyDescent="0.25"/>
    <row r="246" spans="1:13" ht="15.75" customHeight="1" x14ac:dyDescent="0.25"/>
    <row r="247" spans="1:13" ht="15.75" customHeight="1" x14ac:dyDescent="0.25"/>
    <row r="248" spans="1:13" ht="15.75" customHeight="1" x14ac:dyDescent="0.25"/>
    <row r="249" spans="1:13" ht="15.75" customHeight="1" x14ac:dyDescent="0.25"/>
    <row r="250" spans="1:13" ht="15.75" customHeight="1" x14ac:dyDescent="0.25"/>
    <row r="251" spans="1:13" ht="15.75" customHeight="1" x14ac:dyDescent="0.25"/>
    <row r="252" spans="1:13" ht="15.75" customHeight="1" x14ac:dyDescent="0.25"/>
    <row r="253" spans="1:13" ht="15.75" customHeight="1" x14ac:dyDescent="0.25"/>
    <row r="254" spans="1:13" ht="15.75" customHeight="1" x14ac:dyDescent="0.25"/>
    <row r="255" spans="1:13" ht="15.75" customHeight="1" x14ac:dyDescent="0.25"/>
    <row r="256" spans="1:1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9">
    <mergeCell ref="H41:I41"/>
    <mergeCell ref="H42:I42"/>
    <mergeCell ref="H43:I43"/>
    <mergeCell ref="H44:I44"/>
    <mergeCell ref="H30:I30"/>
    <mergeCell ref="H31:I31"/>
    <mergeCell ref="H32:I32"/>
    <mergeCell ref="H33:I33"/>
    <mergeCell ref="H34:I34"/>
    <mergeCell ref="H35:I35"/>
    <mergeCell ref="H36:I36"/>
    <mergeCell ref="B35:C35"/>
    <mergeCell ref="H37:I37"/>
    <mergeCell ref="H38:I38"/>
    <mergeCell ref="H39:I39"/>
    <mergeCell ref="H40:I40"/>
    <mergeCell ref="B30:C30"/>
    <mergeCell ref="B31:C31"/>
    <mergeCell ref="B32:C32"/>
    <mergeCell ref="B33:C33"/>
    <mergeCell ref="B34:C34"/>
    <mergeCell ref="B27:C27"/>
    <mergeCell ref="H27:I27"/>
    <mergeCell ref="B28:C28"/>
    <mergeCell ref="H28:I28"/>
    <mergeCell ref="H29:I29"/>
    <mergeCell ref="B29:C29"/>
    <mergeCell ref="D22:F22"/>
    <mergeCell ref="J22:L22"/>
    <mergeCell ref="J23:L23"/>
    <mergeCell ref="D23:F23"/>
    <mergeCell ref="B24:C24"/>
    <mergeCell ref="I16:K16"/>
    <mergeCell ref="I17:K17"/>
    <mergeCell ref="B20:F20"/>
    <mergeCell ref="D21:F21"/>
    <mergeCell ref="J21:L21"/>
    <mergeCell ref="J8:K8"/>
    <mergeCell ref="B8:E9"/>
    <mergeCell ref="D12:D15"/>
    <mergeCell ref="E12:E15"/>
    <mergeCell ref="I13:K13"/>
    <mergeCell ref="I14:K14"/>
    <mergeCell ref="I15:K15"/>
    <mergeCell ref="B2:H2"/>
    <mergeCell ref="I2:L2"/>
    <mergeCell ref="B3:G4"/>
    <mergeCell ref="I3:L3"/>
    <mergeCell ref="I4:M5"/>
    <mergeCell ref="B5:G6"/>
    <mergeCell ref="B43:C43"/>
    <mergeCell ref="B44:C44"/>
    <mergeCell ref="B36:C36"/>
    <mergeCell ref="B37:C37"/>
    <mergeCell ref="B38:C38"/>
    <mergeCell ref="B39:C39"/>
    <mergeCell ref="B40:C40"/>
    <mergeCell ref="B41:C41"/>
    <mergeCell ref="B42:C42"/>
  </mergeCells>
  <conditionalFormatting sqref="B27:C1000 H27:H1000">
    <cfRule type="notContainsBlanks" dxfId="4" priority="1">
      <formula>LEN(TRIM(B27))&gt;0</formula>
    </cfRule>
  </conditionalFormatting>
  <conditionalFormatting sqref="D27:D1000">
    <cfRule type="expression" dxfId="3" priority="2">
      <formula>NOT(ISBLANK(B27))</formula>
    </cfRule>
  </conditionalFormatting>
  <conditionalFormatting sqref="F26:F1000 L26:L1000 E28:E42">
    <cfRule type="cellIs" dxfId="2" priority="4" operator="lessThan">
      <formula>0</formula>
    </cfRule>
  </conditionalFormatting>
  <conditionalFormatting sqref="F27:F1000 L27:L1000 E28:E42">
    <cfRule type="cellIs" dxfId="1" priority="5" operator="equal">
      <formula>0</formula>
    </cfRule>
  </conditionalFormatting>
  <conditionalFormatting sqref="J27:J1000">
    <cfRule type="expression" dxfId="0" priority="3">
      <formula>NOT(ISBLANK(H27))</formula>
    </cfRule>
  </conditionalFormatting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FF"/>
    <outlinePr summaryBelow="0" summaryRight="0"/>
  </sheetPr>
  <dimension ref="A1:K1000"/>
  <sheetViews>
    <sheetView showGridLines="0" workbookViewId="0"/>
  </sheetViews>
  <sheetFormatPr defaultColWidth="12.6640625" defaultRowHeight="15" customHeight="1" x14ac:dyDescent="0.25"/>
  <cols>
    <col min="1" max="1" width="5.109375" customWidth="1"/>
    <col min="2" max="2" width="10.44140625" customWidth="1"/>
    <col min="3" max="3" width="14.77734375" customWidth="1"/>
    <col min="4" max="4" width="16.33203125" customWidth="1"/>
    <col min="5" max="5" width="19.44140625" customWidth="1"/>
    <col min="6" max="6" width="5.109375" customWidth="1"/>
    <col min="9" max="9" width="13.21875" customWidth="1"/>
    <col min="11" max="11" width="5.109375" customWidth="1"/>
  </cols>
  <sheetData>
    <row r="1" spans="1:11" ht="33" customHeight="1" x14ac:dyDescent="0.25">
      <c r="A1" s="223"/>
      <c r="B1" s="294" t="s">
        <v>60</v>
      </c>
      <c r="C1" s="266"/>
      <c r="D1" s="266"/>
      <c r="E1" s="266"/>
      <c r="F1" s="266"/>
      <c r="G1" s="266"/>
      <c r="H1" s="266"/>
      <c r="I1" s="266"/>
      <c r="J1" s="266"/>
      <c r="K1" s="223"/>
    </row>
    <row r="2" spans="1:11" ht="48" customHeight="1" x14ac:dyDescent="0.45">
      <c r="A2" s="224"/>
      <c r="B2" s="225" t="s">
        <v>10</v>
      </c>
      <c r="C2" s="226"/>
      <c r="D2" s="227"/>
      <c r="E2" s="227"/>
      <c r="F2" s="227"/>
      <c r="G2" s="225" t="s">
        <v>9</v>
      </c>
      <c r="H2" s="228"/>
      <c r="I2" s="224"/>
      <c r="J2" s="224"/>
      <c r="K2" s="224"/>
    </row>
    <row r="3" spans="1:11" ht="12" customHeight="1" x14ac:dyDescent="0.3">
      <c r="A3" s="13"/>
      <c r="B3" s="229"/>
      <c r="C3" s="230"/>
      <c r="D3" s="229"/>
      <c r="E3" s="229"/>
      <c r="F3" s="13"/>
      <c r="G3" s="229"/>
      <c r="H3" s="231"/>
      <c r="I3" s="229"/>
      <c r="J3" s="229"/>
      <c r="K3" s="13"/>
    </row>
    <row r="4" spans="1:11" ht="24" customHeight="1" x14ac:dyDescent="0.25">
      <c r="A4" s="19"/>
      <c r="B4" s="232" t="s">
        <v>61</v>
      </c>
      <c r="C4" s="232" t="s">
        <v>62</v>
      </c>
      <c r="D4" s="232" t="s">
        <v>63</v>
      </c>
      <c r="E4" s="232" t="s">
        <v>64</v>
      </c>
      <c r="F4" s="19"/>
      <c r="G4" s="232" t="s">
        <v>61</v>
      </c>
      <c r="H4" s="232" t="s">
        <v>62</v>
      </c>
      <c r="I4" s="232" t="s">
        <v>63</v>
      </c>
      <c r="J4" s="232" t="s">
        <v>64</v>
      </c>
      <c r="K4" s="19"/>
    </row>
    <row r="5" spans="1:11" ht="19.5" customHeight="1" x14ac:dyDescent="0.25">
      <c r="A5" s="19"/>
      <c r="B5" s="233"/>
      <c r="C5" s="238"/>
      <c r="D5" s="239"/>
      <c r="E5" s="240"/>
      <c r="F5" s="19"/>
      <c r="G5" s="233"/>
      <c r="H5" s="238"/>
      <c r="I5" s="237"/>
      <c r="J5" s="236"/>
      <c r="K5" s="19"/>
    </row>
    <row r="6" spans="1:11" ht="19.5" customHeight="1" x14ac:dyDescent="0.25">
      <c r="A6" s="19"/>
      <c r="B6" s="233"/>
      <c r="C6" s="238"/>
      <c r="D6" s="239"/>
      <c r="E6" s="240"/>
      <c r="F6" s="19"/>
      <c r="G6" s="233"/>
      <c r="H6" s="238"/>
      <c r="I6" s="237"/>
      <c r="J6" s="236"/>
      <c r="K6" s="19"/>
    </row>
    <row r="7" spans="1:11" ht="19.5" customHeight="1" x14ac:dyDescent="0.25">
      <c r="A7" s="19"/>
      <c r="B7" s="233"/>
      <c r="C7" s="238"/>
      <c r="D7" s="239"/>
      <c r="E7" s="240"/>
      <c r="F7" s="19"/>
      <c r="G7" s="233"/>
      <c r="H7" s="238"/>
      <c r="I7" s="237"/>
      <c r="J7" s="236"/>
      <c r="K7" s="19"/>
    </row>
    <row r="8" spans="1:11" ht="19.5" customHeight="1" x14ac:dyDescent="0.25">
      <c r="A8" s="19"/>
      <c r="B8" s="233"/>
      <c r="C8" s="238"/>
      <c r="D8" s="239"/>
      <c r="E8" s="240"/>
      <c r="F8" s="19"/>
      <c r="G8" s="233"/>
      <c r="H8" s="238"/>
      <c r="I8" s="237"/>
      <c r="J8" s="236"/>
      <c r="K8" s="19"/>
    </row>
    <row r="9" spans="1:11" ht="19.5" customHeight="1" x14ac:dyDescent="0.25">
      <c r="A9" s="19"/>
      <c r="B9" s="233"/>
      <c r="C9" s="238"/>
      <c r="D9" s="239"/>
      <c r="E9" s="240"/>
      <c r="F9" s="19"/>
      <c r="G9" s="233"/>
      <c r="H9" s="238"/>
      <c r="I9" s="237"/>
      <c r="J9" s="236"/>
      <c r="K9" s="19"/>
    </row>
    <row r="10" spans="1:11" ht="19.5" customHeight="1" x14ac:dyDescent="0.25">
      <c r="A10" s="19"/>
      <c r="B10" s="233"/>
      <c r="C10" s="238"/>
      <c r="D10" s="239"/>
      <c r="E10" s="240"/>
      <c r="F10" s="19"/>
      <c r="G10" s="233"/>
      <c r="H10" s="238"/>
      <c r="I10" s="237"/>
      <c r="J10" s="236"/>
      <c r="K10" s="19"/>
    </row>
    <row r="11" spans="1:11" ht="19.5" customHeight="1" x14ac:dyDescent="0.25">
      <c r="A11" s="19"/>
      <c r="B11" s="233"/>
      <c r="C11" s="238"/>
      <c r="D11" s="239"/>
      <c r="E11" s="240"/>
      <c r="F11" s="19"/>
      <c r="G11" s="233"/>
      <c r="H11" s="238"/>
      <c r="I11" s="237"/>
      <c r="J11" s="236"/>
      <c r="K11" s="19"/>
    </row>
    <row r="12" spans="1:11" ht="19.5" customHeight="1" x14ac:dyDescent="0.25">
      <c r="A12" s="19"/>
      <c r="B12" s="233"/>
      <c r="C12" s="238"/>
      <c r="D12" s="239"/>
      <c r="E12" s="240"/>
      <c r="F12" s="19"/>
      <c r="G12" s="233"/>
      <c r="H12" s="238"/>
      <c r="I12" s="237"/>
      <c r="J12" s="236"/>
      <c r="K12" s="19"/>
    </row>
    <row r="13" spans="1:11" ht="19.5" customHeight="1" x14ac:dyDescent="0.25">
      <c r="A13" s="19"/>
      <c r="B13" s="233"/>
      <c r="C13" s="238"/>
      <c r="D13" s="239"/>
      <c r="E13" s="240"/>
      <c r="F13" s="19"/>
      <c r="G13" s="233"/>
      <c r="H13" s="238"/>
      <c r="I13" s="237"/>
      <c r="J13" s="236"/>
      <c r="K13" s="19"/>
    </row>
    <row r="14" spans="1:11" ht="19.5" customHeight="1" x14ac:dyDescent="0.25">
      <c r="A14" s="19"/>
      <c r="B14" s="233"/>
      <c r="C14" s="238"/>
      <c r="D14" s="239"/>
      <c r="E14" s="240"/>
      <c r="F14" s="19"/>
      <c r="G14" s="233"/>
      <c r="H14" s="238"/>
      <c r="I14" s="237"/>
      <c r="J14" s="236"/>
      <c r="K14" s="19"/>
    </row>
    <row r="15" spans="1:11" ht="19.5" customHeight="1" x14ac:dyDescent="0.25">
      <c r="A15" s="19"/>
      <c r="B15" s="233"/>
      <c r="C15" s="238"/>
      <c r="D15" s="239"/>
      <c r="E15" s="240"/>
      <c r="F15" s="19"/>
      <c r="G15" s="233"/>
      <c r="H15" s="238"/>
      <c r="I15" s="237"/>
      <c r="J15" s="236"/>
      <c r="K15" s="19"/>
    </row>
    <row r="16" spans="1:11" ht="19.5" customHeight="1" x14ac:dyDescent="0.25">
      <c r="A16" s="19"/>
      <c r="B16" s="233"/>
      <c r="C16" s="238"/>
      <c r="D16" s="239"/>
      <c r="E16" s="240"/>
      <c r="F16" s="19"/>
      <c r="G16" s="233"/>
      <c r="H16" s="238"/>
      <c r="I16" s="237"/>
      <c r="J16" s="236"/>
      <c r="K16" s="19"/>
    </row>
    <row r="17" spans="1:11" ht="19.5" customHeight="1" x14ac:dyDescent="0.25">
      <c r="A17" s="19"/>
      <c r="B17" s="233"/>
      <c r="C17" s="238"/>
      <c r="D17" s="239"/>
      <c r="E17" s="240"/>
      <c r="F17" s="19"/>
      <c r="G17" s="233"/>
      <c r="H17" s="238"/>
      <c r="I17" s="237"/>
      <c r="J17" s="236"/>
      <c r="K17" s="19"/>
    </row>
    <row r="18" spans="1:11" ht="19.5" customHeight="1" x14ac:dyDescent="0.25">
      <c r="A18" s="19"/>
      <c r="B18" s="233"/>
      <c r="C18" s="238"/>
      <c r="D18" s="239"/>
      <c r="E18" s="240"/>
      <c r="F18" s="19"/>
      <c r="G18" s="242"/>
      <c r="H18" s="238"/>
      <c r="I18" s="237"/>
      <c r="J18" s="236"/>
      <c r="K18" s="19"/>
    </row>
    <row r="19" spans="1:11" ht="19.5" customHeight="1" x14ac:dyDescent="0.25">
      <c r="A19" s="19"/>
      <c r="B19" s="233"/>
      <c r="C19" s="238"/>
      <c r="D19" s="239"/>
      <c r="E19" s="240"/>
      <c r="F19" s="19"/>
      <c r="G19" s="242"/>
      <c r="H19" s="238"/>
      <c r="I19" s="237"/>
      <c r="J19" s="236"/>
      <c r="K19" s="19"/>
    </row>
    <row r="20" spans="1:11" ht="19.5" customHeight="1" x14ac:dyDescent="0.25">
      <c r="A20" s="19"/>
      <c r="B20" s="233"/>
      <c r="C20" s="238"/>
      <c r="D20" s="239"/>
      <c r="E20" s="240"/>
      <c r="F20" s="19"/>
      <c r="G20" s="242"/>
      <c r="H20" s="238"/>
      <c r="I20" s="237"/>
      <c r="J20" s="236"/>
      <c r="K20" s="19"/>
    </row>
    <row r="21" spans="1:11" ht="19.5" customHeight="1" x14ac:dyDescent="0.25">
      <c r="A21" s="19"/>
      <c r="B21" s="233"/>
      <c r="C21" s="238"/>
      <c r="D21" s="239"/>
      <c r="E21" s="240"/>
      <c r="F21" s="19"/>
      <c r="G21" s="242"/>
      <c r="H21" s="238"/>
      <c r="I21" s="237"/>
      <c r="J21" s="236"/>
      <c r="K21" s="19"/>
    </row>
    <row r="22" spans="1:11" ht="19.5" customHeight="1" x14ac:dyDescent="0.25">
      <c r="A22" s="19"/>
      <c r="B22" s="233"/>
      <c r="C22" s="238"/>
      <c r="D22" s="239"/>
      <c r="E22" s="240"/>
      <c r="F22" s="19"/>
      <c r="G22" s="242"/>
      <c r="H22" s="238"/>
      <c r="I22" s="237"/>
      <c r="J22" s="236"/>
      <c r="K22" s="19"/>
    </row>
    <row r="23" spans="1:11" ht="19.5" customHeight="1" x14ac:dyDescent="0.25">
      <c r="A23" s="19"/>
      <c r="B23" s="233"/>
      <c r="C23" s="238"/>
      <c r="D23" s="239"/>
      <c r="E23" s="240"/>
      <c r="F23" s="19"/>
      <c r="G23" s="242"/>
      <c r="H23" s="238"/>
      <c r="I23" s="237"/>
      <c r="J23" s="236"/>
      <c r="K23" s="19"/>
    </row>
    <row r="24" spans="1:11" ht="19.5" customHeight="1" x14ac:dyDescent="0.25">
      <c r="A24" s="19"/>
      <c r="B24" s="233"/>
      <c r="C24" s="238"/>
      <c r="D24" s="239"/>
      <c r="E24" s="240"/>
      <c r="F24" s="19"/>
      <c r="G24" s="242"/>
      <c r="H24" s="238"/>
      <c r="I24" s="237"/>
      <c r="J24" s="236"/>
      <c r="K24" s="19"/>
    </row>
    <row r="25" spans="1:11" ht="19.5" customHeight="1" x14ac:dyDescent="0.25">
      <c r="A25" s="19"/>
      <c r="B25" s="233"/>
      <c r="C25" s="238"/>
      <c r="D25" s="239"/>
      <c r="E25" s="240"/>
      <c r="F25" s="19"/>
      <c r="G25" s="242"/>
      <c r="H25" s="238"/>
      <c r="I25" s="237"/>
      <c r="J25" s="236"/>
      <c r="K25" s="19"/>
    </row>
    <row r="26" spans="1:11" ht="19.5" customHeight="1" x14ac:dyDescent="0.25">
      <c r="A26" s="19"/>
      <c r="B26" s="233"/>
      <c r="C26" s="238"/>
      <c r="D26" s="239"/>
      <c r="E26" s="240"/>
      <c r="F26" s="19"/>
      <c r="G26" s="242"/>
      <c r="H26" s="238"/>
      <c r="I26" s="237"/>
      <c r="J26" s="236"/>
      <c r="K26" s="19"/>
    </row>
    <row r="27" spans="1:11" ht="19.5" customHeight="1" x14ac:dyDescent="0.25">
      <c r="A27" s="19"/>
      <c r="B27" s="233"/>
      <c r="C27" s="238"/>
      <c r="D27" s="239"/>
      <c r="E27" s="240"/>
      <c r="F27" s="19"/>
      <c r="G27" s="242"/>
      <c r="H27" s="238"/>
      <c r="I27" s="237"/>
      <c r="J27" s="236"/>
      <c r="K27" s="19"/>
    </row>
    <row r="28" spans="1:11" ht="19.5" customHeight="1" x14ac:dyDescent="0.25">
      <c r="A28" s="19"/>
      <c r="B28" s="233"/>
      <c r="C28" s="238"/>
      <c r="D28" s="239"/>
      <c r="E28" s="240"/>
      <c r="F28" s="19"/>
      <c r="G28" s="242"/>
      <c r="H28" s="238"/>
      <c r="I28" s="237"/>
      <c r="J28" s="236"/>
      <c r="K28" s="19"/>
    </row>
    <row r="29" spans="1:11" ht="19.5" customHeight="1" x14ac:dyDescent="0.25">
      <c r="A29" s="19"/>
      <c r="B29" s="233"/>
      <c r="C29" s="238"/>
      <c r="D29" s="239"/>
      <c r="E29" s="240"/>
      <c r="F29" s="19"/>
      <c r="G29" s="242"/>
      <c r="H29" s="238"/>
      <c r="I29" s="237"/>
      <c r="J29" s="236"/>
      <c r="K29" s="19"/>
    </row>
    <row r="30" spans="1:11" ht="19.5" customHeight="1" x14ac:dyDescent="0.25">
      <c r="A30" s="19"/>
      <c r="B30" s="233"/>
      <c r="C30" s="238"/>
      <c r="D30" s="239"/>
      <c r="E30" s="240"/>
      <c r="F30" s="19"/>
      <c r="G30" s="242"/>
      <c r="H30" s="238"/>
      <c r="I30" s="237"/>
      <c r="J30" s="236"/>
      <c r="K30" s="19"/>
    </row>
    <row r="31" spans="1:11" ht="19.5" customHeight="1" x14ac:dyDescent="0.25">
      <c r="A31" s="19"/>
      <c r="B31" s="233"/>
      <c r="C31" s="238"/>
      <c r="D31" s="239"/>
      <c r="E31" s="240"/>
      <c r="F31" s="19"/>
      <c r="G31" s="242"/>
      <c r="H31" s="238"/>
      <c r="I31" s="237"/>
      <c r="J31" s="236"/>
      <c r="K31" s="19"/>
    </row>
    <row r="32" spans="1:11" ht="19.5" customHeight="1" x14ac:dyDescent="0.25">
      <c r="A32" s="19"/>
      <c r="B32" s="233"/>
      <c r="C32" s="238"/>
      <c r="D32" s="239"/>
      <c r="E32" s="240"/>
      <c r="F32" s="19"/>
      <c r="G32" s="242"/>
      <c r="H32" s="238"/>
      <c r="I32" s="237"/>
      <c r="J32" s="236"/>
      <c r="K32" s="19"/>
    </row>
    <row r="33" spans="1:11" ht="19.5" customHeight="1" x14ac:dyDescent="0.25">
      <c r="A33" s="19"/>
      <c r="B33" s="233"/>
      <c r="C33" s="238"/>
      <c r="D33" s="239"/>
      <c r="E33" s="240"/>
      <c r="F33" s="19"/>
      <c r="G33" s="242"/>
      <c r="H33" s="238"/>
      <c r="I33" s="237"/>
      <c r="J33" s="236"/>
      <c r="K33" s="19"/>
    </row>
    <row r="34" spans="1:11" ht="19.5" customHeight="1" x14ac:dyDescent="0.25">
      <c r="A34" s="19"/>
      <c r="B34" s="242"/>
      <c r="C34" s="238"/>
      <c r="D34" s="239"/>
      <c r="E34" s="240"/>
      <c r="F34" s="19"/>
      <c r="G34" s="242"/>
      <c r="H34" s="238"/>
      <c r="I34" s="237"/>
      <c r="J34" s="236"/>
      <c r="K34" s="19"/>
    </row>
    <row r="35" spans="1:11" ht="19.5" customHeight="1" x14ac:dyDescent="0.25">
      <c r="A35" s="19"/>
      <c r="B35" s="242"/>
      <c r="C35" s="238"/>
      <c r="D35" s="239"/>
      <c r="E35" s="240"/>
      <c r="F35" s="19"/>
      <c r="G35" s="242"/>
      <c r="H35" s="238"/>
      <c r="I35" s="237"/>
      <c r="J35" s="236"/>
      <c r="K35" s="19"/>
    </row>
    <row r="36" spans="1:11" ht="19.5" customHeight="1" x14ac:dyDescent="0.25">
      <c r="A36" s="19"/>
      <c r="B36" s="242"/>
      <c r="C36" s="238"/>
      <c r="D36" s="239"/>
      <c r="E36" s="240"/>
      <c r="F36" s="19"/>
      <c r="G36" s="242"/>
      <c r="H36" s="238"/>
      <c r="I36" s="237"/>
      <c r="J36" s="236"/>
      <c r="K36" s="19"/>
    </row>
    <row r="37" spans="1:11" ht="19.5" customHeight="1" x14ac:dyDescent="0.25">
      <c r="A37" s="19"/>
      <c r="B37" s="242"/>
      <c r="C37" s="238"/>
      <c r="D37" s="239"/>
      <c r="E37" s="240"/>
      <c r="F37" s="19"/>
      <c r="G37" s="242"/>
      <c r="H37" s="238"/>
      <c r="I37" s="237"/>
      <c r="J37" s="236"/>
      <c r="K37" s="19"/>
    </row>
    <row r="38" spans="1:11" ht="19.5" customHeight="1" x14ac:dyDescent="0.25">
      <c r="A38" s="19"/>
      <c r="B38" s="233"/>
      <c r="C38" s="238"/>
      <c r="D38" s="239"/>
      <c r="E38" s="240"/>
      <c r="F38" s="19"/>
      <c r="G38" s="242"/>
      <c r="H38" s="238"/>
      <c r="I38" s="237"/>
      <c r="J38" s="236"/>
      <c r="K38" s="19"/>
    </row>
    <row r="39" spans="1:11" ht="19.5" customHeight="1" x14ac:dyDescent="0.25">
      <c r="A39" s="19"/>
      <c r="B39" s="233"/>
      <c r="C39" s="238"/>
      <c r="D39" s="239"/>
      <c r="E39" s="240"/>
      <c r="F39" s="19"/>
      <c r="G39" s="242"/>
      <c r="H39" s="238"/>
      <c r="I39" s="237"/>
      <c r="J39" s="236"/>
      <c r="K39" s="19"/>
    </row>
    <row r="40" spans="1:11" ht="19.5" customHeight="1" x14ac:dyDescent="0.25">
      <c r="A40" s="19"/>
      <c r="B40" s="233"/>
      <c r="C40" s="238"/>
      <c r="D40" s="239"/>
      <c r="E40" s="240"/>
      <c r="F40" s="19"/>
      <c r="G40" s="242"/>
      <c r="H40" s="238"/>
      <c r="I40" s="237"/>
      <c r="J40" s="236"/>
      <c r="K40" s="19"/>
    </row>
    <row r="41" spans="1:11" ht="19.5" customHeight="1" x14ac:dyDescent="0.25">
      <c r="A41" s="19"/>
      <c r="B41" s="233"/>
      <c r="C41" s="238"/>
      <c r="D41" s="239"/>
      <c r="E41" s="240"/>
      <c r="F41" s="19"/>
      <c r="G41" s="242"/>
      <c r="H41" s="238"/>
      <c r="I41" s="237"/>
      <c r="J41" s="236"/>
      <c r="K41" s="19"/>
    </row>
    <row r="42" spans="1:11" ht="19.5" customHeight="1" x14ac:dyDescent="0.25">
      <c r="A42" s="19"/>
      <c r="B42" s="233"/>
      <c r="C42" s="238"/>
      <c r="D42" s="239"/>
      <c r="E42" s="240"/>
      <c r="F42" s="19"/>
      <c r="G42" s="242"/>
      <c r="H42" s="238"/>
      <c r="I42" s="237"/>
      <c r="J42" s="236"/>
      <c r="K42" s="19"/>
    </row>
    <row r="43" spans="1:11" ht="19.5" customHeight="1" x14ac:dyDescent="0.25">
      <c r="A43" s="19"/>
      <c r="B43" s="233"/>
      <c r="C43" s="238"/>
      <c r="D43" s="239"/>
      <c r="E43" s="240"/>
      <c r="F43" s="19"/>
      <c r="G43" s="242"/>
      <c r="H43" s="238"/>
      <c r="I43" s="237"/>
      <c r="J43" s="236"/>
      <c r="K43" s="19"/>
    </row>
    <row r="44" spans="1:11" ht="19.5" customHeight="1" x14ac:dyDescent="0.25">
      <c r="A44" s="19"/>
      <c r="B44" s="233"/>
      <c r="C44" s="238"/>
      <c r="D44" s="239"/>
      <c r="E44" s="240"/>
      <c r="F44" s="19"/>
      <c r="G44" s="242"/>
      <c r="H44" s="238"/>
      <c r="I44" s="237"/>
      <c r="J44" s="236"/>
      <c r="K44" s="19"/>
    </row>
    <row r="45" spans="1:11" ht="19.5" customHeight="1" x14ac:dyDescent="0.25">
      <c r="A45" s="19"/>
      <c r="B45" s="233"/>
      <c r="C45" s="238"/>
      <c r="D45" s="239"/>
      <c r="E45" s="240"/>
      <c r="F45" s="19"/>
      <c r="G45" s="242"/>
      <c r="H45" s="238"/>
      <c r="I45" s="237"/>
      <c r="J45" s="236"/>
      <c r="K45" s="19"/>
    </row>
    <row r="46" spans="1:11" ht="19.5" customHeight="1" x14ac:dyDescent="0.25">
      <c r="A46" s="19"/>
      <c r="B46" s="233"/>
      <c r="C46" s="238"/>
      <c r="D46" s="239"/>
      <c r="E46" s="240"/>
      <c r="F46" s="19"/>
      <c r="G46" s="242"/>
      <c r="H46" s="238"/>
      <c r="I46" s="241"/>
      <c r="J46" s="236"/>
      <c r="K46" s="19"/>
    </row>
    <row r="47" spans="1:11" ht="19.5" customHeight="1" x14ac:dyDescent="0.25">
      <c r="A47" s="19"/>
      <c r="B47" s="233"/>
      <c r="C47" s="238"/>
      <c r="D47" s="239"/>
      <c r="E47" s="240"/>
      <c r="F47" s="19"/>
      <c r="G47" s="242"/>
      <c r="H47" s="238"/>
      <c r="I47" s="237"/>
      <c r="J47" s="236"/>
      <c r="K47" s="19"/>
    </row>
    <row r="48" spans="1:11" ht="19.5" customHeight="1" x14ac:dyDescent="0.25">
      <c r="A48" s="19"/>
      <c r="B48" s="233"/>
      <c r="C48" s="238"/>
      <c r="D48" s="239"/>
      <c r="E48" s="240"/>
      <c r="F48" s="19"/>
      <c r="G48" s="242"/>
      <c r="H48" s="238"/>
      <c r="I48" s="237"/>
      <c r="J48" s="236"/>
      <c r="K48" s="19"/>
    </row>
    <row r="49" spans="1:11" ht="19.5" customHeight="1" x14ac:dyDescent="0.25">
      <c r="A49" s="19"/>
      <c r="B49" s="233"/>
      <c r="C49" s="238"/>
      <c r="D49" s="239"/>
      <c r="E49" s="240"/>
      <c r="F49" s="19"/>
      <c r="G49" s="242"/>
      <c r="H49" s="238"/>
      <c r="I49" s="237"/>
      <c r="J49" s="236"/>
      <c r="K49" s="19"/>
    </row>
    <row r="50" spans="1:11" ht="19.5" customHeight="1" x14ac:dyDescent="0.25">
      <c r="A50" s="19"/>
      <c r="B50" s="233"/>
      <c r="C50" s="238"/>
      <c r="D50" s="239"/>
      <c r="E50" s="240"/>
      <c r="F50" s="19"/>
      <c r="G50" s="242"/>
      <c r="H50" s="238"/>
      <c r="I50" s="241"/>
      <c r="J50" s="236"/>
      <c r="K50" s="19"/>
    </row>
    <row r="51" spans="1:11" ht="19.5" customHeight="1" x14ac:dyDescent="0.25">
      <c r="A51" s="19"/>
      <c r="B51" s="233"/>
      <c r="C51" s="238"/>
      <c r="D51" s="239"/>
      <c r="E51" s="240"/>
      <c r="F51" s="19"/>
      <c r="G51" s="242"/>
      <c r="H51" s="238"/>
      <c r="I51" s="237"/>
      <c r="J51" s="236"/>
      <c r="K51" s="19"/>
    </row>
    <row r="52" spans="1:11" ht="19.5" customHeight="1" x14ac:dyDescent="0.25">
      <c r="A52" s="19"/>
      <c r="B52" s="233"/>
      <c r="C52" s="238"/>
      <c r="D52" s="239"/>
      <c r="E52" s="240"/>
      <c r="F52" s="19"/>
      <c r="G52" s="242"/>
      <c r="H52" s="238"/>
      <c r="I52" s="237"/>
      <c r="J52" s="236"/>
      <c r="K52" s="19"/>
    </row>
    <row r="53" spans="1:11" ht="19.5" customHeight="1" x14ac:dyDescent="0.25">
      <c r="A53" s="19"/>
      <c r="B53" s="233"/>
      <c r="C53" s="238"/>
      <c r="D53" s="239"/>
      <c r="E53" s="240"/>
      <c r="F53" s="19"/>
      <c r="G53" s="242"/>
      <c r="H53" s="238"/>
      <c r="I53" s="241"/>
      <c r="J53" s="236"/>
      <c r="K53" s="19"/>
    </row>
    <row r="54" spans="1:11" ht="19.5" customHeight="1" x14ac:dyDescent="0.25">
      <c r="A54" s="19"/>
      <c r="B54" s="233"/>
      <c r="C54" s="238"/>
      <c r="D54" s="239"/>
      <c r="E54" s="240"/>
      <c r="F54" s="19"/>
      <c r="G54" s="242"/>
      <c r="H54" s="238"/>
      <c r="I54" s="241"/>
      <c r="J54" s="240"/>
      <c r="K54" s="19"/>
    </row>
    <row r="55" spans="1:11" ht="19.5" customHeight="1" x14ac:dyDescent="0.25">
      <c r="A55" s="19"/>
      <c r="B55" s="233"/>
      <c r="C55" s="238"/>
      <c r="D55" s="239"/>
      <c r="E55" s="240"/>
      <c r="F55" s="19"/>
      <c r="G55" s="242"/>
      <c r="H55" s="238"/>
      <c r="I55" s="241"/>
      <c r="J55" s="240"/>
      <c r="K55" s="19"/>
    </row>
    <row r="56" spans="1:11" ht="19.5" customHeight="1" x14ac:dyDescent="0.3">
      <c r="A56" s="19"/>
      <c r="B56" s="233"/>
      <c r="C56" s="238"/>
      <c r="D56" s="253"/>
      <c r="E56" s="240"/>
      <c r="F56" s="19"/>
      <c r="G56" s="242"/>
      <c r="H56" s="238"/>
      <c r="I56" s="237"/>
      <c r="J56" s="236"/>
      <c r="K56" s="19"/>
    </row>
    <row r="57" spans="1:11" ht="19.5" customHeight="1" x14ac:dyDescent="0.25">
      <c r="A57" s="19"/>
      <c r="B57" s="233"/>
      <c r="C57" s="238"/>
      <c r="D57" s="239"/>
      <c r="E57" s="240"/>
      <c r="F57" s="19"/>
      <c r="G57" s="242"/>
      <c r="H57" s="238"/>
      <c r="I57" s="237"/>
      <c r="J57" s="236"/>
      <c r="K57" s="19"/>
    </row>
    <row r="58" spans="1:11" ht="19.5" customHeight="1" x14ac:dyDescent="0.25">
      <c r="A58" s="19"/>
      <c r="B58" s="233"/>
      <c r="C58" s="238"/>
      <c r="D58" s="239"/>
      <c r="E58" s="240"/>
      <c r="F58" s="19"/>
      <c r="G58" s="242"/>
      <c r="H58" s="238"/>
      <c r="I58" s="241"/>
      <c r="J58" s="240"/>
      <c r="K58" s="19"/>
    </row>
    <row r="59" spans="1:11" ht="19.5" customHeight="1" x14ac:dyDescent="0.25">
      <c r="A59" s="19"/>
      <c r="B59" s="233"/>
      <c r="C59" s="238"/>
      <c r="D59" s="239"/>
      <c r="E59" s="240"/>
      <c r="F59" s="19"/>
      <c r="G59" s="242"/>
      <c r="H59" s="238"/>
      <c r="I59" s="237"/>
      <c r="J59" s="236"/>
      <c r="K59" s="19"/>
    </row>
    <row r="60" spans="1:11" ht="19.5" customHeight="1" x14ac:dyDescent="0.25">
      <c r="A60" s="19"/>
      <c r="B60" s="233"/>
      <c r="C60" s="238"/>
      <c r="D60" s="239"/>
      <c r="E60" s="240"/>
      <c r="F60" s="19"/>
      <c r="G60" s="242"/>
      <c r="H60" s="238"/>
      <c r="I60" s="237"/>
      <c r="J60" s="236"/>
      <c r="K60" s="19"/>
    </row>
    <row r="61" spans="1:11" ht="19.5" customHeight="1" x14ac:dyDescent="0.25">
      <c r="A61" s="19"/>
      <c r="B61" s="233"/>
      <c r="C61" s="238"/>
      <c r="D61" s="239"/>
      <c r="E61" s="240"/>
      <c r="F61" s="19"/>
      <c r="G61" s="242"/>
      <c r="H61" s="238"/>
      <c r="I61" s="241"/>
      <c r="J61" s="240"/>
      <c r="K61" s="19"/>
    </row>
    <row r="62" spans="1:11" ht="19.5" customHeight="1" x14ac:dyDescent="0.25">
      <c r="A62" s="19"/>
      <c r="B62" s="233"/>
      <c r="C62" s="238"/>
      <c r="D62" s="239"/>
      <c r="E62" s="240"/>
      <c r="F62" s="19"/>
      <c r="G62" s="242"/>
      <c r="H62" s="238"/>
      <c r="I62" s="241"/>
      <c r="J62" s="240"/>
      <c r="K62" s="19"/>
    </row>
    <row r="63" spans="1:11" ht="19.5" customHeight="1" x14ac:dyDescent="0.25">
      <c r="A63" s="19"/>
      <c r="B63" s="233"/>
      <c r="C63" s="238"/>
      <c r="D63" s="239"/>
      <c r="E63" s="240"/>
      <c r="F63" s="19"/>
      <c r="G63" s="242"/>
      <c r="H63" s="238"/>
      <c r="I63" s="237"/>
      <c r="J63" s="236"/>
      <c r="K63" s="19"/>
    </row>
    <row r="64" spans="1:11" ht="19.5" customHeight="1" x14ac:dyDescent="0.25">
      <c r="A64" s="19"/>
      <c r="B64" s="233"/>
      <c r="C64" s="238"/>
      <c r="D64" s="239"/>
      <c r="E64" s="240"/>
      <c r="F64" s="19"/>
      <c r="G64" s="242"/>
      <c r="H64" s="238"/>
      <c r="I64" s="237"/>
      <c r="J64" s="236"/>
      <c r="K64" s="19"/>
    </row>
    <row r="65" spans="1:11" ht="19.5" customHeight="1" x14ac:dyDescent="0.25">
      <c r="A65" s="19"/>
      <c r="B65" s="233"/>
      <c r="C65" s="238"/>
      <c r="D65" s="239"/>
      <c r="E65" s="240"/>
      <c r="F65" s="19"/>
      <c r="G65" s="242"/>
      <c r="H65" s="238"/>
      <c r="I65" s="241"/>
      <c r="J65" s="236"/>
      <c r="K65" s="19"/>
    </row>
    <row r="66" spans="1:11" ht="19.5" customHeight="1" x14ac:dyDescent="0.25">
      <c r="A66" s="19"/>
      <c r="B66" s="233"/>
      <c r="C66" s="238"/>
      <c r="D66" s="239"/>
      <c r="E66" s="240"/>
      <c r="F66" s="19"/>
      <c r="G66" s="242"/>
      <c r="H66" s="238"/>
      <c r="I66" s="241"/>
      <c r="J66" s="240"/>
      <c r="K66" s="19"/>
    </row>
    <row r="67" spans="1:11" ht="19.5" customHeight="1" x14ac:dyDescent="0.25">
      <c r="A67" s="19"/>
      <c r="B67" s="233"/>
      <c r="C67" s="238"/>
      <c r="D67" s="239"/>
      <c r="E67" s="240"/>
      <c r="F67" s="19"/>
      <c r="G67" s="242"/>
      <c r="H67" s="238"/>
      <c r="I67" s="241"/>
      <c r="J67" s="240"/>
      <c r="K67" s="19"/>
    </row>
    <row r="68" spans="1:11" ht="19.5" customHeight="1" x14ac:dyDescent="0.25">
      <c r="A68" s="19"/>
      <c r="B68" s="233"/>
      <c r="C68" s="238"/>
      <c r="D68" s="239"/>
      <c r="E68" s="240"/>
      <c r="F68" s="19"/>
      <c r="G68" s="242"/>
      <c r="H68" s="238"/>
      <c r="I68" s="241"/>
      <c r="J68" s="240"/>
      <c r="K68" s="19"/>
    </row>
    <row r="69" spans="1:11" ht="19.5" customHeight="1" x14ac:dyDescent="0.25">
      <c r="A69" s="19"/>
      <c r="B69" s="233"/>
      <c r="C69" s="238"/>
      <c r="D69" s="239"/>
      <c r="E69" s="240"/>
      <c r="F69" s="19"/>
      <c r="G69" s="242"/>
      <c r="H69" s="238"/>
      <c r="I69" s="241"/>
      <c r="J69" s="240"/>
      <c r="K69" s="19"/>
    </row>
    <row r="70" spans="1:11" ht="19.5" customHeight="1" x14ac:dyDescent="0.25">
      <c r="A70" s="19"/>
      <c r="B70" s="233"/>
      <c r="C70" s="238"/>
      <c r="D70" s="239"/>
      <c r="E70" s="240"/>
      <c r="F70" s="19"/>
      <c r="G70" s="242"/>
      <c r="H70" s="238"/>
      <c r="I70" s="241"/>
      <c r="J70" s="240"/>
      <c r="K70" s="19"/>
    </row>
    <row r="71" spans="1:11" ht="19.5" customHeight="1" x14ac:dyDescent="0.25">
      <c r="A71" s="19"/>
      <c r="B71" s="233"/>
      <c r="C71" s="238"/>
      <c r="D71" s="239"/>
      <c r="E71" s="240"/>
      <c r="F71" s="19"/>
      <c r="G71" s="242"/>
      <c r="H71" s="238"/>
      <c r="I71" s="237"/>
      <c r="J71" s="236"/>
      <c r="K71" s="19"/>
    </row>
    <row r="72" spans="1:11" ht="19.5" customHeight="1" x14ac:dyDescent="0.25">
      <c r="A72" s="19"/>
      <c r="B72" s="233"/>
      <c r="C72" s="238"/>
      <c r="D72" s="239"/>
      <c r="E72" s="240"/>
      <c r="F72" s="19"/>
      <c r="G72" s="242"/>
      <c r="H72" s="238"/>
      <c r="I72" s="237"/>
      <c r="J72" s="236"/>
      <c r="K72" s="19"/>
    </row>
    <row r="73" spans="1:11" ht="19.5" customHeight="1" x14ac:dyDescent="0.25">
      <c r="A73" s="19"/>
      <c r="B73" s="233"/>
      <c r="C73" s="238"/>
      <c r="D73" s="239"/>
      <c r="E73" s="240"/>
      <c r="F73" s="19"/>
      <c r="G73" s="242"/>
      <c r="H73" s="238"/>
      <c r="I73" s="241"/>
      <c r="J73" s="240"/>
      <c r="K73" s="19"/>
    </row>
    <row r="74" spans="1:11" ht="19.5" customHeight="1" x14ac:dyDescent="0.25">
      <c r="A74" s="19"/>
      <c r="B74" s="233"/>
      <c r="C74" s="238"/>
      <c r="D74" s="239"/>
      <c r="E74" s="240"/>
      <c r="F74" s="19"/>
      <c r="G74" s="242"/>
      <c r="H74" s="238"/>
      <c r="I74" s="241"/>
      <c r="J74" s="240"/>
      <c r="K74" s="19"/>
    </row>
    <row r="75" spans="1:11" ht="19.5" customHeight="1" x14ac:dyDescent="0.25">
      <c r="A75" s="19"/>
      <c r="B75" s="233"/>
      <c r="C75" s="238"/>
      <c r="D75" s="239"/>
      <c r="E75" s="240"/>
      <c r="F75" s="19"/>
      <c r="G75" s="242"/>
      <c r="H75" s="238"/>
      <c r="I75" s="237"/>
      <c r="J75" s="236"/>
      <c r="K75" s="19"/>
    </row>
    <row r="76" spans="1:11" ht="19.5" customHeight="1" x14ac:dyDescent="0.25">
      <c r="A76" s="19"/>
      <c r="B76" s="233"/>
      <c r="C76" s="238"/>
      <c r="D76" s="239"/>
      <c r="E76" s="240"/>
      <c r="F76" s="19"/>
      <c r="G76" s="242"/>
      <c r="H76" s="238"/>
      <c r="I76" s="237"/>
      <c r="J76" s="236"/>
      <c r="K76" s="19"/>
    </row>
    <row r="77" spans="1:11" ht="19.5" customHeight="1" x14ac:dyDescent="0.25">
      <c r="A77" s="19"/>
      <c r="B77" s="233"/>
      <c r="C77" s="238"/>
      <c r="D77" s="239"/>
      <c r="E77" s="240"/>
      <c r="F77" s="19"/>
      <c r="G77" s="242"/>
      <c r="H77" s="238"/>
      <c r="I77" s="241"/>
      <c r="J77" s="240"/>
      <c r="K77" s="19"/>
    </row>
    <row r="78" spans="1:11" ht="19.5" customHeight="1" x14ac:dyDescent="0.25">
      <c r="A78" s="19"/>
      <c r="B78" s="233"/>
      <c r="C78" s="238"/>
      <c r="D78" s="239"/>
      <c r="E78" s="240"/>
      <c r="F78" s="19"/>
      <c r="G78" s="242"/>
      <c r="H78" s="238"/>
      <c r="I78" s="241"/>
      <c r="J78" s="240"/>
      <c r="K78" s="19"/>
    </row>
    <row r="79" spans="1:11" ht="19.5" customHeight="1" x14ac:dyDescent="0.25">
      <c r="A79" s="19"/>
      <c r="B79" s="233"/>
      <c r="C79" s="238"/>
      <c r="D79" s="239"/>
      <c r="E79" s="240"/>
      <c r="F79" s="19"/>
      <c r="G79" s="242"/>
      <c r="H79" s="238"/>
      <c r="I79" s="241"/>
      <c r="J79" s="240"/>
      <c r="K79" s="19"/>
    </row>
    <row r="80" spans="1:11" ht="19.5" customHeight="1" x14ac:dyDescent="0.25">
      <c r="A80" s="19"/>
      <c r="B80" s="233"/>
      <c r="C80" s="238"/>
      <c r="D80" s="239"/>
      <c r="E80" s="240"/>
      <c r="F80" s="19"/>
      <c r="G80" s="242"/>
      <c r="H80" s="238"/>
      <c r="I80" s="241"/>
      <c r="J80" s="240"/>
      <c r="K80" s="19"/>
    </row>
    <row r="81" spans="1:11" ht="19.5" customHeight="1" x14ac:dyDescent="0.25">
      <c r="A81" s="19"/>
      <c r="B81" s="233"/>
      <c r="C81" s="238"/>
      <c r="D81" s="239"/>
      <c r="E81" s="240"/>
      <c r="F81" s="19"/>
      <c r="G81" s="242"/>
      <c r="H81" s="238"/>
      <c r="I81" s="241"/>
      <c r="J81" s="240"/>
      <c r="K81" s="19"/>
    </row>
    <row r="82" spans="1:11" ht="19.5" customHeight="1" x14ac:dyDescent="0.25">
      <c r="A82" s="19"/>
      <c r="B82" s="233"/>
      <c r="C82" s="238"/>
      <c r="D82" s="239"/>
      <c r="E82" s="240"/>
      <c r="F82" s="19"/>
      <c r="G82" s="242"/>
      <c r="H82" s="238"/>
      <c r="I82" s="241"/>
      <c r="J82" s="240"/>
      <c r="K82" s="19"/>
    </row>
    <row r="83" spans="1:11" ht="19.5" customHeight="1" x14ac:dyDescent="0.25">
      <c r="A83" s="19"/>
      <c r="B83" s="233"/>
      <c r="C83" s="238"/>
      <c r="D83" s="239"/>
      <c r="E83" s="240"/>
      <c r="F83" s="19"/>
      <c r="G83" s="242"/>
      <c r="H83" s="238"/>
      <c r="I83" s="241"/>
      <c r="J83" s="240"/>
      <c r="K83" s="19"/>
    </row>
    <row r="84" spans="1:11" ht="19.5" customHeight="1" x14ac:dyDescent="0.25">
      <c r="A84" s="19"/>
      <c r="B84" s="233"/>
      <c r="C84" s="238"/>
      <c r="D84" s="239"/>
      <c r="E84" s="240"/>
      <c r="F84" s="19"/>
      <c r="G84" s="242"/>
      <c r="H84" s="238"/>
      <c r="I84" s="241"/>
      <c r="J84" s="240"/>
      <c r="K84" s="19"/>
    </row>
    <row r="85" spans="1:11" ht="19.5" customHeight="1" x14ac:dyDescent="0.25">
      <c r="A85" s="19"/>
      <c r="B85" s="233"/>
      <c r="C85" s="238"/>
      <c r="D85" s="239"/>
      <c r="E85" s="240"/>
      <c r="F85" s="19"/>
      <c r="G85" s="242"/>
      <c r="H85" s="238"/>
      <c r="I85" s="241"/>
      <c r="J85" s="240"/>
      <c r="K85" s="19"/>
    </row>
    <row r="86" spans="1:11" ht="19.5" customHeight="1" x14ac:dyDescent="0.25">
      <c r="A86" s="19"/>
      <c r="B86" s="233"/>
      <c r="C86" s="238"/>
      <c r="D86" s="239"/>
      <c r="E86" s="240"/>
      <c r="F86" s="19"/>
      <c r="G86" s="242"/>
      <c r="H86" s="238"/>
      <c r="I86" s="241"/>
      <c r="J86" s="240"/>
      <c r="K86" s="19"/>
    </row>
    <row r="87" spans="1:11" ht="19.5" customHeight="1" x14ac:dyDescent="0.25">
      <c r="A87" s="19"/>
      <c r="B87" s="233"/>
      <c r="C87" s="238"/>
      <c r="D87" s="239"/>
      <c r="E87" s="240"/>
      <c r="F87" s="19"/>
      <c r="G87" s="242"/>
      <c r="H87" s="238"/>
      <c r="I87" s="241"/>
      <c r="J87" s="240"/>
      <c r="K87" s="19"/>
    </row>
    <row r="88" spans="1:11" ht="19.5" customHeight="1" x14ac:dyDescent="0.25">
      <c r="A88" s="19"/>
      <c r="B88" s="233"/>
      <c r="C88" s="238"/>
      <c r="D88" s="239"/>
      <c r="E88" s="240"/>
      <c r="F88" s="19"/>
      <c r="G88" s="242"/>
      <c r="H88" s="238"/>
      <c r="I88" s="241"/>
      <c r="J88" s="240"/>
      <c r="K88" s="19"/>
    </row>
    <row r="89" spans="1:11" ht="19.5" customHeight="1" x14ac:dyDescent="0.25">
      <c r="A89" s="19"/>
      <c r="B89" s="233"/>
      <c r="C89" s="238"/>
      <c r="D89" s="239"/>
      <c r="E89" s="240"/>
      <c r="F89" s="19"/>
      <c r="G89" s="242"/>
      <c r="H89" s="238"/>
      <c r="I89" s="241"/>
      <c r="J89" s="240"/>
      <c r="K89" s="19"/>
    </row>
    <row r="90" spans="1:11" ht="19.5" customHeight="1" x14ac:dyDescent="0.25">
      <c r="A90" s="19"/>
      <c r="B90" s="233"/>
      <c r="C90" s="238"/>
      <c r="D90" s="239"/>
      <c r="E90" s="240"/>
      <c r="F90" s="19"/>
      <c r="G90" s="242"/>
      <c r="H90" s="238"/>
      <c r="I90" s="241"/>
      <c r="J90" s="240"/>
      <c r="K90" s="19"/>
    </row>
    <row r="91" spans="1:11" ht="19.5" customHeight="1" x14ac:dyDescent="0.25">
      <c r="A91" s="19"/>
      <c r="B91" s="233"/>
      <c r="C91" s="238"/>
      <c r="D91" s="239"/>
      <c r="E91" s="240"/>
      <c r="F91" s="19"/>
      <c r="G91" s="242"/>
      <c r="H91" s="238"/>
      <c r="I91" s="241"/>
      <c r="J91" s="240"/>
      <c r="K91" s="19"/>
    </row>
    <row r="92" spans="1:11" ht="19.5" customHeight="1" x14ac:dyDescent="0.25">
      <c r="A92" s="19"/>
      <c r="B92" s="233"/>
      <c r="C92" s="238"/>
      <c r="D92" s="239"/>
      <c r="E92" s="240"/>
      <c r="F92" s="19"/>
      <c r="G92" s="242"/>
      <c r="H92" s="238"/>
      <c r="I92" s="241"/>
      <c r="J92" s="240"/>
      <c r="K92" s="19"/>
    </row>
    <row r="93" spans="1:11" ht="19.5" customHeight="1" x14ac:dyDescent="0.25">
      <c r="A93" s="19"/>
      <c r="B93" s="233"/>
      <c r="C93" s="238"/>
      <c r="D93" s="239"/>
      <c r="E93" s="240"/>
      <c r="F93" s="19"/>
      <c r="G93" s="242"/>
      <c r="H93" s="238"/>
      <c r="I93" s="241"/>
      <c r="J93" s="240"/>
      <c r="K93" s="19"/>
    </row>
    <row r="94" spans="1:11" ht="19.5" customHeight="1" x14ac:dyDescent="0.25">
      <c r="A94" s="19"/>
      <c r="B94" s="233"/>
      <c r="C94" s="238"/>
      <c r="D94" s="239"/>
      <c r="E94" s="240"/>
      <c r="F94" s="19"/>
      <c r="G94" s="242"/>
      <c r="H94" s="238"/>
      <c r="I94" s="241"/>
      <c r="J94" s="240"/>
      <c r="K94" s="19"/>
    </row>
    <row r="95" spans="1:11" ht="19.5" customHeight="1" x14ac:dyDescent="0.25">
      <c r="A95" s="19"/>
      <c r="B95" s="233"/>
      <c r="C95" s="238"/>
      <c r="D95" s="239"/>
      <c r="E95" s="240"/>
      <c r="F95" s="19"/>
      <c r="G95" s="242"/>
      <c r="H95" s="238"/>
      <c r="I95" s="241"/>
      <c r="J95" s="240"/>
      <c r="K95" s="19"/>
    </row>
    <row r="96" spans="1:11" ht="19.5" customHeight="1" x14ac:dyDescent="0.25">
      <c r="A96" s="19"/>
      <c r="B96" s="233"/>
      <c r="C96" s="238"/>
      <c r="D96" s="239"/>
      <c r="E96" s="240"/>
      <c r="F96" s="19"/>
      <c r="G96" s="242"/>
      <c r="H96" s="238"/>
      <c r="I96" s="241"/>
      <c r="J96" s="240"/>
      <c r="K96" s="19"/>
    </row>
    <row r="97" spans="1:11" ht="19.5" customHeight="1" x14ac:dyDescent="0.25">
      <c r="A97" s="19"/>
      <c r="B97" s="233"/>
      <c r="C97" s="238"/>
      <c r="D97" s="239"/>
      <c r="E97" s="240"/>
      <c r="F97" s="19"/>
      <c r="G97" s="242"/>
      <c r="H97" s="238"/>
      <c r="I97" s="241"/>
      <c r="J97" s="240"/>
      <c r="K97" s="19"/>
    </row>
    <row r="98" spans="1:11" ht="19.5" customHeight="1" x14ac:dyDescent="0.25">
      <c r="A98" s="19"/>
      <c r="B98" s="233"/>
      <c r="C98" s="238"/>
      <c r="D98" s="239"/>
      <c r="E98" s="240"/>
      <c r="F98" s="19"/>
      <c r="G98" s="242"/>
      <c r="H98" s="238"/>
      <c r="I98" s="241"/>
      <c r="J98" s="240"/>
      <c r="K98" s="19"/>
    </row>
    <row r="99" spans="1:11" ht="19.5" customHeight="1" x14ac:dyDescent="0.25">
      <c r="A99" s="19"/>
      <c r="B99" s="233"/>
      <c r="C99" s="238"/>
      <c r="D99" s="239"/>
      <c r="E99" s="240"/>
      <c r="F99" s="19"/>
      <c r="G99" s="242"/>
      <c r="H99" s="238"/>
      <c r="I99" s="241"/>
      <c r="J99" s="240"/>
      <c r="K99" s="19"/>
    </row>
    <row r="100" spans="1:11" ht="19.5" customHeight="1" x14ac:dyDescent="0.25">
      <c r="A100" s="19"/>
      <c r="B100" s="233"/>
      <c r="C100" s="238"/>
      <c r="D100" s="239"/>
      <c r="E100" s="240"/>
      <c r="F100" s="19"/>
      <c r="G100" s="242"/>
      <c r="H100" s="238"/>
      <c r="I100" s="241"/>
      <c r="J100" s="240"/>
      <c r="K100" s="19"/>
    </row>
    <row r="101" spans="1:11" ht="19.5" customHeight="1" x14ac:dyDescent="0.25">
      <c r="A101" s="19"/>
      <c r="B101" s="233"/>
      <c r="C101" s="238"/>
      <c r="D101" s="239"/>
      <c r="E101" s="240"/>
      <c r="F101" s="19"/>
      <c r="G101" s="242"/>
      <c r="H101" s="238"/>
      <c r="I101" s="241"/>
      <c r="J101" s="240"/>
      <c r="K101" s="19"/>
    </row>
    <row r="102" spans="1:11" ht="19.5" customHeight="1" x14ac:dyDescent="0.25">
      <c r="A102" s="19"/>
      <c r="B102" s="233"/>
      <c r="C102" s="238"/>
      <c r="D102" s="239"/>
      <c r="E102" s="240"/>
      <c r="F102" s="19"/>
      <c r="G102" s="242"/>
      <c r="H102" s="238"/>
      <c r="I102" s="241"/>
      <c r="J102" s="240"/>
      <c r="K102" s="19"/>
    </row>
    <row r="103" spans="1:11" ht="19.5" customHeight="1" x14ac:dyDescent="0.25">
      <c r="A103" s="19"/>
      <c r="B103" s="233"/>
      <c r="C103" s="238"/>
      <c r="D103" s="239"/>
      <c r="E103" s="240"/>
      <c r="F103" s="19"/>
      <c r="G103" s="242"/>
      <c r="H103" s="238"/>
      <c r="I103" s="241"/>
      <c r="J103" s="240"/>
      <c r="K103" s="19"/>
    </row>
    <row r="104" spans="1:11" ht="19.5" customHeight="1" x14ac:dyDescent="0.25">
      <c r="A104" s="19"/>
      <c r="B104" s="233"/>
      <c r="C104" s="238"/>
      <c r="D104" s="239"/>
      <c r="E104" s="240"/>
      <c r="F104" s="19"/>
      <c r="G104" s="242"/>
      <c r="H104" s="238"/>
      <c r="I104" s="241"/>
      <c r="J104" s="240"/>
      <c r="K104" s="19"/>
    </row>
    <row r="105" spans="1:11" ht="19.5" customHeight="1" x14ac:dyDescent="0.25">
      <c r="A105" s="19"/>
      <c r="B105" s="233"/>
      <c r="C105" s="238"/>
      <c r="D105" s="239"/>
      <c r="E105" s="240"/>
      <c r="F105" s="19"/>
      <c r="G105" s="242"/>
      <c r="H105" s="238"/>
      <c r="I105" s="241"/>
      <c r="J105" s="240"/>
      <c r="K105" s="19"/>
    </row>
    <row r="106" spans="1:11" ht="19.5" customHeight="1" x14ac:dyDescent="0.25">
      <c r="A106" s="19"/>
      <c r="B106" s="233"/>
      <c r="C106" s="238"/>
      <c r="D106" s="239"/>
      <c r="E106" s="240"/>
      <c r="F106" s="19"/>
      <c r="G106" s="242"/>
      <c r="H106" s="238"/>
      <c r="I106" s="241"/>
      <c r="J106" s="240"/>
      <c r="K106" s="19"/>
    </row>
    <row r="107" spans="1:11" ht="19.5" customHeight="1" x14ac:dyDescent="0.25">
      <c r="A107" s="19"/>
      <c r="B107" s="264"/>
      <c r="C107" s="257"/>
      <c r="D107" s="256"/>
      <c r="E107" s="256"/>
      <c r="F107" s="19"/>
      <c r="G107" s="242"/>
      <c r="H107" s="238"/>
      <c r="I107" s="241"/>
      <c r="J107" s="240"/>
      <c r="K107" s="19"/>
    </row>
    <row r="108" spans="1:11" ht="19.5" customHeight="1" x14ac:dyDescent="0.25">
      <c r="A108" s="19"/>
      <c r="B108" s="264"/>
      <c r="C108" s="257"/>
      <c r="D108" s="256"/>
      <c r="E108" s="256"/>
      <c r="F108" s="19"/>
      <c r="G108" s="242"/>
      <c r="H108" s="238"/>
      <c r="I108" s="241"/>
      <c r="J108" s="240"/>
      <c r="K108" s="19"/>
    </row>
    <row r="109" spans="1:11" ht="19.5" customHeight="1" x14ac:dyDescent="0.25">
      <c r="A109" s="19"/>
      <c r="B109" s="233"/>
      <c r="C109" s="238"/>
      <c r="D109" s="239"/>
      <c r="E109" s="240"/>
      <c r="F109" s="19"/>
      <c r="G109" s="242"/>
      <c r="H109" s="238"/>
      <c r="I109" s="241"/>
      <c r="J109" s="240"/>
      <c r="K109" s="19"/>
    </row>
    <row r="110" spans="1:11" ht="19.5" customHeight="1" x14ac:dyDescent="0.25">
      <c r="A110" s="19"/>
      <c r="B110" s="233"/>
      <c r="C110" s="238"/>
      <c r="D110" s="239"/>
      <c r="E110" s="240"/>
      <c r="F110" s="19"/>
      <c r="G110" s="242"/>
      <c r="H110" s="238"/>
      <c r="I110" s="241"/>
      <c r="J110" s="240"/>
      <c r="K110" s="19"/>
    </row>
    <row r="111" spans="1:11" ht="19.5" customHeight="1" x14ac:dyDescent="0.25">
      <c r="A111" s="19"/>
      <c r="B111" s="264"/>
      <c r="C111" s="257"/>
      <c r="D111" s="256"/>
      <c r="E111" s="256"/>
      <c r="F111" s="19"/>
      <c r="G111" s="242"/>
      <c r="H111" s="238"/>
      <c r="I111" s="241"/>
      <c r="J111" s="240"/>
      <c r="K111" s="19"/>
    </row>
    <row r="112" spans="1:11" ht="19.5" customHeight="1" x14ac:dyDescent="0.25">
      <c r="A112" s="19"/>
      <c r="B112" s="264"/>
      <c r="C112" s="257"/>
      <c r="D112" s="256"/>
      <c r="E112" s="256"/>
      <c r="F112" s="19"/>
      <c r="G112" s="242"/>
      <c r="H112" s="238"/>
      <c r="I112" s="241"/>
      <c r="J112" s="240"/>
      <c r="K112" s="19"/>
    </row>
    <row r="113" spans="1:11" ht="19.5" customHeight="1" x14ac:dyDescent="0.25">
      <c r="A113" s="19"/>
      <c r="B113" s="264"/>
      <c r="C113" s="257"/>
      <c r="D113" s="256"/>
      <c r="E113" s="256"/>
      <c r="F113" s="19"/>
      <c r="G113" s="242"/>
      <c r="H113" s="238"/>
      <c r="I113" s="241"/>
      <c r="J113" s="240"/>
      <c r="K113" s="19"/>
    </row>
    <row r="114" spans="1:11" ht="19.5" customHeight="1" x14ac:dyDescent="0.25">
      <c r="A114" s="19"/>
      <c r="B114" s="264"/>
      <c r="C114" s="257"/>
      <c r="D114" s="256"/>
      <c r="E114" s="256"/>
      <c r="F114" s="19"/>
      <c r="G114" s="242"/>
      <c r="H114" s="238"/>
      <c r="I114" s="241"/>
      <c r="J114" s="240"/>
      <c r="K114" s="19"/>
    </row>
    <row r="115" spans="1:11" ht="19.5" customHeight="1" x14ac:dyDescent="0.25">
      <c r="A115" s="19"/>
      <c r="B115" s="264"/>
      <c r="C115" s="257"/>
      <c r="D115" s="256"/>
      <c r="E115" s="256"/>
      <c r="F115" s="19"/>
      <c r="G115" s="242"/>
      <c r="H115" s="238"/>
      <c r="I115" s="241"/>
      <c r="J115" s="240"/>
      <c r="K115" s="19"/>
    </row>
    <row r="116" spans="1:11" ht="19.5" customHeight="1" x14ac:dyDescent="0.25">
      <c r="A116" s="19"/>
      <c r="B116" s="264"/>
      <c r="C116" s="257"/>
      <c r="D116" s="256"/>
      <c r="E116" s="256"/>
      <c r="F116" s="19"/>
      <c r="G116" s="242"/>
      <c r="H116" s="238"/>
      <c r="I116" s="241"/>
      <c r="J116" s="240"/>
      <c r="K116" s="19"/>
    </row>
    <row r="117" spans="1:11" ht="19.5" customHeight="1" x14ac:dyDescent="0.25">
      <c r="A117" s="19"/>
      <c r="B117" s="264"/>
      <c r="C117" s="257"/>
      <c r="D117" s="256"/>
      <c r="E117" s="256"/>
      <c r="F117" s="19"/>
      <c r="G117" s="242"/>
      <c r="H117" s="238"/>
      <c r="I117" s="241"/>
      <c r="J117" s="240"/>
      <c r="K117" s="19"/>
    </row>
    <row r="118" spans="1:11" ht="19.5" customHeight="1" x14ac:dyDescent="0.25">
      <c r="A118" s="19"/>
      <c r="B118" s="233"/>
      <c r="C118" s="238"/>
      <c r="D118" s="239"/>
      <c r="E118" s="240"/>
      <c r="F118" s="19"/>
      <c r="G118" s="242"/>
      <c r="H118" s="238"/>
      <c r="I118" s="241"/>
      <c r="J118" s="240"/>
      <c r="K118" s="19"/>
    </row>
    <row r="119" spans="1:11" ht="19.5" customHeight="1" x14ac:dyDescent="0.25">
      <c r="A119" s="19"/>
      <c r="B119" s="233"/>
      <c r="C119" s="238"/>
      <c r="D119" s="239"/>
      <c r="E119" s="240"/>
      <c r="F119" s="19"/>
      <c r="G119" s="242"/>
      <c r="H119" s="238"/>
      <c r="I119" s="241"/>
      <c r="J119" s="240"/>
      <c r="K119" s="19"/>
    </row>
    <row r="120" spans="1:11" ht="19.5" customHeight="1" x14ac:dyDescent="0.25">
      <c r="A120" s="19"/>
      <c r="B120" s="264"/>
      <c r="C120" s="257"/>
      <c r="D120" s="256"/>
      <c r="E120" s="256"/>
      <c r="F120" s="19"/>
      <c r="G120" s="242"/>
      <c r="H120" s="238"/>
      <c r="I120" s="241"/>
      <c r="J120" s="240"/>
      <c r="K120" s="19"/>
    </row>
    <row r="121" spans="1:11" ht="19.5" customHeight="1" x14ac:dyDescent="0.25">
      <c r="A121" s="19"/>
      <c r="B121" s="264"/>
      <c r="C121" s="257"/>
      <c r="D121" s="256"/>
      <c r="E121" s="256"/>
      <c r="F121" s="19"/>
      <c r="G121" s="242"/>
      <c r="H121" s="238"/>
      <c r="I121" s="241"/>
      <c r="J121" s="240"/>
      <c r="K121" s="19"/>
    </row>
    <row r="122" spans="1:11" ht="19.5" customHeight="1" x14ac:dyDescent="0.25">
      <c r="A122" s="19"/>
      <c r="B122" s="264"/>
      <c r="C122" s="257"/>
      <c r="D122" s="256"/>
      <c r="E122" s="256"/>
      <c r="F122" s="19"/>
      <c r="G122" s="242"/>
      <c r="H122" s="238"/>
      <c r="I122" s="241"/>
      <c r="J122" s="240"/>
      <c r="K122" s="19"/>
    </row>
    <row r="123" spans="1:11" ht="19.5" customHeight="1" x14ac:dyDescent="0.25">
      <c r="A123" s="19"/>
      <c r="B123" s="264"/>
      <c r="C123" s="257"/>
      <c r="D123" s="256"/>
      <c r="E123" s="256"/>
      <c r="F123" s="19"/>
      <c r="G123" s="242"/>
      <c r="H123" s="238"/>
      <c r="I123" s="241"/>
      <c r="J123" s="240"/>
      <c r="K123" s="19"/>
    </row>
    <row r="124" spans="1:11" ht="19.5" customHeight="1" x14ac:dyDescent="0.25">
      <c r="A124" s="19"/>
      <c r="B124" s="233"/>
      <c r="C124" s="238"/>
      <c r="D124" s="239"/>
      <c r="E124" s="240"/>
      <c r="F124" s="19"/>
      <c r="G124" s="242"/>
      <c r="H124" s="238"/>
      <c r="I124" s="241"/>
      <c r="J124" s="240"/>
      <c r="K124" s="19"/>
    </row>
    <row r="125" spans="1:11" ht="19.5" customHeight="1" x14ac:dyDescent="0.25">
      <c r="A125" s="19"/>
      <c r="B125" s="233"/>
      <c r="C125" s="238"/>
      <c r="D125" s="239"/>
      <c r="E125" s="240"/>
      <c r="F125" s="19"/>
      <c r="G125" s="242"/>
      <c r="H125" s="238"/>
      <c r="I125" s="241"/>
      <c r="J125" s="240"/>
      <c r="K125" s="19"/>
    </row>
    <row r="126" spans="1:11" ht="19.5" customHeight="1" x14ac:dyDescent="0.25">
      <c r="A126" s="19"/>
      <c r="B126" s="233"/>
      <c r="C126" s="238"/>
      <c r="D126" s="239"/>
      <c r="E126" s="240"/>
      <c r="F126" s="19"/>
      <c r="G126" s="242"/>
      <c r="H126" s="238"/>
      <c r="I126" s="241"/>
      <c r="J126" s="240"/>
      <c r="K126" s="19"/>
    </row>
    <row r="127" spans="1:11" ht="19.5" customHeight="1" x14ac:dyDescent="0.25">
      <c r="A127" s="19"/>
      <c r="B127" s="264"/>
      <c r="C127" s="257"/>
      <c r="D127" s="256"/>
      <c r="E127" s="256"/>
      <c r="F127" s="19"/>
      <c r="G127" s="242"/>
      <c r="H127" s="238"/>
      <c r="I127" s="241"/>
      <c r="J127" s="240"/>
      <c r="K127" s="19"/>
    </row>
    <row r="128" spans="1:11" ht="19.5" customHeight="1" x14ac:dyDescent="0.25">
      <c r="A128" s="19"/>
      <c r="B128" s="264"/>
      <c r="C128" s="257"/>
      <c r="D128" s="256"/>
      <c r="E128" s="256"/>
      <c r="F128" s="19"/>
      <c r="G128" s="242"/>
      <c r="H128" s="238"/>
      <c r="I128" s="241"/>
      <c r="J128" s="240"/>
      <c r="K128" s="19"/>
    </row>
    <row r="129" spans="1:11" ht="19.5" customHeight="1" x14ac:dyDescent="0.25">
      <c r="A129" s="19"/>
      <c r="B129" s="233"/>
      <c r="C129" s="238"/>
      <c r="D129" s="239"/>
      <c r="E129" s="240"/>
      <c r="F129" s="19"/>
      <c r="G129" s="242"/>
      <c r="H129" s="238"/>
      <c r="I129" s="241"/>
      <c r="J129" s="240"/>
      <c r="K129" s="19"/>
    </row>
    <row r="130" spans="1:11" ht="19.5" customHeight="1" x14ac:dyDescent="0.25">
      <c r="A130" s="19"/>
      <c r="B130" s="233"/>
      <c r="C130" s="238"/>
      <c r="D130" s="239"/>
      <c r="E130" s="240"/>
      <c r="F130" s="19"/>
      <c r="G130" s="242"/>
      <c r="H130" s="238"/>
      <c r="I130" s="241"/>
      <c r="J130" s="240"/>
      <c r="K130" s="19"/>
    </row>
    <row r="131" spans="1:11" ht="19.5" customHeight="1" x14ac:dyDescent="0.25">
      <c r="A131" s="19"/>
      <c r="B131" s="233"/>
      <c r="C131" s="238"/>
      <c r="D131" s="239"/>
      <c r="E131" s="240"/>
      <c r="F131" s="19"/>
      <c r="G131" s="242"/>
      <c r="H131" s="238"/>
      <c r="I131" s="241"/>
      <c r="J131" s="240"/>
      <c r="K131" s="19"/>
    </row>
    <row r="132" spans="1:11" ht="19.5" customHeight="1" x14ac:dyDescent="0.25">
      <c r="A132" s="19"/>
      <c r="B132" s="233"/>
      <c r="C132" s="238"/>
      <c r="D132" s="239"/>
      <c r="E132" s="240"/>
      <c r="F132" s="19"/>
      <c r="G132" s="242"/>
      <c r="H132" s="238"/>
      <c r="I132" s="241"/>
      <c r="J132" s="240"/>
      <c r="K132" s="19"/>
    </row>
    <row r="133" spans="1:11" ht="19.5" customHeight="1" x14ac:dyDescent="0.25">
      <c r="A133" s="19"/>
      <c r="B133" s="264"/>
      <c r="C133" s="257"/>
      <c r="D133" s="256"/>
      <c r="E133" s="256"/>
      <c r="F133" s="19"/>
      <c r="G133" s="242"/>
      <c r="H133" s="238"/>
      <c r="I133" s="241"/>
      <c r="J133" s="240"/>
      <c r="K133" s="19"/>
    </row>
    <row r="134" spans="1:11" ht="19.5" customHeight="1" x14ac:dyDescent="0.25">
      <c r="A134" s="19"/>
      <c r="B134" s="264"/>
      <c r="C134" s="257"/>
      <c r="D134" s="256"/>
      <c r="E134" s="256"/>
      <c r="F134" s="19"/>
      <c r="G134" s="242"/>
      <c r="H134" s="238"/>
      <c r="I134" s="241"/>
      <c r="J134" s="240"/>
      <c r="K134" s="19"/>
    </row>
    <row r="135" spans="1:11" ht="19.5" customHeight="1" x14ac:dyDescent="0.25">
      <c r="A135" s="19"/>
      <c r="B135" s="264"/>
      <c r="C135" s="257"/>
      <c r="D135" s="256"/>
      <c r="E135" s="256"/>
      <c r="F135" s="19"/>
      <c r="G135" s="242"/>
      <c r="H135" s="238"/>
      <c r="I135" s="241"/>
      <c r="J135" s="240"/>
      <c r="K135" s="19"/>
    </row>
    <row r="136" spans="1:11" ht="19.5" customHeight="1" x14ac:dyDescent="0.25">
      <c r="A136" s="19"/>
      <c r="B136" s="264"/>
      <c r="C136" s="257"/>
      <c r="D136" s="256"/>
      <c r="E136" s="256"/>
      <c r="F136" s="19"/>
      <c r="G136" s="242"/>
      <c r="H136" s="238"/>
      <c r="I136" s="241"/>
      <c r="J136" s="240"/>
      <c r="K136" s="19"/>
    </row>
    <row r="137" spans="1:11" ht="19.5" customHeight="1" x14ac:dyDescent="0.25">
      <c r="A137" s="19"/>
      <c r="B137" s="264"/>
      <c r="C137" s="257"/>
      <c r="D137" s="256"/>
      <c r="E137" s="256"/>
      <c r="F137" s="19"/>
      <c r="G137" s="242"/>
      <c r="H137" s="238"/>
      <c r="I137" s="241"/>
      <c r="J137" s="240"/>
      <c r="K137" s="19"/>
    </row>
    <row r="138" spans="1:11" ht="19.5" customHeight="1" x14ac:dyDescent="0.25">
      <c r="A138" s="19"/>
      <c r="B138" s="233"/>
      <c r="C138" s="238"/>
      <c r="D138" s="239"/>
      <c r="E138" s="240"/>
      <c r="F138" s="19"/>
      <c r="G138" s="242"/>
      <c r="H138" s="238"/>
      <c r="I138" s="241"/>
      <c r="J138" s="240"/>
      <c r="K138" s="19"/>
    </row>
    <row r="139" spans="1:11" ht="19.5" customHeight="1" x14ac:dyDescent="0.25">
      <c r="A139" s="19"/>
      <c r="B139" s="233"/>
      <c r="C139" s="238"/>
      <c r="D139" s="239"/>
      <c r="E139" s="240"/>
      <c r="F139" s="19"/>
      <c r="G139" s="242"/>
      <c r="H139" s="238"/>
      <c r="I139" s="241"/>
      <c r="J139" s="240"/>
      <c r="K139" s="19"/>
    </row>
    <row r="140" spans="1:11" ht="19.5" customHeight="1" x14ac:dyDescent="0.25">
      <c r="A140" s="19"/>
      <c r="B140" s="233"/>
      <c r="C140" s="238"/>
      <c r="D140" s="239"/>
      <c r="E140" s="240"/>
      <c r="F140" s="19"/>
      <c r="G140" s="242"/>
      <c r="H140" s="238"/>
      <c r="I140" s="241"/>
      <c r="J140" s="240"/>
      <c r="K140" s="19"/>
    </row>
    <row r="141" spans="1:11" ht="19.5" customHeight="1" x14ac:dyDescent="0.25">
      <c r="A141" s="19"/>
      <c r="B141" s="233"/>
      <c r="C141" s="238"/>
      <c r="D141" s="239"/>
      <c r="E141" s="240"/>
      <c r="F141" s="19"/>
      <c r="G141" s="242"/>
      <c r="H141" s="238"/>
      <c r="I141" s="241"/>
      <c r="J141" s="240"/>
      <c r="K141" s="19"/>
    </row>
    <row r="142" spans="1:11" ht="19.5" customHeight="1" x14ac:dyDescent="0.25">
      <c r="A142" s="19"/>
      <c r="B142" s="233"/>
      <c r="C142" s="238"/>
      <c r="D142" s="239"/>
      <c r="E142" s="240"/>
      <c r="F142" s="19"/>
      <c r="G142" s="242"/>
      <c r="H142" s="238"/>
      <c r="I142" s="241"/>
      <c r="J142" s="240"/>
      <c r="K142" s="19"/>
    </row>
    <row r="143" spans="1:11" ht="19.5" customHeight="1" x14ac:dyDescent="0.25">
      <c r="A143" s="19"/>
      <c r="B143" s="233"/>
      <c r="C143" s="238"/>
      <c r="D143" s="239"/>
      <c r="E143" s="240"/>
      <c r="F143" s="19"/>
      <c r="G143" s="242"/>
      <c r="H143" s="238"/>
      <c r="I143" s="241"/>
      <c r="J143" s="240"/>
      <c r="K143" s="19"/>
    </row>
    <row r="144" spans="1:11" ht="19.5" customHeight="1" x14ac:dyDescent="0.25">
      <c r="A144" s="19"/>
      <c r="B144" s="233"/>
      <c r="C144" s="238"/>
      <c r="D144" s="239"/>
      <c r="E144" s="240"/>
      <c r="F144" s="19"/>
      <c r="G144" s="242"/>
      <c r="H144" s="238"/>
      <c r="I144" s="241"/>
      <c r="J144" s="240"/>
      <c r="K144" s="19"/>
    </row>
    <row r="145" spans="1:11" ht="19.5" customHeight="1" x14ac:dyDescent="0.25">
      <c r="A145" s="19"/>
      <c r="B145" s="233"/>
      <c r="C145" s="238"/>
      <c r="D145" s="239"/>
      <c r="E145" s="240"/>
      <c r="F145" s="19"/>
      <c r="G145" s="242"/>
      <c r="H145" s="238"/>
      <c r="I145" s="241"/>
      <c r="J145" s="240"/>
      <c r="K145" s="19"/>
    </row>
    <row r="146" spans="1:11" ht="19.5" customHeight="1" x14ac:dyDescent="0.25">
      <c r="A146" s="19"/>
      <c r="B146" s="233"/>
      <c r="C146" s="238"/>
      <c r="D146" s="239"/>
      <c r="E146" s="240"/>
      <c r="F146" s="19"/>
      <c r="G146" s="242"/>
      <c r="H146" s="238"/>
      <c r="I146" s="241"/>
      <c r="J146" s="240"/>
      <c r="K146" s="19"/>
    </row>
    <row r="147" spans="1:11" ht="19.5" customHeight="1" x14ac:dyDescent="0.25">
      <c r="A147" s="19"/>
      <c r="B147" s="233"/>
      <c r="C147" s="238"/>
      <c r="D147" s="241"/>
      <c r="E147" s="240"/>
      <c r="F147" s="19"/>
      <c r="G147" s="242"/>
      <c r="H147" s="238"/>
      <c r="I147" s="241"/>
      <c r="J147" s="240"/>
      <c r="K147" s="19"/>
    </row>
    <row r="148" spans="1:11" ht="19.5" customHeight="1" x14ac:dyDescent="0.25">
      <c r="A148" s="19"/>
      <c r="B148" s="233"/>
      <c r="C148" s="238"/>
      <c r="D148" s="239"/>
      <c r="E148" s="240"/>
      <c r="F148" s="19"/>
      <c r="G148" s="242"/>
      <c r="H148" s="238"/>
      <c r="I148" s="241"/>
      <c r="J148" s="240"/>
      <c r="K148" s="19"/>
    </row>
    <row r="149" spans="1:11" ht="19.5" customHeight="1" x14ac:dyDescent="0.25">
      <c r="A149" s="19"/>
      <c r="B149" s="233"/>
      <c r="C149" s="238"/>
      <c r="D149" s="239"/>
      <c r="E149" s="240"/>
      <c r="F149" s="19"/>
      <c r="G149" s="242"/>
      <c r="H149" s="238"/>
      <c r="I149" s="241"/>
      <c r="J149" s="240"/>
      <c r="K149" s="19"/>
    </row>
    <row r="150" spans="1:11" ht="19.5" customHeight="1" x14ac:dyDescent="0.25">
      <c r="A150" s="19"/>
      <c r="B150" s="233"/>
      <c r="C150" s="238"/>
      <c r="D150" s="239"/>
      <c r="E150" s="240"/>
      <c r="F150" s="19"/>
      <c r="G150" s="242"/>
      <c r="H150" s="238"/>
      <c r="I150" s="241"/>
      <c r="J150" s="240"/>
      <c r="K150" s="19"/>
    </row>
    <row r="151" spans="1:11" ht="19.5" customHeight="1" x14ac:dyDescent="0.25">
      <c r="A151" s="19"/>
      <c r="B151" s="233"/>
      <c r="C151" s="238"/>
      <c r="D151" s="239"/>
      <c r="E151" s="240"/>
      <c r="F151" s="19"/>
      <c r="G151" s="242"/>
      <c r="H151" s="238"/>
      <c r="I151" s="241"/>
      <c r="J151" s="240"/>
      <c r="K151" s="19"/>
    </row>
    <row r="152" spans="1:11" ht="19.5" customHeight="1" x14ac:dyDescent="0.25">
      <c r="A152" s="19"/>
      <c r="B152" s="233"/>
      <c r="C152" s="238"/>
      <c r="D152" s="239"/>
      <c r="E152" s="240"/>
      <c r="F152" s="19"/>
      <c r="G152" s="242"/>
      <c r="H152" s="238"/>
      <c r="I152" s="241"/>
      <c r="J152" s="240"/>
      <c r="K152" s="19"/>
    </row>
    <row r="153" spans="1:11" ht="19.5" customHeight="1" x14ac:dyDescent="0.25">
      <c r="A153" s="19"/>
      <c r="B153" s="233"/>
      <c r="C153" s="238"/>
      <c r="D153" s="239"/>
      <c r="E153" s="240"/>
      <c r="F153" s="19"/>
      <c r="G153" s="242"/>
      <c r="H153" s="238"/>
      <c r="I153" s="241"/>
      <c r="J153" s="240"/>
      <c r="K153" s="19"/>
    </row>
    <row r="154" spans="1:11" ht="19.5" customHeight="1" x14ac:dyDescent="0.25">
      <c r="A154" s="19"/>
      <c r="B154" s="233"/>
      <c r="C154" s="238"/>
      <c r="D154" s="239"/>
      <c r="E154" s="240"/>
      <c r="F154" s="19"/>
      <c r="G154" s="242"/>
      <c r="H154" s="238"/>
      <c r="I154" s="241"/>
      <c r="J154" s="240"/>
      <c r="K154" s="19"/>
    </row>
    <row r="155" spans="1:11" ht="19.5" customHeight="1" x14ac:dyDescent="0.25">
      <c r="A155" s="19"/>
      <c r="B155" s="233"/>
      <c r="C155" s="238"/>
      <c r="D155" s="239"/>
      <c r="E155" s="240"/>
      <c r="F155" s="19"/>
      <c r="G155" s="242"/>
      <c r="H155" s="238"/>
      <c r="I155" s="241"/>
      <c r="J155" s="240"/>
      <c r="K155" s="19"/>
    </row>
    <row r="156" spans="1:11" ht="19.5" customHeight="1" x14ac:dyDescent="0.25">
      <c r="A156" s="19"/>
      <c r="B156" s="233"/>
      <c r="C156" s="238"/>
      <c r="D156" s="239"/>
      <c r="E156" s="240"/>
      <c r="F156" s="19"/>
      <c r="G156" s="242"/>
      <c r="H156" s="238"/>
      <c r="I156" s="241"/>
      <c r="J156" s="240"/>
      <c r="K156" s="19"/>
    </row>
    <row r="157" spans="1:11" ht="19.5" customHeight="1" x14ac:dyDescent="0.25">
      <c r="A157" s="19"/>
      <c r="B157" s="233"/>
      <c r="C157" s="238"/>
      <c r="D157" s="239"/>
      <c r="E157" s="240"/>
      <c r="F157" s="19"/>
      <c r="G157" s="242"/>
      <c r="H157" s="238"/>
      <c r="I157" s="241"/>
      <c r="J157" s="240"/>
      <c r="K157" s="19"/>
    </row>
    <row r="158" spans="1:11" ht="19.5" customHeight="1" x14ac:dyDescent="0.25">
      <c r="A158" s="19"/>
      <c r="B158" s="242"/>
      <c r="C158" s="238"/>
      <c r="D158" s="239"/>
      <c r="E158" s="240"/>
      <c r="F158" s="19"/>
      <c r="G158" s="242"/>
      <c r="H158" s="238"/>
      <c r="I158" s="241"/>
      <c r="J158" s="240"/>
      <c r="K158" s="19"/>
    </row>
    <row r="159" spans="1:11" ht="19.5" customHeight="1" x14ac:dyDescent="0.25">
      <c r="A159" s="19"/>
      <c r="B159" s="233"/>
      <c r="C159" s="238"/>
      <c r="D159" s="239"/>
      <c r="E159" s="240"/>
      <c r="F159" s="19"/>
      <c r="G159" s="242"/>
      <c r="H159" s="238"/>
      <c r="I159" s="241"/>
      <c r="J159" s="240"/>
      <c r="K159" s="19"/>
    </row>
    <row r="160" spans="1:11" ht="19.5" customHeight="1" x14ac:dyDescent="0.25">
      <c r="A160" s="19"/>
      <c r="B160" s="233"/>
      <c r="C160" s="238"/>
      <c r="D160" s="239"/>
      <c r="E160" s="240"/>
      <c r="F160" s="19"/>
      <c r="G160" s="242"/>
      <c r="H160" s="238"/>
      <c r="I160" s="241"/>
      <c r="J160" s="240"/>
      <c r="K160" s="19"/>
    </row>
    <row r="161" spans="1:11" ht="19.5" customHeight="1" x14ac:dyDescent="0.25">
      <c r="A161" s="19"/>
      <c r="B161" s="233"/>
      <c r="C161" s="238"/>
      <c r="D161" s="239"/>
      <c r="E161" s="240"/>
      <c r="F161" s="19"/>
      <c r="G161" s="242"/>
      <c r="H161" s="238"/>
      <c r="I161" s="241"/>
      <c r="J161" s="240"/>
      <c r="K161" s="19"/>
    </row>
    <row r="162" spans="1:11" ht="19.5" customHeight="1" x14ac:dyDescent="0.25">
      <c r="A162" s="19"/>
      <c r="B162" s="233"/>
      <c r="C162" s="238"/>
      <c r="D162" s="239"/>
      <c r="E162" s="240"/>
      <c r="F162" s="19"/>
      <c r="G162" s="242"/>
      <c r="H162" s="238"/>
      <c r="I162" s="241"/>
      <c r="J162" s="240"/>
      <c r="K162" s="19"/>
    </row>
    <row r="163" spans="1:11" ht="19.5" customHeight="1" x14ac:dyDescent="0.25">
      <c r="A163" s="19"/>
      <c r="B163" s="233"/>
      <c r="C163" s="238"/>
      <c r="D163" s="239"/>
      <c r="E163" s="240"/>
      <c r="F163" s="19"/>
      <c r="G163" s="242"/>
      <c r="H163" s="238"/>
      <c r="I163" s="241"/>
      <c r="J163" s="240"/>
      <c r="K163" s="19"/>
    </row>
    <row r="164" spans="1:11" ht="19.5" customHeight="1" x14ac:dyDescent="0.25">
      <c r="A164" s="19"/>
      <c r="B164" s="233"/>
      <c r="C164" s="238"/>
      <c r="D164" s="239"/>
      <c r="E164" s="240"/>
      <c r="F164" s="19"/>
      <c r="G164" s="242"/>
      <c r="H164" s="238"/>
      <c r="I164" s="241"/>
      <c r="J164" s="240"/>
      <c r="K164" s="19"/>
    </row>
    <row r="165" spans="1:11" ht="19.5" customHeight="1" x14ac:dyDescent="0.25">
      <c r="A165" s="19"/>
      <c r="B165" s="233"/>
      <c r="C165" s="238"/>
      <c r="D165" s="239"/>
      <c r="E165" s="240"/>
      <c r="F165" s="19"/>
      <c r="G165" s="242"/>
      <c r="H165" s="238"/>
      <c r="I165" s="241"/>
      <c r="J165" s="240"/>
      <c r="K165" s="19"/>
    </row>
    <row r="166" spans="1:11" ht="19.5" customHeight="1" x14ac:dyDescent="0.25">
      <c r="A166" s="19"/>
      <c r="B166" s="233"/>
      <c r="C166" s="238"/>
      <c r="D166" s="239"/>
      <c r="E166" s="240"/>
      <c r="F166" s="19"/>
      <c r="G166" s="242"/>
      <c r="H166" s="238"/>
      <c r="I166" s="241"/>
      <c r="J166" s="240"/>
      <c r="K166" s="19"/>
    </row>
    <row r="167" spans="1:11" ht="19.5" customHeight="1" x14ac:dyDescent="0.25">
      <c r="A167" s="19"/>
      <c r="B167" s="233"/>
      <c r="C167" s="238"/>
      <c r="D167" s="239"/>
      <c r="E167" s="240"/>
      <c r="F167" s="19"/>
      <c r="G167" s="242"/>
      <c r="H167" s="238"/>
      <c r="I167" s="241"/>
      <c r="J167" s="240"/>
      <c r="K167" s="19"/>
    </row>
    <row r="168" spans="1:11" ht="19.5" customHeight="1" x14ac:dyDescent="0.25">
      <c r="A168" s="19"/>
      <c r="B168" s="233"/>
      <c r="C168" s="238"/>
      <c r="D168" s="239"/>
      <c r="E168" s="240"/>
      <c r="F168" s="19"/>
      <c r="G168" s="242"/>
      <c r="H168" s="238"/>
      <c r="I168" s="241"/>
      <c r="J168" s="240"/>
      <c r="K168" s="19"/>
    </row>
    <row r="169" spans="1:11" ht="19.5" customHeight="1" x14ac:dyDescent="0.25">
      <c r="A169" s="19"/>
      <c r="B169" s="233"/>
      <c r="C169" s="238"/>
      <c r="D169" s="239"/>
      <c r="E169" s="240"/>
      <c r="F169" s="19"/>
      <c r="G169" s="242"/>
      <c r="H169" s="238"/>
      <c r="I169" s="241"/>
      <c r="J169" s="240"/>
      <c r="K169" s="19"/>
    </row>
    <row r="170" spans="1:11" ht="19.5" customHeight="1" x14ac:dyDescent="0.25">
      <c r="A170" s="19"/>
      <c r="B170" s="233"/>
      <c r="C170" s="238"/>
      <c r="D170" s="239"/>
      <c r="E170" s="240"/>
      <c r="F170" s="19"/>
      <c r="G170" s="242"/>
      <c r="H170" s="238"/>
      <c r="I170" s="241"/>
      <c r="J170" s="240"/>
      <c r="K170" s="19"/>
    </row>
    <row r="171" spans="1:11" ht="19.5" customHeight="1" x14ac:dyDescent="0.25">
      <c r="A171" s="19"/>
      <c r="B171" s="233"/>
      <c r="C171" s="238"/>
      <c r="D171" s="239"/>
      <c r="E171" s="240"/>
      <c r="F171" s="19"/>
      <c r="G171" s="242"/>
      <c r="H171" s="238"/>
      <c r="I171" s="241"/>
      <c r="J171" s="240"/>
      <c r="K171" s="19"/>
    </row>
    <row r="172" spans="1:11" ht="19.5" customHeight="1" x14ac:dyDescent="0.25">
      <c r="A172" s="19"/>
      <c r="B172" s="233"/>
      <c r="C172" s="238"/>
      <c r="D172" s="239"/>
      <c r="E172" s="240"/>
      <c r="F172" s="19"/>
      <c r="G172" s="242"/>
      <c r="H172" s="238"/>
      <c r="I172" s="241"/>
      <c r="J172" s="240"/>
      <c r="K172" s="19"/>
    </row>
    <row r="173" spans="1:11" ht="19.5" customHeight="1" x14ac:dyDescent="0.25">
      <c r="A173" s="19"/>
      <c r="B173" s="233"/>
      <c r="C173" s="238"/>
      <c r="D173" s="239"/>
      <c r="E173" s="240"/>
      <c r="F173" s="19"/>
      <c r="G173" s="242"/>
      <c r="H173" s="238"/>
      <c r="I173" s="241"/>
      <c r="J173" s="240"/>
      <c r="K173" s="19"/>
    </row>
    <row r="174" spans="1:11" ht="19.5" customHeight="1" x14ac:dyDescent="0.25">
      <c r="A174" s="19"/>
      <c r="B174" s="233"/>
      <c r="C174" s="238"/>
      <c r="D174" s="239"/>
      <c r="E174" s="240"/>
      <c r="F174" s="19"/>
      <c r="G174" s="242"/>
      <c r="H174" s="238"/>
      <c r="I174" s="241"/>
      <c r="J174" s="240"/>
      <c r="K174" s="19"/>
    </row>
    <row r="175" spans="1:11" ht="19.5" customHeight="1" x14ac:dyDescent="0.25">
      <c r="A175" s="19"/>
      <c r="B175" s="233"/>
      <c r="C175" s="238"/>
      <c r="D175" s="239"/>
      <c r="E175" s="240"/>
      <c r="F175" s="19"/>
      <c r="G175" s="242"/>
      <c r="H175" s="238"/>
      <c r="I175" s="241"/>
      <c r="J175" s="240"/>
      <c r="K175" s="19"/>
    </row>
    <row r="176" spans="1:11" ht="19.5" customHeight="1" x14ac:dyDescent="0.25">
      <c r="A176" s="19"/>
      <c r="B176" s="233"/>
      <c r="C176" s="238"/>
      <c r="D176" s="239"/>
      <c r="E176" s="240"/>
      <c r="F176" s="19"/>
      <c r="G176" s="242"/>
      <c r="H176" s="238"/>
      <c r="I176" s="241"/>
      <c r="J176" s="240"/>
      <c r="K176" s="19"/>
    </row>
    <row r="177" spans="1:11" ht="19.5" customHeight="1" x14ac:dyDescent="0.25">
      <c r="A177" s="19"/>
      <c r="B177" s="233"/>
      <c r="C177" s="238"/>
      <c r="D177" s="239"/>
      <c r="E177" s="240"/>
      <c r="F177" s="19"/>
      <c r="G177" s="242"/>
      <c r="H177" s="238"/>
      <c r="I177" s="241"/>
      <c r="J177" s="240"/>
      <c r="K177" s="19"/>
    </row>
    <row r="178" spans="1:11" ht="19.5" customHeight="1" x14ac:dyDescent="0.25">
      <c r="A178" s="19"/>
      <c r="B178" s="233"/>
      <c r="C178" s="238"/>
      <c r="D178" s="239"/>
      <c r="E178" s="240"/>
      <c r="F178" s="19"/>
      <c r="G178" s="242"/>
      <c r="H178" s="238"/>
      <c r="I178" s="241"/>
      <c r="J178" s="240"/>
      <c r="K178" s="19"/>
    </row>
    <row r="179" spans="1:11" ht="19.5" customHeight="1" x14ac:dyDescent="0.25">
      <c r="A179" s="19"/>
      <c r="B179" s="233"/>
      <c r="C179" s="238"/>
      <c r="D179" s="239"/>
      <c r="E179" s="240"/>
      <c r="F179" s="19"/>
      <c r="G179" s="242"/>
      <c r="H179" s="238"/>
      <c r="I179" s="241"/>
      <c r="J179" s="240"/>
      <c r="K179" s="19"/>
    </row>
    <row r="180" spans="1:11" ht="19.5" customHeight="1" x14ac:dyDescent="0.25">
      <c r="A180" s="19"/>
      <c r="B180" s="233"/>
      <c r="C180" s="238"/>
      <c r="D180" s="239"/>
      <c r="E180" s="240"/>
      <c r="F180" s="19"/>
      <c r="G180" s="242"/>
      <c r="H180" s="238"/>
      <c r="I180" s="241"/>
      <c r="J180" s="240"/>
      <c r="K180" s="19"/>
    </row>
    <row r="181" spans="1:11" ht="19.5" customHeight="1" x14ac:dyDescent="0.25">
      <c r="A181" s="19"/>
      <c r="B181" s="233"/>
      <c r="C181" s="238"/>
      <c r="D181" s="239"/>
      <c r="E181" s="240"/>
      <c r="F181" s="19"/>
      <c r="G181" s="242"/>
      <c r="H181" s="238"/>
      <c r="I181" s="241"/>
      <c r="J181" s="240"/>
      <c r="K181" s="19"/>
    </row>
    <row r="182" spans="1:11" ht="19.5" customHeight="1" x14ac:dyDescent="0.25">
      <c r="A182" s="19"/>
      <c r="B182" s="233"/>
      <c r="C182" s="238"/>
      <c r="D182" s="239"/>
      <c r="E182" s="240"/>
      <c r="F182" s="19"/>
      <c r="G182" s="242"/>
      <c r="H182" s="238"/>
      <c r="I182" s="241"/>
      <c r="J182" s="240"/>
      <c r="K182" s="19"/>
    </row>
    <row r="183" spans="1:11" ht="19.5" customHeight="1" x14ac:dyDescent="0.25">
      <c r="A183" s="19"/>
      <c r="B183" s="233"/>
      <c r="C183" s="238"/>
      <c r="D183" s="239"/>
      <c r="E183" s="240"/>
      <c r="F183" s="19"/>
      <c r="G183" s="242"/>
      <c r="H183" s="238"/>
      <c r="I183" s="241"/>
      <c r="J183" s="240"/>
      <c r="K183" s="19"/>
    </row>
    <row r="184" spans="1:11" ht="19.5" customHeight="1" x14ac:dyDescent="0.25">
      <c r="A184" s="19"/>
      <c r="B184" s="233"/>
      <c r="C184" s="238"/>
      <c r="D184" s="239"/>
      <c r="E184" s="240"/>
      <c r="F184" s="19"/>
      <c r="G184" s="242"/>
      <c r="H184" s="238"/>
      <c r="I184" s="241"/>
      <c r="J184" s="240"/>
      <c r="K184" s="19"/>
    </row>
    <row r="185" spans="1:11" ht="19.5" customHeight="1" x14ac:dyDescent="0.25">
      <c r="A185" s="19"/>
      <c r="B185" s="233"/>
      <c r="C185" s="238"/>
      <c r="D185" s="239"/>
      <c r="E185" s="240"/>
      <c r="F185" s="19"/>
      <c r="G185" s="242"/>
      <c r="H185" s="238"/>
      <c r="I185" s="241"/>
      <c r="J185" s="240"/>
      <c r="K185" s="19"/>
    </row>
    <row r="186" spans="1:11" ht="19.5" customHeight="1" x14ac:dyDescent="0.25">
      <c r="A186" s="19"/>
      <c r="B186" s="233"/>
      <c r="C186" s="238"/>
      <c r="D186" s="239"/>
      <c r="E186" s="240"/>
      <c r="F186" s="19"/>
      <c r="G186" s="242"/>
      <c r="H186" s="238"/>
      <c r="I186" s="241"/>
      <c r="J186" s="240"/>
      <c r="K186" s="19"/>
    </row>
    <row r="187" spans="1:11" ht="19.5" customHeight="1" x14ac:dyDescent="0.25">
      <c r="A187" s="19"/>
      <c r="B187" s="233"/>
      <c r="C187" s="238"/>
      <c r="D187" s="239"/>
      <c r="E187" s="240"/>
      <c r="F187" s="19"/>
      <c r="G187" s="242"/>
      <c r="H187" s="238"/>
      <c r="I187" s="241"/>
      <c r="J187" s="240"/>
      <c r="K187" s="19"/>
    </row>
    <row r="188" spans="1:11" ht="19.5" customHeight="1" x14ac:dyDescent="0.25">
      <c r="A188" s="19"/>
      <c r="B188" s="233"/>
      <c r="C188" s="238"/>
      <c r="D188" s="239"/>
      <c r="E188" s="240"/>
      <c r="F188" s="19"/>
      <c r="G188" s="242"/>
      <c r="H188" s="238"/>
      <c r="I188" s="241"/>
      <c r="J188" s="240"/>
      <c r="K188" s="19"/>
    </row>
    <row r="189" spans="1:11" ht="19.5" customHeight="1" x14ac:dyDescent="0.25">
      <c r="A189" s="19"/>
      <c r="B189" s="233"/>
      <c r="C189" s="238"/>
      <c r="D189" s="239"/>
      <c r="E189" s="240"/>
      <c r="F189" s="19"/>
      <c r="G189" s="242"/>
      <c r="H189" s="238"/>
      <c r="I189" s="241"/>
      <c r="J189" s="240"/>
      <c r="K189" s="19"/>
    </row>
    <row r="190" spans="1:11" ht="19.5" customHeight="1" x14ac:dyDescent="0.25">
      <c r="A190" s="19"/>
      <c r="B190" s="233"/>
      <c r="C190" s="238"/>
      <c r="D190" s="239"/>
      <c r="E190" s="240"/>
      <c r="F190" s="19"/>
      <c r="G190" s="242"/>
      <c r="H190" s="238"/>
      <c r="I190" s="241"/>
      <c r="J190" s="240"/>
      <c r="K190" s="19"/>
    </row>
    <row r="191" spans="1:11" ht="19.5" customHeight="1" x14ac:dyDescent="0.25">
      <c r="A191" s="19"/>
      <c r="B191" s="233"/>
      <c r="C191" s="238"/>
      <c r="D191" s="239"/>
      <c r="E191" s="240"/>
      <c r="F191" s="19"/>
      <c r="G191" s="242"/>
      <c r="H191" s="238"/>
      <c r="I191" s="241"/>
      <c r="J191" s="240"/>
      <c r="K191" s="19"/>
    </row>
    <row r="192" spans="1:11" ht="19.5" customHeight="1" x14ac:dyDescent="0.25">
      <c r="A192" s="19"/>
      <c r="B192" s="233"/>
      <c r="C192" s="238"/>
      <c r="D192" s="239"/>
      <c r="E192" s="240"/>
      <c r="F192" s="19"/>
      <c r="G192" s="242"/>
      <c r="H192" s="238"/>
      <c r="I192" s="241"/>
      <c r="J192" s="240"/>
      <c r="K192" s="19"/>
    </row>
    <row r="193" spans="1:11" ht="19.5" customHeight="1" x14ac:dyDescent="0.25">
      <c r="A193" s="19"/>
      <c r="B193" s="233"/>
      <c r="C193" s="238"/>
      <c r="D193" s="239"/>
      <c r="E193" s="240"/>
      <c r="F193" s="19"/>
      <c r="G193" s="242"/>
      <c r="H193" s="238"/>
      <c r="I193" s="241"/>
      <c r="J193" s="240"/>
      <c r="K193" s="19"/>
    </row>
    <row r="194" spans="1:11" ht="19.5" customHeight="1" x14ac:dyDescent="0.25">
      <c r="A194" s="19"/>
      <c r="B194" s="233"/>
      <c r="C194" s="238"/>
      <c r="D194" s="239"/>
      <c r="E194" s="240"/>
      <c r="F194" s="19"/>
      <c r="G194" s="242"/>
      <c r="H194" s="238"/>
      <c r="I194" s="241"/>
      <c r="J194" s="240"/>
      <c r="K194" s="19"/>
    </row>
    <row r="195" spans="1:11" ht="19.5" customHeight="1" x14ac:dyDescent="0.25">
      <c r="A195" s="19"/>
      <c r="B195" s="233"/>
      <c r="C195" s="238"/>
      <c r="D195" s="239"/>
      <c r="E195" s="240"/>
      <c r="F195" s="19"/>
      <c r="G195" s="242"/>
      <c r="H195" s="238"/>
      <c r="I195" s="241"/>
      <c r="J195" s="240"/>
      <c r="K195" s="19"/>
    </row>
    <row r="196" spans="1:11" ht="19.5" customHeight="1" x14ac:dyDescent="0.25">
      <c r="A196" s="19"/>
      <c r="B196" s="233"/>
      <c r="C196" s="238"/>
      <c r="D196" s="239"/>
      <c r="E196" s="240"/>
      <c r="F196" s="19"/>
      <c r="G196" s="242"/>
      <c r="H196" s="238"/>
      <c r="I196" s="241"/>
      <c r="J196" s="240"/>
      <c r="K196" s="19"/>
    </row>
    <row r="197" spans="1:11" ht="19.5" customHeight="1" x14ac:dyDescent="0.25">
      <c r="A197" s="19"/>
      <c r="B197" s="233"/>
      <c r="C197" s="238"/>
      <c r="D197" s="239"/>
      <c r="E197" s="240"/>
      <c r="F197" s="19"/>
      <c r="G197" s="242"/>
      <c r="H197" s="238"/>
      <c r="I197" s="241"/>
      <c r="J197" s="240"/>
      <c r="K197" s="19"/>
    </row>
    <row r="198" spans="1:11" ht="19.5" customHeight="1" x14ac:dyDescent="0.25">
      <c r="A198" s="19"/>
      <c r="B198" s="233"/>
      <c r="C198" s="238"/>
      <c r="D198" s="239"/>
      <c r="E198" s="240"/>
      <c r="F198" s="19"/>
      <c r="G198" s="242"/>
      <c r="H198" s="238"/>
      <c r="I198" s="241"/>
      <c r="J198" s="240"/>
      <c r="K198" s="19"/>
    </row>
    <row r="199" spans="1:11" ht="19.5" customHeight="1" x14ac:dyDescent="0.25">
      <c r="A199" s="19"/>
      <c r="B199" s="233"/>
      <c r="C199" s="238"/>
      <c r="D199" s="239"/>
      <c r="E199" s="240"/>
      <c r="F199" s="19"/>
      <c r="G199" s="242"/>
      <c r="H199" s="238"/>
      <c r="I199" s="241"/>
      <c r="J199" s="240"/>
      <c r="K199" s="19"/>
    </row>
    <row r="200" spans="1:11" ht="19.5" customHeight="1" x14ac:dyDescent="0.25">
      <c r="A200" s="19"/>
      <c r="B200" s="233"/>
      <c r="C200" s="238"/>
      <c r="D200" s="239"/>
      <c r="E200" s="240"/>
      <c r="F200" s="19"/>
      <c r="G200" s="242"/>
      <c r="H200" s="238"/>
      <c r="I200" s="241"/>
      <c r="J200" s="240"/>
      <c r="K200" s="19"/>
    </row>
    <row r="201" spans="1:11" ht="19.5" customHeight="1" x14ac:dyDescent="0.25">
      <c r="A201" s="19"/>
      <c r="B201" s="233"/>
      <c r="C201" s="238"/>
      <c r="D201" s="239"/>
      <c r="E201" s="240"/>
      <c r="F201" s="19"/>
      <c r="G201" s="242"/>
      <c r="H201" s="238"/>
      <c r="I201" s="241"/>
      <c r="J201" s="240"/>
      <c r="K201" s="19"/>
    </row>
    <row r="202" spans="1:11" ht="19.5" customHeight="1" x14ac:dyDescent="0.25">
      <c r="A202" s="19"/>
      <c r="B202" s="233"/>
      <c r="C202" s="238"/>
      <c r="D202" s="239"/>
      <c r="E202" s="240"/>
      <c r="F202" s="19"/>
      <c r="G202" s="242"/>
      <c r="H202" s="238"/>
      <c r="I202" s="241"/>
      <c r="J202" s="240"/>
      <c r="K202" s="19"/>
    </row>
    <row r="203" spans="1:11" ht="19.5" customHeight="1" x14ac:dyDescent="0.25">
      <c r="A203" s="19"/>
      <c r="B203" s="233"/>
      <c r="C203" s="238"/>
      <c r="D203" s="239"/>
      <c r="E203" s="240"/>
      <c r="F203" s="19"/>
      <c r="G203" s="242"/>
      <c r="H203" s="238"/>
      <c r="I203" s="241"/>
      <c r="J203" s="240"/>
      <c r="K203" s="19"/>
    </row>
    <row r="204" spans="1:11" ht="19.5" customHeight="1" x14ac:dyDescent="0.25">
      <c r="A204" s="19"/>
      <c r="B204" s="233"/>
      <c r="C204" s="238"/>
      <c r="D204" s="239"/>
      <c r="E204" s="240"/>
      <c r="F204" s="19"/>
      <c r="G204" s="242"/>
      <c r="H204" s="238"/>
      <c r="I204" s="241"/>
      <c r="J204" s="240"/>
      <c r="K204" s="19"/>
    </row>
    <row r="205" spans="1:11" ht="19.5" customHeight="1" x14ac:dyDescent="0.25">
      <c r="A205" s="19"/>
      <c r="B205" s="233"/>
      <c r="C205" s="238"/>
      <c r="D205" s="239"/>
      <c r="E205" s="240"/>
      <c r="F205" s="19"/>
      <c r="G205" s="242"/>
      <c r="H205" s="238"/>
      <c r="I205" s="241"/>
      <c r="J205" s="240"/>
      <c r="K205" s="19"/>
    </row>
    <row r="206" spans="1:11" ht="19.5" customHeight="1" x14ac:dyDescent="0.25">
      <c r="A206" s="19"/>
      <c r="B206" s="233"/>
      <c r="C206" s="238"/>
      <c r="D206" s="239"/>
      <c r="E206" s="240"/>
      <c r="F206" s="19"/>
      <c r="G206" s="242"/>
      <c r="H206" s="238"/>
      <c r="I206" s="241"/>
      <c r="J206" s="240"/>
      <c r="K206" s="19"/>
    </row>
    <row r="207" spans="1:11" ht="19.5" customHeight="1" x14ac:dyDescent="0.25">
      <c r="A207" s="19"/>
      <c r="B207" s="233"/>
      <c r="C207" s="238"/>
      <c r="D207" s="239"/>
      <c r="E207" s="240"/>
      <c r="F207" s="19"/>
      <c r="G207" s="242"/>
      <c r="H207" s="238"/>
      <c r="I207" s="241"/>
      <c r="J207" s="240"/>
      <c r="K207" s="19"/>
    </row>
    <row r="208" spans="1:11" ht="19.5" customHeight="1" x14ac:dyDescent="0.25">
      <c r="A208" s="19"/>
      <c r="B208" s="233"/>
      <c r="C208" s="238"/>
      <c r="D208" s="239"/>
      <c r="E208" s="240"/>
      <c r="F208" s="19"/>
      <c r="G208" s="242"/>
      <c r="H208" s="238"/>
      <c r="I208" s="241"/>
      <c r="J208" s="240"/>
      <c r="K208" s="19"/>
    </row>
    <row r="209" spans="1:11" ht="19.5" customHeight="1" x14ac:dyDescent="0.25">
      <c r="A209" s="19"/>
      <c r="B209" s="233"/>
      <c r="C209" s="238"/>
      <c r="D209" s="239"/>
      <c r="E209" s="240"/>
      <c r="F209" s="19"/>
      <c r="G209" s="242"/>
      <c r="H209" s="238"/>
      <c r="I209" s="241"/>
      <c r="J209" s="240"/>
      <c r="K209" s="19"/>
    </row>
    <row r="210" spans="1:11" ht="19.5" customHeight="1" x14ac:dyDescent="0.25">
      <c r="A210" s="19"/>
      <c r="B210" s="233"/>
      <c r="C210" s="238"/>
      <c r="D210" s="239"/>
      <c r="E210" s="240"/>
      <c r="F210" s="19"/>
      <c r="G210" s="242"/>
      <c r="H210" s="238"/>
      <c r="I210" s="241"/>
      <c r="J210" s="240"/>
      <c r="K210" s="19"/>
    </row>
    <row r="211" spans="1:11" ht="19.5" customHeight="1" x14ac:dyDescent="0.25">
      <c r="A211" s="19"/>
      <c r="B211" s="233"/>
      <c r="C211" s="238"/>
      <c r="D211" s="239"/>
      <c r="E211" s="240"/>
      <c r="F211" s="19"/>
      <c r="G211" s="242"/>
      <c r="H211" s="238"/>
      <c r="I211" s="241"/>
      <c r="J211" s="240"/>
      <c r="K211" s="19"/>
    </row>
    <row r="212" spans="1:11" ht="19.5" customHeight="1" x14ac:dyDescent="0.25">
      <c r="A212" s="19"/>
      <c r="B212" s="233"/>
      <c r="C212" s="238"/>
      <c r="D212" s="239"/>
      <c r="E212" s="240"/>
      <c r="F212" s="19"/>
      <c r="G212" s="242"/>
      <c r="H212" s="238"/>
      <c r="I212" s="241"/>
      <c r="J212" s="240"/>
      <c r="K212" s="19"/>
    </row>
    <row r="213" spans="1:11" ht="19.5" customHeight="1" x14ac:dyDescent="0.25">
      <c r="A213" s="19"/>
      <c r="B213" s="233"/>
      <c r="C213" s="238"/>
      <c r="D213" s="239"/>
      <c r="E213" s="240"/>
      <c r="F213" s="19"/>
      <c r="G213" s="242"/>
      <c r="H213" s="238"/>
      <c r="I213" s="241"/>
      <c r="J213" s="240"/>
      <c r="K213" s="19"/>
    </row>
    <row r="214" spans="1:11" ht="19.5" customHeight="1" x14ac:dyDescent="0.25">
      <c r="A214" s="19"/>
      <c r="B214" s="245"/>
      <c r="C214" s="246"/>
      <c r="D214" s="248"/>
      <c r="E214" s="247"/>
      <c r="F214" s="19"/>
      <c r="G214" s="242"/>
      <c r="H214" s="238"/>
      <c r="I214" s="241"/>
      <c r="J214" s="240"/>
      <c r="K214" s="19"/>
    </row>
    <row r="215" spans="1:11" ht="19.5" customHeight="1" x14ac:dyDescent="0.25">
      <c r="A215" s="19"/>
      <c r="B215" s="245"/>
      <c r="C215" s="246"/>
      <c r="D215" s="248"/>
      <c r="E215" s="247"/>
      <c r="F215" s="19"/>
      <c r="G215" s="245"/>
      <c r="H215" s="246"/>
      <c r="I215" s="126"/>
      <c r="J215" s="247"/>
      <c r="K215" s="19"/>
    </row>
    <row r="216" spans="1:11" ht="19.5" customHeight="1" x14ac:dyDescent="0.25">
      <c r="A216" s="19"/>
      <c r="B216" s="245"/>
      <c r="C216" s="246"/>
      <c r="D216" s="248"/>
      <c r="E216" s="247"/>
      <c r="F216" s="19"/>
      <c r="G216" s="245"/>
      <c r="H216" s="246"/>
      <c r="I216" s="126"/>
      <c r="J216" s="247"/>
      <c r="K216" s="19"/>
    </row>
    <row r="217" spans="1:11" ht="19.5" customHeight="1" x14ac:dyDescent="0.25">
      <c r="A217" s="19"/>
      <c r="B217" s="245"/>
      <c r="C217" s="246"/>
      <c r="D217" s="248"/>
      <c r="E217" s="247"/>
      <c r="F217" s="19"/>
      <c r="G217" s="245"/>
      <c r="H217" s="246"/>
      <c r="I217" s="126"/>
      <c r="J217" s="247"/>
      <c r="K217" s="19"/>
    </row>
    <row r="218" spans="1:11" ht="19.5" customHeight="1" x14ac:dyDescent="0.25">
      <c r="A218" s="19"/>
      <c r="B218" s="245"/>
      <c r="C218" s="246"/>
      <c r="D218" s="248"/>
      <c r="E218" s="247"/>
      <c r="F218" s="19"/>
      <c r="G218" s="245"/>
      <c r="H218" s="246"/>
      <c r="I218" s="126"/>
      <c r="J218" s="247"/>
      <c r="K218" s="19"/>
    </row>
    <row r="219" spans="1:11" ht="19.5" customHeight="1" x14ac:dyDescent="0.25">
      <c r="A219" s="19"/>
      <c r="B219" s="245"/>
      <c r="C219" s="246"/>
      <c r="D219" s="248"/>
      <c r="E219" s="247"/>
      <c r="F219" s="19"/>
      <c r="G219" s="245"/>
      <c r="H219" s="246"/>
      <c r="I219" s="126"/>
      <c r="J219" s="247"/>
      <c r="K219" s="19"/>
    </row>
    <row r="220" spans="1:11" ht="19.5" customHeight="1" x14ac:dyDescent="0.25">
      <c r="A220" s="19"/>
      <c r="B220" s="245"/>
      <c r="C220" s="246"/>
      <c r="D220" s="248"/>
      <c r="E220" s="247"/>
      <c r="F220" s="19"/>
      <c r="G220" s="245"/>
      <c r="H220" s="246"/>
      <c r="I220" s="126"/>
      <c r="J220" s="247"/>
      <c r="K220" s="19"/>
    </row>
    <row r="221" spans="1:11" ht="15.75" customHeight="1" x14ac:dyDescent="0.25">
      <c r="E221" s="139"/>
      <c r="J221" s="139"/>
    </row>
    <row r="222" spans="1:11" ht="15.75" customHeight="1" x14ac:dyDescent="0.25">
      <c r="E222" s="139"/>
      <c r="J222" s="139"/>
    </row>
    <row r="223" spans="1:11" ht="15.75" customHeight="1" x14ac:dyDescent="0.25">
      <c r="E223" s="139"/>
      <c r="J223" s="139"/>
    </row>
    <row r="224" spans="1:11" ht="15.75" customHeight="1" x14ac:dyDescent="0.25">
      <c r="E224" s="139"/>
      <c r="J224" s="139"/>
    </row>
    <row r="225" spans="5:10" ht="15.75" customHeight="1" x14ac:dyDescent="0.25">
      <c r="E225" s="139"/>
      <c r="J225" s="139"/>
    </row>
    <row r="226" spans="5:10" ht="15.75" customHeight="1" x14ac:dyDescent="0.25">
      <c r="E226" s="139"/>
      <c r="J226" s="139"/>
    </row>
    <row r="227" spans="5:10" ht="15.75" customHeight="1" x14ac:dyDescent="0.25">
      <c r="E227" s="139"/>
      <c r="J227" s="139"/>
    </row>
    <row r="228" spans="5:10" ht="15.75" customHeight="1" x14ac:dyDescent="0.25">
      <c r="E228" s="139"/>
      <c r="J228" s="139"/>
    </row>
    <row r="229" spans="5:10" ht="15.75" customHeight="1" x14ac:dyDescent="0.25">
      <c r="E229" s="139"/>
      <c r="J229" s="139"/>
    </row>
    <row r="230" spans="5:10" ht="15.75" customHeight="1" x14ac:dyDescent="0.25">
      <c r="E230" s="139"/>
      <c r="J230" s="139"/>
    </row>
    <row r="231" spans="5:10" ht="15.75" customHeight="1" x14ac:dyDescent="0.25">
      <c r="E231" s="139"/>
      <c r="J231" s="139"/>
    </row>
    <row r="232" spans="5:10" ht="15.75" customHeight="1" x14ac:dyDescent="0.25">
      <c r="E232" s="139"/>
      <c r="J232" s="139"/>
    </row>
    <row r="233" spans="5:10" ht="15.75" customHeight="1" x14ac:dyDescent="0.25">
      <c r="E233" s="139"/>
      <c r="J233" s="139"/>
    </row>
    <row r="234" spans="5:10" ht="15.75" customHeight="1" x14ac:dyDescent="0.25">
      <c r="E234" s="139"/>
      <c r="J234" s="139"/>
    </row>
    <row r="235" spans="5:10" ht="15.75" customHeight="1" x14ac:dyDescent="0.25">
      <c r="E235" s="139"/>
      <c r="J235" s="139"/>
    </row>
    <row r="236" spans="5:10" ht="15.75" customHeight="1" x14ac:dyDescent="0.25">
      <c r="E236" s="139"/>
      <c r="J236" s="139"/>
    </row>
    <row r="237" spans="5:10" ht="15.75" customHeight="1" x14ac:dyDescent="0.25">
      <c r="E237" s="139"/>
      <c r="J237" s="139"/>
    </row>
    <row r="238" spans="5:10" ht="15.75" customHeight="1" x14ac:dyDescent="0.25">
      <c r="E238" s="139"/>
      <c r="J238" s="139"/>
    </row>
    <row r="239" spans="5:10" ht="15.75" customHeight="1" x14ac:dyDescent="0.25">
      <c r="E239" s="139"/>
      <c r="J239" s="139"/>
    </row>
    <row r="240" spans="5:10" ht="15.75" customHeight="1" x14ac:dyDescent="0.25">
      <c r="E240" s="139"/>
      <c r="J240" s="139"/>
    </row>
    <row r="241" spans="5:10" ht="15.75" customHeight="1" x14ac:dyDescent="0.25">
      <c r="E241" s="139"/>
      <c r="J241" s="139"/>
    </row>
    <row r="242" spans="5:10" ht="15.75" customHeight="1" x14ac:dyDescent="0.25">
      <c r="E242" s="139"/>
      <c r="J242" s="139"/>
    </row>
    <row r="243" spans="5:10" ht="15.75" customHeight="1" x14ac:dyDescent="0.25">
      <c r="E243" s="139"/>
      <c r="J243" s="139"/>
    </row>
    <row r="244" spans="5:10" ht="15.75" customHeight="1" x14ac:dyDescent="0.25">
      <c r="E244" s="139"/>
      <c r="J244" s="139"/>
    </row>
    <row r="245" spans="5:10" ht="15.75" customHeight="1" x14ac:dyDescent="0.25">
      <c r="E245" s="139"/>
      <c r="J245" s="139"/>
    </row>
    <row r="246" spans="5:10" ht="15.75" customHeight="1" x14ac:dyDescent="0.25">
      <c r="E246" s="139"/>
      <c r="J246" s="139"/>
    </row>
    <row r="247" spans="5:10" ht="15.75" customHeight="1" x14ac:dyDescent="0.25">
      <c r="E247" s="139"/>
      <c r="J247" s="139"/>
    </row>
    <row r="248" spans="5:10" ht="15.75" customHeight="1" x14ac:dyDescent="0.25">
      <c r="E248" s="139"/>
      <c r="J248" s="139"/>
    </row>
    <row r="249" spans="5:10" ht="15.75" customHeight="1" x14ac:dyDescent="0.25">
      <c r="E249" s="139"/>
      <c r="J249" s="139"/>
    </row>
    <row r="250" spans="5:10" ht="15.75" customHeight="1" x14ac:dyDescent="0.25">
      <c r="E250" s="139"/>
      <c r="J250" s="139"/>
    </row>
    <row r="251" spans="5:10" ht="15.75" customHeight="1" x14ac:dyDescent="0.25">
      <c r="E251" s="139"/>
      <c r="J251" s="139"/>
    </row>
    <row r="252" spans="5:10" ht="15.75" customHeight="1" x14ac:dyDescent="0.25">
      <c r="E252" s="139"/>
      <c r="J252" s="139"/>
    </row>
    <row r="253" spans="5:10" ht="15.75" customHeight="1" x14ac:dyDescent="0.25">
      <c r="E253" s="139"/>
      <c r="J253" s="139"/>
    </row>
    <row r="254" spans="5:10" ht="15.75" customHeight="1" x14ac:dyDescent="0.25">
      <c r="E254" s="139"/>
      <c r="J254" s="139"/>
    </row>
    <row r="255" spans="5:10" ht="15.75" customHeight="1" x14ac:dyDescent="0.25">
      <c r="E255" s="139"/>
      <c r="J255" s="139"/>
    </row>
    <row r="256" spans="5:10" ht="15.75" customHeight="1" x14ac:dyDescent="0.25">
      <c r="E256" s="139"/>
      <c r="J256" s="139"/>
    </row>
    <row r="257" spans="5:10" ht="15.75" customHeight="1" x14ac:dyDescent="0.25">
      <c r="E257" s="139"/>
      <c r="J257" s="139"/>
    </row>
    <row r="258" spans="5:10" ht="15.75" customHeight="1" x14ac:dyDescent="0.25">
      <c r="E258" s="139"/>
      <c r="J258" s="139"/>
    </row>
    <row r="259" spans="5:10" ht="15.75" customHeight="1" x14ac:dyDescent="0.25">
      <c r="E259" s="139"/>
      <c r="J259" s="139"/>
    </row>
    <row r="260" spans="5:10" ht="15.75" customHeight="1" x14ac:dyDescent="0.25">
      <c r="E260" s="139"/>
      <c r="J260" s="139"/>
    </row>
    <row r="261" spans="5:10" ht="15.75" customHeight="1" x14ac:dyDescent="0.25">
      <c r="E261" s="139"/>
      <c r="J261" s="139"/>
    </row>
    <row r="262" spans="5:10" ht="15.75" customHeight="1" x14ac:dyDescent="0.25">
      <c r="E262" s="139"/>
      <c r="J262" s="139"/>
    </row>
    <row r="263" spans="5:10" ht="15.75" customHeight="1" x14ac:dyDescent="0.25">
      <c r="E263" s="139"/>
      <c r="J263" s="139"/>
    </row>
    <row r="264" spans="5:10" ht="15.75" customHeight="1" x14ac:dyDescent="0.25">
      <c r="E264" s="139"/>
      <c r="J264" s="139"/>
    </row>
    <row r="265" spans="5:10" ht="15.75" customHeight="1" x14ac:dyDescent="0.25">
      <c r="E265" s="139"/>
      <c r="J265" s="139"/>
    </row>
    <row r="266" spans="5:10" ht="15.75" customHeight="1" x14ac:dyDescent="0.25">
      <c r="E266" s="139"/>
      <c r="J266" s="139"/>
    </row>
    <row r="267" spans="5:10" ht="15.75" customHeight="1" x14ac:dyDescent="0.25">
      <c r="E267" s="139"/>
      <c r="J267" s="139"/>
    </row>
    <row r="268" spans="5:10" ht="15.75" customHeight="1" x14ac:dyDescent="0.25">
      <c r="E268" s="139"/>
      <c r="J268" s="139"/>
    </row>
    <row r="269" spans="5:10" ht="15.75" customHeight="1" x14ac:dyDescent="0.25">
      <c r="E269" s="139"/>
      <c r="J269" s="139"/>
    </row>
    <row r="270" spans="5:10" ht="15.75" customHeight="1" x14ac:dyDescent="0.25">
      <c r="E270" s="139"/>
      <c r="J270" s="139"/>
    </row>
    <row r="271" spans="5:10" ht="15.75" customHeight="1" x14ac:dyDescent="0.25">
      <c r="E271" s="139"/>
      <c r="J271" s="139"/>
    </row>
    <row r="272" spans="5:10" ht="15.75" customHeight="1" x14ac:dyDescent="0.25">
      <c r="E272" s="139"/>
      <c r="J272" s="139"/>
    </row>
    <row r="273" spans="5:10" ht="15.75" customHeight="1" x14ac:dyDescent="0.25">
      <c r="E273" s="139"/>
      <c r="J273" s="139"/>
    </row>
    <row r="274" spans="5:10" ht="15.75" customHeight="1" x14ac:dyDescent="0.25">
      <c r="E274" s="139"/>
      <c r="J274" s="139"/>
    </row>
    <row r="275" spans="5:10" ht="15.75" customHeight="1" x14ac:dyDescent="0.25">
      <c r="E275" s="139"/>
      <c r="J275" s="139"/>
    </row>
    <row r="276" spans="5:10" ht="15.75" customHeight="1" x14ac:dyDescent="0.25">
      <c r="E276" s="139"/>
      <c r="J276" s="139"/>
    </row>
    <row r="277" spans="5:10" ht="15.75" customHeight="1" x14ac:dyDescent="0.25">
      <c r="E277" s="139"/>
      <c r="J277" s="139"/>
    </row>
    <row r="278" spans="5:10" ht="15.75" customHeight="1" x14ac:dyDescent="0.25">
      <c r="E278" s="139"/>
      <c r="J278" s="139"/>
    </row>
    <row r="279" spans="5:10" ht="15.75" customHeight="1" x14ac:dyDescent="0.25">
      <c r="E279" s="139"/>
      <c r="J279" s="139"/>
    </row>
    <row r="280" spans="5:10" ht="15.75" customHeight="1" x14ac:dyDescent="0.25">
      <c r="E280" s="139"/>
      <c r="J280" s="139"/>
    </row>
    <row r="281" spans="5:10" ht="15.75" customHeight="1" x14ac:dyDescent="0.25">
      <c r="E281" s="139"/>
      <c r="J281" s="139"/>
    </row>
    <row r="282" spans="5:10" ht="15.75" customHeight="1" x14ac:dyDescent="0.25">
      <c r="E282" s="139"/>
      <c r="J282" s="139"/>
    </row>
    <row r="283" spans="5:10" ht="15.75" customHeight="1" x14ac:dyDescent="0.25">
      <c r="E283" s="139"/>
      <c r="J283" s="139"/>
    </row>
    <row r="284" spans="5:10" ht="15.75" customHeight="1" x14ac:dyDescent="0.25">
      <c r="E284" s="139"/>
      <c r="J284" s="139"/>
    </row>
    <row r="285" spans="5:10" ht="15.75" customHeight="1" x14ac:dyDescent="0.25">
      <c r="E285" s="139"/>
      <c r="J285" s="139"/>
    </row>
    <row r="286" spans="5:10" ht="15.75" customHeight="1" x14ac:dyDescent="0.25">
      <c r="E286" s="139"/>
      <c r="J286" s="139"/>
    </row>
    <row r="287" spans="5:10" ht="15.75" customHeight="1" x14ac:dyDescent="0.25">
      <c r="E287" s="139"/>
      <c r="J287" s="139"/>
    </row>
    <row r="288" spans="5:10" ht="15.75" customHeight="1" x14ac:dyDescent="0.25">
      <c r="E288" s="139"/>
      <c r="J288" s="139"/>
    </row>
    <row r="289" spans="5:10" ht="15.75" customHeight="1" x14ac:dyDescent="0.25">
      <c r="E289" s="139"/>
      <c r="J289" s="139"/>
    </row>
    <row r="290" spans="5:10" ht="15.75" customHeight="1" x14ac:dyDescent="0.25">
      <c r="E290" s="139"/>
      <c r="J290" s="139"/>
    </row>
    <row r="291" spans="5:10" ht="15.75" customHeight="1" x14ac:dyDescent="0.25">
      <c r="E291" s="139"/>
      <c r="J291" s="139"/>
    </row>
    <row r="292" spans="5:10" ht="15.75" customHeight="1" x14ac:dyDescent="0.25">
      <c r="E292" s="139"/>
      <c r="J292" s="139"/>
    </row>
    <row r="293" spans="5:10" ht="15.75" customHeight="1" x14ac:dyDescent="0.25">
      <c r="E293" s="139"/>
      <c r="J293" s="139"/>
    </row>
    <row r="294" spans="5:10" ht="15.75" customHeight="1" x14ac:dyDescent="0.25">
      <c r="E294" s="139"/>
      <c r="J294" s="139"/>
    </row>
    <row r="295" spans="5:10" ht="15.75" customHeight="1" x14ac:dyDescent="0.25">
      <c r="E295" s="139"/>
      <c r="J295" s="139"/>
    </row>
    <row r="296" spans="5:10" ht="15.75" customHeight="1" x14ac:dyDescent="0.25">
      <c r="E296" s="139"/>
      <c r="J296" s="139"/>
    </row>
    <row r="297" spans="5:10" ht="15.75" customHeight="1" x14ac:dyDescent="0.25">
      <c r="E297" s="139"/>
      <c r="J297" s="139"/>
    </row>
    <row r="298" spans="5:10" ht="15.75" customHeight="1" x14ac:dyDescent="0.25">
      <c r="E298" s="139"/>
      <c r="J298" s="139"/>
    </row>
    <row r="299" spans="5:10" ht="15.75" customHeight="1" x14ac:dyDescent="0.25">
      <c r="E299" s="139"/>
      <c r="J299" s="139"/>
    </row>
    <row r="300" spans="5:10" ht="15.75" customHeight="1" x14ac:dyDescent="0.25">
      <c r="E300" s="139"/>
      <c r="J300" s="139"/>
    </row>
    <row r="301" spans="5:10" ht="15.75" customHeight="1" x14ac:dyDescent="0.25">
      <c r="E301" s="139"/>
      <c r="J301" s="139"/>
    </row>
    <row r="302" spans="5:10" ht="15.75" customHeight="1" x14ac:dyDescent="0.25">
      <c r="E302" s="139"/>
      <c r="J302" s="139"/>
    </row>
    <row r="303" spans="5:10" ht="15.75" customHeight="1" x14ac:dyDescent="0.25">
      <c r="E303" s="139"/>
      <c r="J303" s="139"/>
    </row>
    <row r="304" spans="5:10" ht="15.75" customHeight="1" x14ac:dyDescent="0.25">
      <c r="E304" s="139"/>
      <c r="J304" s="139"/>
    </row>
    <row r="305" spans="5:10" ht="15.75" customHeight="1" x14ac:dyDescent="0.25">
      <c r="E305" s="139"/>
      <c r="J305" s="139"/>
    </row>
    <row r="306" spans="5:10" ht="15.75" customHeight="1" x14ac:dyDescent="0.25">
      <c r="E306" s="139"/>
      <c r="J306" s="139"/>
    </row>
    <row r="307" spans="5:10" ht="15.75" customHeight="1" x14ac:dyDescent="0.25">
      <c r="E307" s="139"/>
      <c r="J307" s="139"/>
    </row>
    <row r="308" spans="5:10" ht="15.75" customHeight="1" x14ac:dyDescent="0.25">
      <c r="E308" s="139"/>
      <c r="J308" s="139"/>
    </row>
    <row r="309" spans="5:10" ht="15.75" customHeight="1" x14ac:dyDescent="0.25">
      <c r="E309" s="139"/>
      <c r="J309" s="139"/>
    </row>
    <row r="310" spans="5:10" ht="15.75" customHeight="1" x14ac:dyDescent="0.25">
      <c r="E310" s="139"/>
      <c r="J310" s="139"/>
    </row>
    <row r="311" spans="5:10" ht="15.75" customHeight="1" x14ac:dyDescent="0.25">
      <c r="E311" s="139"/>
      <c r="J311" s="139"/>
    </row>
    <row r="312" spans="5:10" ht="15.75" customHeight="1" x14ac:dyDescent="0.25">
      <c r="E312" s="139"/>
      <c r="J312" s="139"/>
    </row>
    <row r="313" spans="5:10" ht="15.75" customHeight="1" x14ac:dyDescent="0.25">
      <c r="E313" s="139"/>
      <c r="J313" s="139"/>
    </row>
    <row r="314" spans="5:10" ht="15.75" customHeight="1" x14ac:dyDescent="0.25">
      <c r="E314" s="139"/>
      <c r="J314" s="139"/>
    </row>
    <row r="315" spans="5:10" ht="15.75" customHeight="1" x14ac:dyDescent="0.25">
      <c r="E315" s="139"/>
      <c r="J315" s="139"/>
    </row>
    <row r="316" spans="5:10" ht="15.75" customHeight="1" x14ac:dyDescent="0.25">
      <c r="E316" s="139"/>
      <c r="J316" s="139"/>
    </row>
    <row r="317" spans="5:10" ht="15.75" customHeight="1" x14ac:dyDescent="0.25">
      <c r="E317" s="139"/>
      <c r="J317" s="139"/>
    </row>
    <row r="318" spans="5:10" ht="15.75" customHeight="1" x14ac:dyDescent="0.25">
      <c r="E318" s="139"/>
      <c r="J318" s="139"/>
    </row>
    <row r="319" spans="5:10" ht="15.75" customHeight="1" x14ac:dyDescent="0.25">
      <c r="E319" s="139"/>
      <c r="J319" s="139"/>
    </row>
    <row r="320" spans="5:10" ht="15.75" customHeight="1" x14ac:dyDescent="0.25">
      <c r="E320" s="139"/>
      <c r="J320" s="139"/>
    </row>
    <row r="321" spans="5:10" ht="15.75" customHeight="1" x14ac:dyDescent="0.25">
      <c r="E321" s="139"/>
      <c r="J321" s="139"/>
    </row>
    <row r="322" spans="5:10" ht="15.75" customHeight="1" x14ac:dyDescent="0.25">
      <c r="E322" s="139"/>
      <c r="J322" s="139"/>
    </row>
    <row r="323" spans="5:10" ht="15.75" customHeight="1" x14ac:dyDescent="0.25">
      <c r="E323" s="139"/>
      <c r="J323" s="139"/>
    </row>
    <row r="324" spans="5:10" ht="15.75" customHeight="1" x14ac:dyDescent="0.25">
      <c r="E324" s="139"/>
      <c r="J324" s="139"/>
    </row>
    <row r="325" spans="5:10" ht="15.75" customHeight="1" x14ac:dyDescent="0.25">
      <c r="E325" s="139"/>
      <c r="J325" s="139"/>
    </row>
    <row r="326" spans="5:10" ht="15.75" customHeight="1" x14ac:dyDescent="0.25">
      <c r="E326" s="139"/>
      <c r="J326" s="139"/>
    </row>
    <row r="327" spans="5:10" ht="15.75" customHeight="1" x14ac:dyDescent="0.25">
      <c r="E327" s="139"/>
      <c r="J327" s="139"/>
    </row>
    <row r="328" spans="5:10" ht="15.75" customHeight="1" x14ac:dyDescent="0.25">
      <c r="E328" s="139"/>
      <c r="J328" s="139"/>
    </row>
    <row r="329" spans="5:10" ht="15.75" customHeight="1" x14ac:dyDescent="0.25">
      <c r="E329" s="139"/>
      <c r="J329" s="139"/>
    </row>
    <row r="330" spans="5:10" ht="15.75" customHeight="1" x14ac:dyDescent="0.25">
      <c r="E330" s="139"/>
      <c r="J330" s="139"/>
    </row>
    <row r="331" spans="5:10" ht="15.75" customHeight="1" x14ac:dyDescent="0.25">
      <c r="E331" s="139"/>
      <c r="J331" s="139"/>
    </row>
    <row r="332" spans="5:10" ht="15.75" customHeight="1" x14ac:dyDescent="0.25">
      <c r="E332" s="139"/>
      <c r="J332" s="139"/>
    </row>
    <row r="333" spans="5:10" ht="15.75" customHeight="1" x14ac:dyDescent="0.25">
      <c r="E333" s="139"/>
      <c r="J333" s="139"/>
    </row>
    <row r="334" spans="5:10" ht="15.75" customHeight="1" x14ac:dyDescent="0.25">
      <c r="E334" s="139"/>
      <c r="J334" s="139"/>
    </row>
    <row r="335" spans="5:10" ht="15.75" customHeight="1" x14ac:dyDescent="0.25">
      <c r="E335" s="139"/>
      <c r="J335" s="139"/>
    </row>
    <row r="336" spans="5:10" ht="15.75" customHeight="1" x14ac:dyDescent="0.25">
      <c r="E336" s="139"/>
      <c r="J336" s="139"/>
    </row>
    <row r="337" spans="5:10" ht="15.75" customHeight="1" x14ac:dyDescent="0.25">
      <c r="E337" s="139"/>
      <c r="J337" s="139"/>
    </row>
    <row r="338" spans="5:10" ht="15.75" customHeight="1" x14ac:dyDescent="0.25">
      <c r="E338" s="139"/>
      <c r="J338" s="139"/>
    </row>
    <row r="339" spans="5:10" ht="15.75" customHeight="1" x14ac:dyDescent="0.25">
      <c r="E339" s="139"/>
      <c r="J339" s="139"/>
    </row>
    <row r="340" spans="5:10" ht="15.75" customHeight="1" x14ac:dyDescent="0.25">
      <c r="E340" s="139"/>
      <c r="J340" s="139"/>
    </row>
    <row r="341" spans="5:10" ht="15.75" customHeight="1" x14ac:dyDescent="0.25">
      <c r="E341" s="139"/>
      <c r="J341" s="139"/>
    </row>
    <row r="342" spans="5:10" ht="15.75" customHeight="1" x14ac:dyDescent="0.25">
      <c r="E342" s="139"/>
      <c r="J342" s="139"/>
    </row>
    <row r="343" spans="5:10" ht="15.75" customHeight="1" x14ac:dyDescent="0.25">
      <c r="E343" s="139"/>
      <c r="J343" s="139"/>
    </row>
    <row r="344" spans="5:10" ht="15.75" customHeight="1" x14ac:dyDescent="0.25">
      <c r="E344" s="139"/>
      <c r="J344" s="139"/>
    </row>
    <row r="345" spans="5:10" ht="15.75" customHeight="1" x14ac:dyDescent="0.25">
      <c r="E345" s="139"/>
      <c r="J345" s="139"/>
    </row>
    <row r="346" spans="5:10" ht="15.75" customHeight="1" x14ac:dyDescent="0.25">
      <c r="E346" s="139"/>
      <c r="J346" s="139"/>
    </row>
    <row r="347" spans="5:10" ht="15.75" customHeight="1" x14ac:dyDescent="0.25">
      <c r="E347" s="139"/>
      <c r="J347" s="139"/>
    </row>
    <row r="348" spans="5:10" ht="15.75" customHeight="1" x14ac:dyDescent="0.25">
      <c r="E348" s="139"/>
      <c r="J348" s="139"/>
    </row>
    <row r="349" spans="5:10" ht="15.75" customHeight="1" x14ac:dyDescent="0.25">
      <c r="E349" s="139"/>
      <c r="J349" s="139"/>
    </row>
    <row r="350" spans="5:10" ht="15.75" customHeight="1" x14ac:dyDescent="0.25">
      <c r="E350" s="139"/>
      <c r="J350" s="139"/>
    </row>
    <row r="351" spans="5:10" ht="15.75" customHeight="1" x14ac:dyDescent="0.25">
      <c r="E351" s="139"/>
      <c r="J351" s="139"/>
    </row>
    <row r="352" spans="5:10" ht="15.75" customHeight="1" x14ac:dyDescent="0.25">
      <c r="E352" s="139"/>
      <c r="J352" s="139"/>
    </row>
    <row r="353" spans="5:10" ht="15.75" customHeight="1" x14ac:dyDescent="0.25">
      <c r="E353" s="139"/>
      <c r="J353" s="139"/>
    </row>
    <row r="354" spans="5:10" ht="15.75" customHeight="1" x14ac:dyDescent="0.25">
      <c r="E354" s="139"/>
      <c r="J354" s="139"/>
    </row>
    <row r="355" spans="5:10" ht="15.75" customHeight="1" x14ac:dyDescent="0.25">
      <c r="E355" s="139"/>
      <c r="J355" s="139"/>
    </row>
    <row r="356" spans="5:10" ht="15.75" customHeight="1" x14ac:dyDescent="0.25">
      <c r="E356" s="139"/>
      <c r="J356" s="139"/>
    </row>
    <row r="357" spans="5:10" ht="15.75" customHeight="1" x14ac:dyDescent="0.25">
      <c r="E357" s="139"/>
      <c r="J357" s="139"/>
    </row>
    <row r="358" spans="5:10" ht="15.75" customHeight="1" x14ac:dyDescent="0.25">
      <c r="E358" s="139"/>
      <c r="J358" s="139"/>
    </row>
    <row r="359" spans="5:10" ht="15.75" customHeight="1" x14ac:dyDescent="0.25">
      <c r="E359" s="139"/>
      <c r="J359" s="139"/>
    </row>
    <row r="360" spans="5:10" ht="15.75" customHeight="1" x14ac:dyDescent="0.25">
      <c r="E360" s="139"/>
      <c r="J360" s="139"/>
    </row>
    <row r="361" spans="5:10" ht="15.75" customHeight="1" x14ac:dyDescent="0.25">
      <c r="E361" s="139"/>
      <c r="J361" s="139"/>
    </row>
    <row r="362" spans="5:10" ht="15.75" customHeight="1" x14ac:dyDescent="0.25">
      <c r="E362" s="139"/>
      <c r="J362" s="139"/>
    </row>
    <row r="363" spans="5:10" ht="15.75" customHeight="1" x14ac:dyDescent="0.25">
      <c r="E363" s="139"/>
      <c r="J363" s="139"/>
    </row>
    <row r="364" spans="5:10" ht="15.75" customHeight="1" x14ac:dyDescent="0.25">
      <c r="E364" s="139"/>
      <c r="J364" s="139"/>
    </row>
    <row r="365" spans="5:10" ht="15.75" customHeight="1" x14ac:dyDescent="0.25">
      <c r="E365" s="139"/>
      <c r="J365" s="139"/>
    </row>
    <row r="366" spans="5:10" ht="15.75" customHeight="1" x14ac:dyDescent="0.25">
      <c r="E366" s="139"/>
      <c r="J366" s="139"/>
    </row>
    <row r="367" spans="5:10" ht="15.75" customHeight="1" x14ac:dyDescent="0.25">
      <c r="E367" s="139"/>
      <c r="J367" s="139"/>
    </row>
    <row r="368" spans="5:10" ht="15.75" customHeight="1" x14ac:dyDescent="0.25">
      <c r="E368" s="139"/>
      <c r="J368" s="139"/>
    </row>
    <row r="369" spans="5:10" ht="15.75" customHeight="1" x14ac:dyDescent="0.25">
      <c r="E369" s="139"/>
      <c r="J369" s="139"/>
    </row>
    <row r="370" spans="5:10" ht="15.75" customHeight="1" x14ac:dyDescent="0.25">
      <c r="E370" s="139"/>
      <c r="J370" s="139"/>
    </row>
    <row r="371" spans="5:10" ht="15.75" customHeight="1" x14ac:dyDescent="0.25">
      <c r="E371" s="139"/>
      <c r="J371" s="139"/>
    </row>
    <row r="372" spans="5:10" ht="15.75" customHeight="1" x14ac:dyDescent="0.25">
      <c r="E372" s="139"/>
      <c r="J372" s="139"/>
    </row>
    <row r="373" spans="5:10" ht="15.75" customHeight="1" x14ac:dyDescent="0.25">
      <c r="E373" s="139"/>
      <c r="J373" s="139"/>
    </row>
    <row r="374" spans="5:10" ht="15.75" customHeight="1" x14ac:dyDescent="0.25">
      <c r="E374" s="139"/>
      <c r="J374" s="139"/>
    </row>
    <row r="375" spans="5:10" ht="15.75" customHeight="1" x14ac:dyDescent="0.25">
      <c r="E375" s="139"/>
      <c r="J375" s="139"/>
    </row>
    <row r="376" spans="5:10" ht="15.75" customHeight="1" x14ac:dyDescent="0.25">
      <c r="E376" s="139"/>
      <c r="J376" s="139"/>
    </row>
    <row r="377" spans="5:10" ht="15.75" customHeight="1" x14ac:dyDescent="0.25">
      <c r="E377" s="139"/>
      <c r="J377" s="139"/>
    </row>
    <row r="378" spans="5:10" ht="15.75" customHeight="1" x14ac:dyDescent="0.25">
      <c r="E378" s="139"/>
      <c r="J378" s="139"/>
    </row>
    <row r="379" spans="5:10" ht="15.75" customHeight="1" x14ac:dyDescent="0.25">
      <c r="E379" s="139"/>
      <c r="J379" s="139"/>
    </row>
    <row r="380" spans="5:10" ht="15.75" customHeight="1" x14ac:dyDescent="0.25">
      <c r="E380" s="139"/>
      <c r="J380" s="139"/>
    </row>
    <row r="381" spans="5:10" ht="15.75" customHeight="1" x14ac:dyDescent="0.25">
      <c r="E381" s="139"/>
      <c r="J381" s="139"/>
    </row>
    <row r="382" spans="5:10" ht="15.75" customHeight="1" x14ac:dyDescent="0.25">
      <c r="E382" s="139"/>
      <c r="J382" s="139"/>
    </row>
    <row r="383" spans="5:10" ht="15.75" customHeight="1" x14ac:dyDescent="0.25">
      <c r="E383" s="139"/>
      <c r="J383" s="139"/>
    </row>
    <row r="384" spans="5:10" ht="15.75" customHeight="1" x14ac:dyDescent="0.25">
      <c r="E384" s="139"/>
      <c r="J384" s="139"/>
    </row>
    <row r="385" spans="5:10" ht="15.75" customHeight="1" x14ac:dyDescent="0.25">
      <c r="E385" s="139"/>
      <c r="J385" s="139"/>
    </row>
    <row r="386" spans="5:10" ht="15.75" customHeight="1" x14ac:dyDescent="0.25">
      <c r="E386" s="139"/>
      <c r="J386" s="139"/>
    </row>
    <row r="387" spans="5:10" ht="15.75" customHeight="1" x14ac:dyDescent="0.25">
      <c r="E387" s="139"/>
      <c r="J387" s="139"/>
    </row>
    <row r="388" spans="5:10" ht="15.75" customHeight="1" x14ac:dyDescent="0.25">
      <c r="E388" s="139"/>
      <c r="J388" s="139"/>
    </row>
    <row r="389" spans="5:10" ht="15.75" customHeight="1" x14ac:dyDescent="0.25">
      <c r="E389" s="139"/>
      <c r="J389" s="139"/>
    </row>
    <row r="390" spans="5:10" ht="15.75" customHeight="1" x14ac:dyDescent="0.25">
      <c r="E390" s="139"/>
      <c r="J390" s="139"/>
    </row>
    <row r="391" spans="5:10" ht="15.75" customHeight="1" x14ac:dyDescent="0.25">
      <c r="E391" s="139"/>
      <c r="J391" s="139"/>
    </row>
    <row r="392" spans="5:10" ht="15.75" customHeight="1" x14ac:dyDescent="0.25">
      <c r="E392" s="139"/>
      <c r="J392" s="139"/>
    </row>
    <row r="393" spans="5:10" ht="15.75" customHeight="1" x14ac:dyDescent="0.25">
      <c r="E393" s="139"/>
      <c r="J393" s="139"/>
    </row>
    <row r="394" spans="5:10" ht="15.75" customHeight="1" x14ac:dyDescent="0.25">
      <c r="E394" s="139"/>
      <c r="J394" s="139"/>
    </row>
    <row r="395" spans="5:10" ht="15.75" customHeight="1" x14ac:dyDescent="0.25">
      <c r="E395" s="139"/>
      <c r="J395" s="139"/>
    </row>
    <row r="396" spans="5:10" ht="15.75" customHeight="1" x14ac:dyDescent="0.25">
      <c r="E396" s="139"/>
      <c r="J396" s="139"/>
    </row>
    <row r="397" spans="5:10" ht="15.75" customHeight="1" x14ac:dyDescent="0.25">
      <c r="E397" s="139"/>
      <c r="J397" s="139"/>
    </row>
    <row r="398" spans="5:10" ht="15.75" customHeight="1" x14ac:dyDescent="0.25">
      <c r="E398" s="139"/>
      <c r="J398" s="139"/>
    </row>
    <row r="399" spans="5:10" ht="15.75" customHeight="1" x14ac:dyDescent="0.25">
      <c r="E399" s="139"/>
      <c r="J399" s="139"/>
    </row>
    <row r="400" spans="5:10" ht="15.75" customHeight="1" x14ac:dyDescent="0.25">
      <c r="E400" s="139"/>
      <c r="J400" s="139"/>
    </row>
    <row r="401" spans="5:10" ht="15.75" customHeight="1" x14ac:dyDescent="0.25">
      <c r="E401" s="139"/>
      <c r="J401" s="139"/>
    </row>
    <row r="402" spans="5:10" ht="15.75" customHeight="1" x14ac:dyDescent="0.25">
      <c r="E402" s="139"/>
      <c r="J402" s="139"/>
    </row>
    <row r="403" spans="5:10" ht="15.75" customHeight="1" x14ac:dyDescent="0.25">
      <c r="E403" s="139"/>
      <c r="J403" s="139"/>
    </row>
    <row r="404" spans="5:10" ht="15.75" customHeight="1" x14ac:dyDescent="0.25">
      <c r="E404" s="139"/>
      <c r="J404" s="139"/>
    </row>
    <row r="405" spans="5:10" ht="15.75" customHeight="1" x14ac:dyDescent="0.25">
      <c r="E405" s="139"/>
      <c r="J405" s="139"/>
    </row>
    <row r="406" spans="5:10" ht="15.75" customHeight="1" x14ac:dyDescent="0.25">
      <c r="E406" s="139"/>
      <c r="J406" s="139"/>
    </row>
    <row r="407" spans="5:10" ht="15.75" customHeight="1" x14ac:dyDescent="0.25">
      <c r="E407" s="139"/>
      <c r="J407" s="139"/>
    </row>
    <row r="408" spans="5:10" ht="15.75" customHeight="1" x14ac:dyDescent="0.25">
      <c r="E408" s="139"/>
      <c r="J408" s="139"/>
    </row>
    <row r="409" spans="5:10" ht="15.75" customHeight="1" x14ac:dyDescent="0.25">
      <c r="E409" s="139"/>
      <c r="J409" s="139"/>
    </row>
    <row r="410" spans="5:10" ht="15.75" customHeight="1" x14ac:dyDescent="0.25">
      <c r="E410" s="139"/>
      <c r="J410" s="139"/>
    </row>
    <row r="411" spans="5:10" ht="15.75" customHeight="1" x14ac:dyDescent="0.25">
      <c r="E411" s="139"/>
      <c r="J411" s="139"/>
    </row>
    <row r="412" spans="5:10" ht="15.75" customHeight="1" x14ac:dyDescent="0.25">
      <c r="E412" s="139"/>
      <c r="J412" s="139"/>
    </row>
    <row r="413" spans="5:10" ht="15.75" customHeight="1" x14ac:dyDescent="0.25">
      <c r="E413" s="139"/>
      <c r="J413" s="139"/>
    </row>
    <row r="414" spans="5:10" ht="15.75" customHeight="1" x14ac:dyDescent="0.25">
      <c r="E414" s="139"/>
      <c r="J414" s="139"/>
    </row>
    <row r="415" spans="5:10" ht="15.75" customHeight="1" x14ac:dyDescent="0.25">
      <c r="E415" s="139"/>
      <c r="J415" s="139"/>
    </row>
    <row r="416" spans="5:10" ht="15.75" customHeight="1" x14ac:dyDescent="0.25">
      <c r="E416" s="139"/>
      <c r="J416" s="139"/>
    </row>
    <row r="417" spans="5:10" ht="15.75" customHeight="1" x14ac:dyDescent="0.25">
      <c r="E417" s="139"/>
      <c r="J417" s="139"/>
    </row>
    <row r="418" spans="5:10" ht="15.75" customHeight="1" x14ac:dyDescent="0.25">
      <c r="E418" s="139"/>
      <c r="J418" s="139"/>
    </row>
    <row r="419" spans="5:10" ht="15.75" customHeight="1" x14ac:dyDescent="0.25">
      <c r="E419" s="139"/>
      <c r="J419" s="139"/>
    </row>
    <row r="420" spans="5:10" ht="15.75" customHeight="1" x14ac:dyDescent="0.25">
      <c r="E420" s="139"/>
      <c r="J420" s="139"/>
    </row>
    <row r="421" spans="5:10" ht="15.75" customHeight="1" x14ac:dyDescent="0.25">
      <c r="E421" s="139"/>
      <c r="J421" s="139"/>
    </row>
    <row r="422" spans="5:10" ht="15.75" customHeight="1" x14ac:dyDescent="0.25">
      <c r="E422" s="139"/>
      <c r="J422" s="139"/>
    </row>
    <row r="423" spans="5:10" ht="15.75" customHeight="1" x14ac:dyDescent="0.25">
      <c r="E423" s="139"/>
      <c r="J423" s="139"/>
    </row>
    <row r="424" spans="5:10" ht="15.75" customHeight="1" x14ac:dyDescent="0.25">
      <c r="E424" s="139"/>
      <c r="J424" s="139"/>
    </row>
    <row r="425" spans="5:10" ht="15.75" customHeight="1" x14ac:dyDescent="0.25">
      <c r="E425" s="139"/>
      <c r="J425" s="139"/>
    </row>
    <row r="426" spans="5:10" ht="15.75" customHeight="1" x14ac:dyDescent="0.25">
      <c r="E426" s="139"/>
      <c r="J426" s="139"/>
    </row>
    <row r="427" spans="5:10" ht="15.75" customHeight="1" x14ac:dyDescent="0.25">
      <c r="E427" s="139"/>
      <c r="J427" s="139"/>
    </row>
    <row r="428" spans="5:10" ht="15.75" customHeight="1" x14ac:dyDescent="0.25">
      <c r="E428" s="139"/>
      <c r="J428" s="139"/>
    </row>
    <row r="429" spans="5:10" ht="15.75" customHeight="1" x14ac:dyDescent="0.25">
      <c r="E429" s="139"/>
      <c r="J429" s="139"/>
    </row>
    <row r="430" spans="5:10" ht="15.75" customHeight="1" x14ac:dyDescent="0.25">
      <c r="E430" s="139"/>
      <c r="J430" s="139"/>
    </row>
    <row r="431" spans="5:10" ht="15.75" customHeight="1" x14ac:dyDescent="0.25">
      <c r="E431" s="139"/>
      <c r="J431" s="139"/>
    </row>
    <row r="432" spans="5:10" ht="15.75" customHeight="1" x14ac:dyDescent="0.25">
      <c r="E432" s="139"/>
      <c r="J432" s="139"/>
    </row>
    <row r="433" spans="5:10" ht="15.75" customHeight="1" x14ac:dyDescent="0.25">
      <c r="E433" s="139"/>
      <c r="J433" s="139"/>
    </row>
    <row r="434" spans="5:10" ht="15.75" customHeight="1" x14ac:dyDescent="0.25">
      <c r="E434" s="139"/>
      <c r="J434" s="139"/>
    </row>
    <row r="435" spans="5:10" ht="15.75" customHeight="1" x14ac:dyDescent="0.25">
      <c r="E435" s="139"/>
      <c r="J435" s="139"/>
    </row>
    <row r="436" spans="5:10" ht="15.75" customHeight="1" x14ac:dyDescent="0.25">
      <c r="E436" s="139"/>
      <c r="J436" s="139"/>
    </row>
    <row r="437" spans="5:10" ht="15.75" customHeight="1" x14ac:dyDescent="0.25">
      <c r="E437" s="139"/>
      <c r="J437" s="139"/>
    </row>
    <row r="438" spans="5:10" ht="15.75" customHeight="1" x14ac:dyDescent="0.25">
      <c r="E438" s="139"/>
      <c r="J438" s="139"/>
    </row>
    <row r="439" spans="5:10" ht="15.75" customHeight="1" x14ac:dyDescent="0.25">
      <c r="E439" s="139"/>
      <c r="J439" s="139"/>
    </row>
    <row r="440" spans="5:10" ht="15.75" customHeight="1" x14ac:dyDescent="0.25">
      <c r="E440" s="139"/>
      <c r="J440" s="139"/>
    </row>
    <row r="441" spans="5:10" ht="15.75" customHeight="1" x14ac:dyDescent="0.25">
      <c r="E441" s="139"/>
      <c r="J441" s="139"/>
    </row>
    <row r="442" spans="5:10" ht="15.75" customHeight="1" x14ac:dyDescent="0.25">
      <c r="E442" s="139"/>
      <c r="J442" s="139"/>
    </row>
    <row r="443" spans="5:10" ht="15.75" customHeight="1" x14ac:dyDescent="0.25">
      <c r="E443" s="139"/>
      <c r="J443" s="139"/>
    </row>
    <row r="444" spans="5:10" ht="15.75" customHeight="1" x14ac:dyDescent="0.25">
      <c r="E444" s="139"/>
      <c r="J444" s="139"/>
    </row>
    <row r="445" spans="5:10" ht="15.75" customHeight="1" x14ac:dyDescent="0.25">
      <c r="E445" s="139"/>
      <c r="J445" s="139"/>
    </row>
    <row r="446" spans="5:10" ht="15.75" customHeight="1" x14ac:dyDescent="0.25">
      <c r="E446" s="139"/>
      <c r="J446" s="139"/>
    </row>
    <row r="447" spans="5:10" ht="15.75" customHeight="1" x14ac:dyDescent="0.25">
      <c r="E447" s="139"/>
      <c r="J447" s="139"/>
    </row>
    <row r="448" spans="5:10" ht="15.75" customHeight="1" x14ac:dyDescent="0.25">
      <c r="E448" s="139"/>
      <c r="J448" s="139"/>
    </row>
    <row r="449" spans="5:10" ht="15.75" customHeight="1" x14ac:dyDescent="0.25">
      <c r="E449" s="139"/>
      <c r="J449" s="139"/>
    </row>
    <row r="450" spans="5:10" ht="15.75" customHeight="1" x14ac:dyDescent="0.25">
      <c r="E450" s="139"/>
      <c r="J450" s="139"/>
    </row>
    <row r="451" spans="5:10" ht="15.75" customHeight="1" x14ac:dyDescent="0.25">
      <c r="E451" s="139"/>
      <c r="J451" s="139"/>
    </row>
    <row r="452" spans="5:10" ht="15.75" customHeight="1" x14ac:dyDescent="0.25">
      <c r="E452" s="139"/>
      <c r="J452" s="139"/>
    </row>
    <row r="453" spans="5:10" ht="15.75" customHeight="1" x14ac:dyDescent="0.25">
      <c r="E453" s="139"/>
      <c r="J453" s="139"/>
    </row>
    <row r="454" spans="5:10" ht="15.75" customHeight="1" x14ac:dyDescent="0.25">
      <c r="E454" s="139"/>
      <c r="J454" s="139"/>
    </row>
    <row r="455" spans="5:10" ht="15.75" customHeight="1" x14ac:dyDescent="0.25">
      <c r="E455" s="139"/>
      <c r="J455" s="139"/>
    </row>
    <row r="456" spans="5:10" ht="15.75" customHeight="1" x14ac:dyDescent="0.25">
      <c r="E456" s="139"/>
      <c r="J456" s="139"/>
    </row>
    <row r="457" spans="5:10" ht="15.75" customHeight="1" x14ac:dyDescent="0.25">
      <c r="E457" s="139"/>
      <c r="J457" s="139"/>
    </row>
    <row r="458" spans="5:10" ht="15.75" customHeight="1" x14ac:dyDescent="0.25">
      <c r="E458" s="139"/>
      <c r="J458" s="139"/>
    </row>
    <row r="459" spans="5:10" ht="15.75" customHeight="1" x14ac:dyDescent="0.25">
      <c r="E459" s="139"/>
      <c r="J459" s="139"/>
    </row>
    <row r="460" spans="5:10" ht="15.75" customHeight="1" x14ac:dyDescent="0.25">
      <c r="E460" s="139"/>
      <c r="J460" s="139"/>
    </row>
    <row r="461" spans="5:10" ht="15.75" customHeight="1" x14ac:dyDescent="0.25">
      <c r="E461" s="139"/>
      <c r="J461" s="139"/>
    </row>
    <row r="462" spans="5:10" ht="15.75" customHeight="1" x14ac:dyDescent="0.25">
      <c r="E462" s="139"/>
      <c r="J462" s="139"/>
    </row>
    <row r="463" spans="5:10" ht="15.75" customHeight="1" x14ac:dyDescent="0.25">
      <c r="E463" s="139"/>
      <c r="J463" s="139"/>
    </row>
    <row r="464" spans="5:10" ht="15.75" customHeight="1" x14ac:dyDescent="0.25">
      <c r="E464" s="139"/>
      <c r="J464" s="139"/>
    </row>
    <row r="465" spans="5:10" ht="15.75" customHeight="1" x14ac:dyDescent="0.25">
      <c r="E465" s="139"/>
      <c r="J465" s="139"/>
    </row>
    <row r="466" spans="5:10" ht="15.75" customHeight="1" x14ac:dyDescent="0.25">
      <c r="E466" s="139"/>
      <c r="J466" s="139"/>
    </row>
    <row r="467" spans="5:10" ht="15.75" customHeight="1" x14ac:dyDescent="0.25">
      <c r="E467" s="139"/>
      <c r="J467" s="139"/>
    </row>
    <row r="468" spans="5:10" ht="15.75" customHeight="1" x14ac:dyDescent="0.25">
      <c r="E468" s="139"/>
      <c r="J468" s="139"/>
    </row>
    <row r="469" spans="5:10" ht="15.75" customHeight="1" x14ac:dyDescent="0.25">
      <c r="E469" s="139"/>
      <c r="J469" s="139"/>
    </row>
    <row r="470" spans="5:10" ht="15.75" customHeight="1" x14ac:dyDescent="0.25">
      <c r="E470" s="139"/>
      <c r="J470" s="139"/>
    </row>
    <row r="471" spans="5:10" ht="15.75" customHeight="1" x14ac:dyDescent="0.25">
      <c r="E471" s="139"/>
      <c r="J471" s="139"/>
    </row>
    <row r="472" spans="5:10" ht="15.75" customHeight="1" x14ac:dyDescent="0.25">
      <c r="E472" s="139"/>
      <c r="J472" s="139"/>
    </row>
    <row r="473" spans="5:10" ht="15.75" customHeight="1" x14ac:dyDescent="0.25">
      <c r="E473" s="139"/>
      <c r="J473" s="139"/>
    </row>
    <row r="474" spans="5:10" ht="15.75" customHeight="1" x14ac:dyDescent="0.25">
      <c r="E474" s="139"/>
      <c r="J474" s="139"/>
    </row>
    <row r="475" spans="5:10" ht="15.75" customHeight="1" x14ac:dyDescent="0.25">
      <c r="E475" s="139"/>
      <c r="J475" s="139"/>
    </row>
    <row r="476" spans="5:10" ht="15.75" customHeight="1" x14ac:dyDescent="0.25">
      <c r="E476" s="139"/>
      <c r="J476" s="139"/>
    </row>
    <row r="477" spans="5:10" ht="15.75" customHeight="1" x14ac:dyDescent="0.25">
      <c r="E477" s="139"/>
      <c r="J477" s="139"/>
    </row>
    <row r="478" spans="5:10" ht="15.75" customHeight="1" x14ac:dyDescent="0.25">
      <c r="E478" s="139"/>
      <c r="J478" s="139"/>
    </row>
    <row r="479" spans="5:10" ht="15.75" customHeight="1" x14ac:dyDescent="0.25">
      <c r="E479" s="139"/>
      <c r="J479" s="139"/>
    </row>
    <row r="480" spans="5:10" ht="15.75" customHeight="1" x14ac:dyDescent="0.25">
      <c r="E480" s="139"/>
      <c r="J480" s="139"/>
    </row>
    <row r="481" spans="5:10" ht="15.75" customHeight="1" x14ac:dyDescent="0.25">
      <c r="E481" s="139"/>
      <c r="J481" s="139"/>
    </row>
    <row r="482" spans="5:10" ht="15.75" customHeight="1" x14ac:dyDescent="0.25">
      <c r="E482" s="139"/>
      <c r="J482" s="139"/>
    </row>
    <row r="483" spans="5:10" ht="15.75" customHeight="1" x14ac:dyDescent="0.25">
      <c r="E483" s="139"/>
      <c r="J483" s="139"/>
    </row>
    <row r="484" spans="5:10" ht="15.75" customHeight="1" x14ac:dyDescent="0.25">
      <c r="E484" s="139"/>
      <c r="J484" s="139"/>
    </row>
    <row r="485" spans="5:10" ht="15.75" customHeight="1" x14ac:dyDescent="0.25">
      <c r="E485" s="139"/>
      <c r="J485" s="139"/>
    </row>
    <row r="486" spans="5:10" ht="15.75" customHeight="1" x14ac:dyDescent="0.25">
      <c r="E486" s="139"/>
      <c r="J486" s="139"/>
    </row>
    <row r="487" spans="5:10" ht="15.75" customHeight="1" x14ac:dyDescent="0.25">
      <c r="E487" s="139"/>
      <c r="J487" s="139"/>
    </row>
    <row r="488" spans="5:10" ht="15.75" customHeight="1" x14ac:dyDescent="0.25">
      <c r="E488" s="139"/>
      <c r="J488" s="139"/>
    </row>
    <row r="489" spans="5:10" ht="15.75" customHeight="1" x14ac:dyDescent="0.25">
      <c r="E489" s="139"/>
      <c r="J489" s="139"/>
    </row>
    <row r="490" spans="5:10" ht="15.75" customHeight="1" x14ac:dyDescent="0.25">
      <c r="E490" s="139"/>
      <c r="J490" s="139"/>
    </row>
    <row r="491" spans="5:10" ht="15.75" customHeight="1" x14ac:dyDescent="0.25">
      <c r="E491" s="139"/>
      <c r="J491" s="139"/>
    </row>
    <row r="492" spans="5:10" ht="15.75" customHeight="1" x14ac:dyDescent="0.25">
      <c r="E492" s="139"/>
      <c r="J492" s="139"/>
    </row>
    <row r="493" spans="5:10" ht="15.75" customHeight="1" x14ac:dyDescent="0.25">
      <c r="E493" s="139"/>
      <c r="J493" s="139"/>
    </row>
    <row r="494" spans="5:10" ht="15.75" customHeight="1" x14ac:dyDescent="0.25">
      <c r="E494" s="139"/>
      <c r="J494" s="139"/>
    </row>
    <row r="495" spans="5:10" ht="15.75" customHeight="1" x14ac:dyDescent="0.25">
      <c r="E495" s="139"/>
      <c r="J495" s="139"/>
    </row>
    <row r="496" spans="5:10" ht="15.75" customHeight="1" x14ac:dyDescent="0.25">
      <c r="E496" s="139"/>
      <c r="J496" s="139"/>
    </row>
    <row r="497" spans="5:10" ht="15.75" customHeight="1" x14ac:dyDescent="0.25">
      <c r="E497" s="139"/>
      <c r="J497" s="139"/>
    </row>
    <row r="498" spans="5:10" ht="15.75" customHeight="1" x14ac:dyDescent="0.25">
      <c r="E498" s="139"/>
      <c r="J498" s="139"/>
    </row>
    <row r="499" spans="5:10" ht="15.75" customHeight="1" x14ac:dyDescent="0.25">
      <c r="E499" s="139"/>
      <c r="J499" s="139"/>
    </row>
    <row r="500" spans="5:10" ht="15.75" customHeight="1" x14ac:dyDescent="0.25">
      <c r="E500" s="139"/>
      <c r="J500" s="139"/>
    </row>
    <row r="501" spans="5:10" ht="15.75" customHeight="1" x14ac:dyDescent="0.25">
      <c r="E501" s="139"/>
      <c r="J501" s="139"/>
    </row>
    <row r="502" spans="5:10" ht="15.75" customHeight="1" x14ac:dyDescent="0.25">
      <c r="E502" s="139"/>
      <c r="J502" s="139"/>
    </row>
    <row r="503" spans="5:10" ht="15.75" customHeight="1" x14ac:dyDescent="0.25">
      <c r="E503" s="139"/>
      <c r="J503" s="139"/>
    </row>
    <row r="504" spans="5:10" ht="15.75" customHeight="1" x14ac:dyDescent="0.25">
      <c r="E504" s="139"/>
      <c r="J504" s="139"/>
    </row>
    <row r="505" spans="5:10" ht="15.75" customHeight="1" x14ac:dyDescent="0.25">
      <c r="E505" s="139"/>
      <c r="J505" s="139"/>
    </row>
    <row r="506" spans="5:10" ht="15.75" customHeight="1" x14ac:dyDescent="0.25">
      <c r="E506" s="139"/>
      <c r="J506" s="139"/>
    </row>
    <row r="507" spans="5:10" ht="15.75" customHeight="1" x14ac:dyDescent="0.25">
      <c r="E507" s="139"/>
      <c r="J507" s="139"/>
    </row>
    <row r="508" spans="5:10" ht="15.75" customHeight="1" x14ac:dyDescent="0.25">
      <c r="E508" s="139"/>
      <c r="J508" s="139"/>
    </row>
    <row r="509" spans="5:10" ht="15.75" customHeight="1" x14ac:dyDescent="0.25">
      <c r="E509" s="139"/>
      <c r="J509" s="139"/>
    </row>
    <row r="510" spans="5:10" ht="15.75" customHeight="1" x14ac:dyDescent="0.25">
      <c r="E510" s="139"/>
      <c r="J510" s="139"/>
    </row>
    <row r="511" spans="5:10" ht="15.75" customHeight="1" x14ac:dyDescent="0.25">
      <c r="E511" s="139"/>
      <c r="J511" s="139"/>
    </row>
    <row r="512" spans="5:10" ht="15.75" customHeight="1" x14ac:dyDescent="0.25">
      <c r="E512" s="139"/>
      <c r="J512" s="139"/>
    </row>
    <row r="513" spans="5:10" ht="15.75" customHeight="1" x14ac:dyDescent="0.25">
      <c r="E513" s="139"/>
      <c r="J513" s="139"/>
    </row>
    <row r="514" spans="5:10" ht="15.75" customHeight="1" x14ac:dyDescent="0.25">
      <c r="E514" s="139"/>
      <c r="J514" s="139"/>
    </row>
    <row r="515" spans="5:10" ht="15.75" customHeight="1" x14ac:dyDescent="0.25">
      <c r="E515" s="139"/>
      <c r="J515" s="139"/>
    </row>
    <row r="516" spans="5:10" ht="15.75" customHeight="1" x14ac:dyDescent="0.25">
      <c r="E516" s="139"/>
      <c r="J516" s="139"/>
    </row>
    <row r="517" spans="5:10" ht="15.75" customHeight="1" x14ac:dyDescent="0.25">
      <c r="E517" s="139"/>
      <c r="J517" s="139"/>
    </row>
    <row r="518" spans="5:10" ht="15.75" customHeight="1" x14ac:dyDescent="0.25">
      <c r="E518" s="139"/>
      <c r="J518" s="139"/>
    </row>
    <row r="519" spans="5:10" ht="15.75" customHeight="1" x14ac:dyDescent="0.25">
      <c r="E519" s="139"/>
      <c r="J519" s="139"/>
    </row>
    <row r="520" spans="5:10" ht="15.75" customHeight="1" x14ac:dyDescent="0.25">
      <c r="E520" s="139"/>
      <c r="J520" s="139"/>
    </row>
    <row r="521" spans="5:10" ht="15.75" customHeight="1" x14ac:dyDescent="0.25">
      <c r="E521" s="139"/>
      <c r="J521" s="139"/>
    </row>
    <row r="522" spans="5:10" ht="15.75" customHeight="1" x14ac:dyDescent="0.25">
      <c r="E522" s="139"/>
      <c r="J522" s="139"/>
    </row>
    <row r="523" spans="5:10" ht="15.75" customHeight="1" x14ac:dyDescent="0.25">
      <c r="E523" s="139"/>
      <c r="J523" s="139"/>
    </row>
    <row r="524" spans="5:10" ht="15.75" customHeight="1" x14ac:dyDescent="0.25">
      <c r="E524" s="139"/>
      <c r="J524" s="139"/>
    </row>
    <row r="525" spans="5:10" ht="15.75" customHeight="1" x14ac:dyDescent="0.25">
      <c r="E525" s="139"/>
      <c r="J525" s="139"/>
    </row>
    <row r="526" spans="5:10" ht="15.75" customHeight="1" x14ac:dyDescent="0.25">
      <c r="E526" s="139"/>
      <c r="J526" s="139"/>
    </row>
    <row r="527" spans="5:10" ht="15.75" customHeight="1" x14ac:dyDescent="0.25">
      <c r="E527" s="139"/>
      <c r="J527" s="139"/>
    </row>
    <row r="528" spans="5:10" ht="15.75" customHeight="1" x14ac:dyDescent="0.25">
      <c r="E528" s="139"/>
      <c r="J528" s="139"/>
    </row>
    <row r="529" spans="5:10" ht="15.75" customHeight="1" x14ac:dyDescent="0.25">
      <c r="E529" s="139"/>
      <c r="J529" s="139"/>
    </row>
    <row r="530" spans="5:10" ht="15.75" customHeight="1" x14ac:dyDescent="0.25">
      <c r="E530" s="139"/>
      <c r="J530" s="139"/>
    </row>
    <row r="531" spans="5:10" ht="15.75" customHeight="1" x14ac:dyDescent="0.25">
      <c r="E531" s="139"/>
      <c r="J531" s="139"/>
    </row>
    <row r="532" spans="5:10" ht="15.75" customHeight="1" x14ac:dyDescent="0.25">
      <c r="E532" s="139"/>
      <c r="J532" s="139"/>
    </row>
    <row r="533" spans="5:10" ht="15.75" customHeight="1" x14ac:dyDescent="0.25">
      <c r="E533" s="139"/>
      <c r="J533" s="139"/>
    </row>
    <row r="534" spans="5:10" ht="15.75" customHeight="1" x14ac:dyDescent="0.25">
      <c r="E534" s="139"/>
      <c r="J534" s="139"/>
    </row>
    <row r="535" spans="5:10" ht="15.75" customHeight="1" x14ac:dyDescent="0.25">
      <c r="E535" s="139"/>
      <c r="J535" s="139"/>
    </row>
    <row r="536" spans="5:10" ht="15.75" customHeight="1" x14ac:dyDescent="0.25">
      <c r="E536" s="139"/>
      <c r="J536" s="139"/>
    </row>
    <row r="537" spans="5:10" ht="15.75" customHeight="1" x14ac:dyDescent="0.25">
      <c r="E537" s="139"/>
      <c r="J537" s="139"/>
    </row>
    <row r="538" spans="5:10" ht="15.75" customHeight="1" x14ac:dyDescent="0.25">
      <c r="E538" s="139"/>
      <c r="J538" s="139"/>
    </row>
    <row r="539" spans="5:10" ht="15.75" customHeight="1" x14ac:dyDescent="0.25">
      <c r="E539" s="139"/>
      <c r="J539" s="139"/>
    </row>
    <row r="540" spans="5:10" ht="15.75" customHeight="1" x14ac:dyDescent="0.25">
      <c r="E540" s="139"/>
      <c r="J540" s="139"/>
    </row>
    <row r="541" spans="5:10" ht="15.75" customHeight="1" x14ac:dyDescent="0.25">
      <c r="E541" s="139"/>
      <c r="J541" s="139"/>
    </row>
    <row r="542" spans="5:10" ht="15.75" customHeight="1" x14ac:dyDescent="0.25">
      <c r="E542" s="139"/>
      <c r="J542" s="139"/>
    </row>
    <row r="543" spans="5:10" ht="15.75" customHeight="1" x14ac:dyDescent="0.25">
      <c r="E543" s="139"/>
      <c r="J543" s="139"/>
    </row>
    <row r="544" spans="5:10" ht="15.75" customHeight="1" x14ac:dyDescent="0.25">
      <c r="E544" s="139"/>
      <c r="J544" s="139"/>
    </row>
    <row r="545" spans="5:10" ht="15.75" customHeight="1" x14ac:dyDescent="0.25">
      <c r="E545" s="139"/>
      <c r="J545" s="139"/>
    </row>
    <row r="546" spans="5:10" ht="15.75" customHeight="1" x14ac:dyDescent="0.25">
      <c r="E546" s="139"/>
      <c r="J546" s="139"/>
    </row>
    <row r="547" spans="5:10" ht="15.75" customHeight="1" x14ac:dyDescent="0.25">
      <c r="E547" s="139"/>
      <c r="J547" s="139"/>
    </row>
    <row r="548" spans="5:10" ht="15.75" customHeight="1" x14ac:dyDescent="0.25">
      <c r="E548" s="139"/>
      <c r="J548" s="139"/>
    </row>
    <row r="549" spans="5:10" ht="15.75" customHeight="1" x14ac:dyDescent="0.25">
      <c r="E549" s="139"/>
      <c r="J549" s="139"/>
    </row>
    <row r="550" spans="5:10" ht="15.75" customHeight="1" x14ac:dyDescent="0.25">
      <c r="E550" s="139"/>
      <c r="J550" s="139"/>
    </row>
    <row r="551" spans="5:10" ht="15.75" customHeight="1" x14ac:dyDescent="0.25">
      <c r="E551" s="139"/>
      <c r="J551" s="139"/>
    </row>
    <row r="552" spans="5:10" ht="15.75" customHeight="1" x14ac:dyDescent="0.25">
      <c r="E552" s="139"/>
      <c r="J552" s="139"/>
    </row>
    <row r="553" spans="5:10" ht="15.75" customHeight="1" x14ac:dyDescent="0.25">
      <c r="E553" s="139"/>
      <c r="J553" s="139"/>
    </row>
    <row r="554" spans="5:10" ht="15.75" customHeight="1" x14ac:dyDescent="0.25">
      <c r="E554" s="139"/>
      <c r="J554" s="139"/>
    </row>
    <row r="555" spans="5:10" ht="15.75" customHeight="1" x14ac:dyDescent="0.25">
      <c r="E555" s="139"/>
      <c r="J555" s="139"/>
    </row>
    <row r="556" spans="5:10" ht="15.75" customHeight="1" x14ac:dyDescent="0.25">
      <c r="E556" s="139"/>
      <c r="J556" s="139"/>
    </row>
    <row r="557" spans="5:10" ht="15.75" customHeight="1" x14ac:dyDescent="0.25">
      <c r="E557" s="139"/>
      <c r="J557" s="139"/>
    </row>
    <row r="558" spans="5:10" ht="15.75" customHeight="1" x14ac:dyDescent="0.25">
      <c r="E558" s="139"/>
      <c r="J558" s="139"/>
    </row>
    <row r="559" spans="5:10" ht="15.75" customHeight="1" x14ac:dyDescent="0.25">
      <c r="E559" s="139"/>
      <c r="J559" s="139"/>
    </row>
    <row r="560" spans="5:10" ht="15.75" customHeight="1" x14ac:dyDescent="0.25">
      <c r="E560" s="139"/>
      <c r="J560" s="139"/>
    </row>
    <row r="561" spans="5:10" ht="15.75" customHeight="1" x14ac:dyDescent="0.25">
      <c r="E561" s="139"/>
      <c r="J561" s="139"/>
    </row>
    <row r="562" spans="5:10" ht="15.75" customHeight="1" x14ac:dyDescent="0.25">
      <c r="E562" s="139"/>
      <c r="J562" s="139"/>
    </row>
    <row r="563" spans="5:10" ht="15.75" customHeight="1" x14ac:dyDescent="0.25">
      <c r="E563" s="139"/>
      <c r="J563" s="139"/>
    </row>
    <row r="564" spans="5:10" ht="15.75" customHeight="1" x14ac:dyDescent="0.25">
      <c r="E564" s="139"/>
      <c r="J564" s="139"/>
    </row>
    <row r="565" spans="5:10" ht="15.75" customHeight="1" x14ac:dyDescent="0.25">
      <c r="E565" s="139"/>
      <c r="J565" s="139"/>
    </row>
    <row r="566" spans="5:10" ht="15.75" customHeight="1" x14ac:dyDescent="0.25">
      <c r="E566" s="139"/>
      <c r="J566" s="139"/>
    </row>
    <row r="567" spans="5:10" ht="15.75" customHeight="1" x14ac:dyDescent="0.25">
      <c r="E567" s="139"/>
      <c r="J567" s="139"/>
    </row>
    <row r="568" spans="5:10" ht="15.75" customHeight="1" x14ac:dyDescent="0.25">
      <c r="E568" s="139"/>
      <c r="J568" s="139"/>
    </row>
    <row r="569" spans="5:10" ht="15.75" customHeight="1" x14ac:dyDescent="0.25">
      <c r="E569" s="139"/>
      <c r="J569" s="139"/>
    </row>
    <row r="570" spans="5:10" ht="15.75" customHeight="1" x14ac:dyDescent="0.25">
      <c r="E570" s="139"/>
      <c r="J570" s="139"/>
    </row>
    <row r="571" spans="5:10" ht="15.75" customHeight="1" x14ac:dyDescent="0.25">
      <c r="E571" s="139"/>
      <c r="J571" s="139"/>
    </row>
    <row r="572" spans="5:10" ht="15.75" customHeight="1" x14ac:dyDescent="0.25">
      <c r="E572" s="139"/>
      <c r="J572" s="139"/>
    </row>
    <row r="573" spans="5:10" ht="15.75" customHeight="1" x14ac:dyDescent="0.25">
      <c r="E573" s="139"/>
      <c r="J573" s="139"/>
    </row>
    <row r="574" spans="5:10" ht="15.75" customHeight="1" x14ac:dyDescent="0.25">
      <c r="E574" s="139"/>
      <c r="J574" s="139"/>
    </row>
    <row r="575" spans="5:10" ht="15.75" customHeight="1" x14ac:dyDescent="0.25">
      <c r="E575" s="139"/>
      <c r="J575" s="139"/>
    </row>
    <row r="576" spans="5:10" ht="15.75" customHeight="1" x14ac:dyDescent="0.25">
      <c r="E576" s="139"/>
      <c r="J576" s="139"/>
    </row>
    <row r="577" spans="5:10" ht="15.75" customHeight="1" x14ac:dyDescent="0.25">
      <c r="E577" s="139"/>
      <c r="J577" s="139"/>
    </row>
    <row r="578" spans="5:10" ht="15.75" customHeight="1" x14ac:dyDescent="0.25">
      <c r="E578" s="139"/>
      <c r="J578" s="139"/>
    </row>
    <row r="579" spans="5:10" ht="15.75" customHeight="1" x14ac:dyDescent="0.25">
      <c r="E579" s="139"/>
      <c r="J579" s="139"/>
    </row>
    <row r="580" spans="5:10" ht="15.75" customHeight="1" x14ac:dyDescent="0.25">
      <c r="E580" s="139"/>
      <c r="J580" s="139"/>
    </row>
    <row r="581" spans="5:10" ht="15.75" customHeight="1" x14ac:dyDescent="0.25">
      <c r="E581" s="139"/>
      <c r="J581" s="139"/>
    </row>
    <row r="582" spans="5:10" ht="15.75" customHeight="1" x14ac:dyDescent="0.25">
      <c r="E582" s="139"/>
      <c r="J582" s="139"/>
    </row>
    <row r="583" spans="5:10" ht="15.75" customHeight="1" x14ac:dyDescent="0.25">
      <c r="E583" s="139"/>
      <c r="J583" s="139"/>
    </row>
    <row r="584" spans="5:10" ht="15.75" customHeight="1" x14ac:dyDescent="0.25">
      <c r="E584" s="139"/>
      <c r="J584" s="139"/>
    </row>
    <row r="585" spans="5:10" ht="15.75" customHeight="1" x14ac:dyDescent="0.25">
      <c r="E585" s="139"/>
      <c r="J585" s="139"/>
    </row>
    <row r="586" spans="5:10" ht="15.75" customHeight="1" x14ac:dyDescent="0.25">
      <c r="E586" s="139"/>
      <c r="J586" s="139"/>
    </row>
    <row r="587" spans="5:10" ht="15.75" customHeight="1" x14ac:dyDescent="0.25">
      <c r="E587" s="139"/>
      <c r="J587" s="139"/>
    </row>
    <row r="588" spans="5:10" ht="15.75" customHeight="1" x14ac:dyDescent="0.25">
      <c r="E588" s="139"/>
      <c r="J588" s="139"/>
    </row>
    <row r="589" spans="5:10" ht="15.75" customHeight="1" x14ac:dyDescent="0.25">
      <c r="E589" s="139"/>
      <c r="J589" s="139"/>
    </row>
    <row r="590" spans="5:10" ht="15.75" customHeight="1" x14ac:dyDescent="0.25">
      <c r="E590" s="139"/>
      <c r="J590" s="139"/>
    </row>
    <row r="591" spans="5:10" ht="15.75" customHeight="1" x14ac:dyDescent="0.25">
      <c r="E591" s="139"/>
      <c r="J591" s="139"/>
    </row>
    <row r="592" spans="5:10" ht="15.75" customHeight="1" x14ac:dyDescent="0.25">
      <c r="E592" s="139"/>
      <c r="J592" s="139"/>
    </row>
    <row r="593" spans="5:10" ht="15.75" customHeight="1" x14ac:dyDescent="0.25">
      <c r="E593" s="139"/>
      <c r="J593" s="139"/>
    </row>
    <row r="594" spans="5:10" ht="15.75" customHeight="1" x14ac:dyDescent="0.25">
      <c r="E594" s="139"/>
      <c r="J594" s="139"/>
    </row>
    <row r="595" spans="5:10" ht="15.75" customHeight="1" x14ac:dyDescent="0.25">
      <c r="E595" s="139"/>
      <c r="J595" s="139"/>
    </row>
    <row r="596" spans="5:10" ht="15.75" customHeight="1" x14ac:dyDescent="0.25">
      <c r="E596" s="139"/>
      <c r="J596" s="139"/>
    </row>
    <row r="597" spans="5:10" ht="15.75" customHeight="1" x14ac:dyDescent="0.25">
      <c r="E597" s="139"/>
      <c r="J597" s="139"/>
    </row>
    <row r="598" spans="5:10" ht="15.75" customHeight="1" x14ac:dyDescent="0.25">
      <c r="E598" s="139"/>
      <c r="J598" s="139"/>
    </row>
    <row r="599" spans="5:10" ht="15.75" customHeight="1" x14ac:dyDescent="0.25">
      <c r="E599" s="139"/>
      <c r="J599" s="139"/>
    </row>
    <row r="600" spans="5:10" ht="15.75" customHeight="1" x14ac:dyDescent="0.25">
      <c r="E600" s="139"/>
      <c r="J600" s="139"/>
    </row>
    <row r="601" spans="5:10" ht="15.75" customHeight="1" x14ac:dyDescent="0.25">
      <c r="E601" s="139"/>
      <c r="J601" s="139"/>
    </row>
    <row r="602" spans="5:10" ht="15.75" customHeight="1" x14ac:dyDescent="0.25">
      <c r="E602" s="139"/>
      <c r="J602" s="139"/>
    </row>
    <row r="603" spans="5:10" ht="15.75" customHeight="1" x14ac:dyDescent="0.25">
      <c r="E603" s="139"/>
      <c r="J603" s="139"/>
    </row>
    <row r="604" spans="5:10" ht="15.75" customHeight="1" x14ac:dyDescent="0.25">
      <c r="E604" s="139"/>
      <c r="J604" s="139"/>
    </row>
    <row r="605" spans="5:10" ht="15.75" customHeight="1" x14ac:dyDescent="0.25">
      <c r="E605" s="139"/>
      <c r="J605" s="139"/>
    </row>
    <row r="606" spans="5:10" ht="15.75" customHeight="1" x14ac:dyDescent="0.25">
      <c r="E606" s="139"/>
      <c r="J606" s="139"/>
    </row>
    <row r="607" spans="5:10" ht="15.75" customHeight="1" x14ac:dyDescent="0.25">
      <c r="E607" s="139"/>
      <c r="J607" s="139"/>
    </row>
    <row r="608" spans="5:10" ht="15.75" customHeight="1" x14ac:dyDescent="0.25">
      <c r="E608" s="139"/>
      <c r="J608" s="139"/>
    </row>
    <row r="609" spans="5:10" ht="15.75" customHeight="1" x14ac:dyDescent="0.25">
      <c r="E609" s="139"/>
      <c r="J609" s="139"/>
    </row>
    <row r="610" spans="5:10" ht="15.75" customHeight="1" x14ac:dyDescent="0.25">
      <c r="E610" s="139"/>
      <c r="J610" s="139"/>
    </row>
    <row r="611" spans="5:10" ht="15.75" customHeight="1" x14ac:dyDescent="0.25">
      <c r="E611" s="139"/>
      <c r="J611" s="139"/>
    </row>
    <row r="612" spans="5:10" ht="15.75" customHeight="1" x14ac:dyDescent="0.25">
      <c r="E612" s="139"/>
      <c r="J612" s="139"/>
    </row>
    <row r="613" spans="5:10" ht="15.75" customHeight="1" x14ac:dyDescent="0.25">
      <c r="E613" s="139"/>
      <c r="J613" s="139"/>
    </row>
    <row r="614" spans="5:10" ht="15.75" customHeight="1" x14ac:dyDescent="0.25">
      <c r="E614" s="139"/>
      <c r="J614" s="139"/>
    </row>
    <row r="615" spans="5:10" ht="15.75" customHeight="1" x14ac:dyDescent="0.25">
      <c r="E615" s="139"/>
      <c r="J615" s="139"/>
    </row>
    <row r="616" spans="5:10" ht="15.75" customHeight="1" x14ac:dyDescent="0.25">
      <c r="E616" s="139"/>
      <c r="J616" s="139"/>
    </row>
    <row r="617" spans="5:10" ht="15.75" customHeight="1" x14ac:dyDescent="0.25">
      <c r="E617" s="139"/>
      <c r="J617" s="139"/>
    </row>
    <row r="618" spans="5:10" ht="15.75" customHeight="1" x14ac:dyDescent="0.25">
      <c r="E618" s="139"/>
      <c r="J618" s="139"/>
    </row>
    <row r="619" spans="5:10" ht="15.75" customHeight="1" x14ac:dyDescent="0.25">
      <c r="E619" s="139"/>
      <c r="J619" s="139"/>
    </row>
    <row r="620" spans="5:10" ht="15.75" customHeight="1" x14ac:dyDescent="0.25">
      <c r="E620" s="139"/>
      <c r="J620" s="139"/>
    </row>
    <row r="621" spans="5:10" ht="15.75" customHeight="1" x14ac:dyDescent="0.25">
      <c r="E621" s="139"/>
      <c r="J621" s="139"/>
    </row>
    <row r="622" spans="5:10" ht="15.75" customHeight="1" x14ac:dyDescent="0.25">
      <c r="E622" s="139"/>
      <c r="J622" s="139"/>
    </row>
    <row r="623" spans="5:10" ht="15.75" customHeight="1" x14ac:dyDescent="0.25">
      <c r="E623" s="139"/>
      <c r="J623" s="139"/>
    </row>
    <row r="624" spans="5:10" ht="15.75" customHeight="1" x14ac:dyDescent="0.25">
      <c r="E624" s="139"/>
      <c r="J624" s="139"/>
    </row>
    <row r="625" spans="5:10" ht="15.75" customHeight="1" x14ac:dyDescent="0.25">
      <c r="E625" s="139"/>
      <c r="J625" s="139"/>
    </row>
    <row r="626" spans="5:10" ht="15.75" customHeight="1" x14ac:dyDescent="0.25">
      <c r="E626" s="139"/>
      <c r="J626" s="139"/>
    </row>
    <row r="627" spans="5:10" ht="15.75" customHeight="1" x14ac:dyDescent="0.25">
      <c r="E627" s="139"/>
      <c r="J627" s="139"/>
    </row>
    <row r="628" spans="5:10" ht="15.75" customHeight="1" x14ac:dyDescent="0.25">
      <c r="E628" s="139"/>
      <c r="J628" s="139"/>
    </row>
    <row r="629" spans="5:10" ht="15.75" customHeight="1" x14ac:dyDescent="0.25">
      <c r="E629" s="139"/>
      <c r="J629" s="139"/>
    </row>
    <row r="630" spans="5:10" ht="15.75" customHeight="1" x14ac:dyDescent="0.25">
      <c r="E630" s="139"/>
      <c r="J630" s="139"/>
    </row>
    <row r="631" spans="5:10" ht="15.75" customHeight="1" x14ac:dyDescent="0.25">
      <c r="E631" s="139"/>
      <c r="J631" s="139"/>
    </row>
    <row r="632" spans="5:10" ht="15.75" customHeight="1" x14ac:dyDescent="0.25">
      <c r="E632" s="139"/>
      <c r="J632" s="139"/>
    </row>
    <row r="633" spans="5:10" ht="15.75" customHeight="1" x14ac:dyDescent="0.25">
      <c r="E633" s="139"/>
      <c r="J633" s="139"/>
    </row>
    <row r="634" spans="5:10" ht="15.75" customHeight="1" x14ac:dyDescent="0.25">
      <c r="E634" s="139"/>
      <c r="J634" s="139"/>
    </row>
    <row r="635" spans="5:10" ht="15.75" customHeight="1" x14ac:dyDescent="0.25">
      <c r="E635" s="139"/>
      <c r="J635" s="139"/>
    </row>
    <row r="636" spans="5:10" ht="15.75" customHeight="1" x14ac:dyDescent="0.25">
      <c r="E636" s="139"/>
      <c r="J636" s="139"/>
    </row>
    <row r="637" spans="5:10" ht="15.75" customHeight="1" x14ac:dyDescent="0.25">
      <c r="E637" s="139"/>
      <c r="J637" s="139"/>
    </row>
    <row r="638" spans="5:10" ht="15.75" customHeight="1" x14ac:dyDescent="0.25">
      <c r="E638" s="139"/>
      <c r="J638" s="139"/>
    </row>
    <row r="639" spans="5:10" ht="15.75" customHeight="1" x14ac:dyDescent="0.25">
      <c r="E639" s="139"/>
      <c r="J639" s="139"/>
    </row>
    <row r="640" spans="5:10" ht="15.75" customHeight="1" x14ac:dyDescent="0.25">
      <c r="E640" s="139"/>
      <c r="J640" s="139"/>
    </row>
    <row r="641" spans="5:10" ht="15.75" customHeight="1" x14ac:dyDescent="0.25">
      <c r="E641" s="139"/>
      <c r="J641" s="139"/>
    </row>
    <row r="642" spans="5:10" ht="15.75" customHeight="1" x14ac:dyDescent="0.25">
      <c r="E642" s="139"/>
      <c r="J642" s="139"/>
    </row>
    <row r="643" spans="5:10" ht="15.75" customHeight="1" x14ac:dyDescent="0.25">
      <c r="E643" s="139"/>
      <c r="J643" s="139"/>
    </row>
    <row r="644" spans="5:10" ht="15.75" customHeight="1" x14ac:dyDescent="0.25">
      <c r="E644" s="139"/>
      <c r="J644" s="139"/>
    </row>
    <row r="645" spans="5:10" ht="15.75" customHeight="1" x14ac:dyDescent="0.25">
      <c r="E645" s="139"/>
      <c r="J645" s="139"/>
    </row>
    <row r="646" spans="5:10" ht="15.75" customHeight="1" x14ac:dyDescent="0.25">
      <c r="E646" s="139"/>
      <c r="J646" s="139"/>
    </row>
    <row r="647" spans="5:10" ht="15.75" customHeight="1" x14ac:dyDescent="0.25">
      <c r="E647" s="139"/>
      <c r="J647" s="139"/>
    </row>
    <row r="648" spans="5:10" ht="15.75" customHeight="1" x14ac:dyDescent="0.25">
      <c r="E648" s="139"/>
      <c r="J648" s="139"/>
    </row>
    <row r="649" spans="5:10" ht="15.75" customHeight="1" x14ac:dyDescent="0.25">
      <c r="E649" s="139"/>
      <c r="J649" s="139"/>
    </row>
    <row r="650" spans="5:10" ht="15.75" customHeight="1" x14ac:dyDescent="0.25">
      <c r="E650" s="139"/>
      <c r="J650" s="139"/>
    </row>
    <row r="651" spans="5:10" ht="15.75" customHeight="1" x14ac:dyDescent="0.25">
      <c r="E651" s="139"/>
      <c r="J651" s="139"/>
    </row>
    <row r="652" spans="5:10" ht="15.75" customHeight="1" x14ac:dyDescent="0.25">
      <c r="E652" s="139"/>
      <c r="J652" s="139"/>
    </row>
    <row r="653" spans="5:10" ht="15.75" customHeight="1" x14ac:dyDescent="0.25">
      <c r="E653" s="139"/>
      <c r="J653" s="139"/>
    </row>
    <row r="654" spans="5:10" ht="15.75" customHeight="1" x14ac:dyDescent="0.25">
      <c r="E654" s="139"/>
      <c r="J654" s="139"/>
    </row>
    <row r="655" spans="5:10" ht="15.75" customHeight="1" x14ac:dyDescent="0.25">
      <c r="E655" s="139"/>
      <c r="J655" s="139"/>
    </row>
    <row r="656" spans="5:10" ht="15.75" customHeight="1" x14ac:dyDescent="0.25">
      <c r="E656" s="139"/>
      <c r="J656" s="139"/>
    </row>
    <row r="657" spans="5:10" ht="15.75" customHeight="1" x14ac:dyDescent="0.25">
      <c r="E657" s="139"/>
      <c r="J657" s="139"/>
    </row>
    <row r="658" spans="5:10" ht="15.75" customHeight="1" x14ac:dyDescent="0.25">
      <c r="E658" s="139"/>
      <c r="J658" s="139"/>
    </row>
    <row r="659" spans="5:10" ht="15.75" customHeight="1" x14ac:dyDescent="0.25">
      <c r="E659" s="139"/>
      <c r="J659" s="139"/>
    </row>
    <row r="660" spans="5:10" ht="15.75" customHeight="1" x14ac:dyDescent="0.25">
      <c r="E660" s="139"/>
      <c r="J660" s="139"/>
    </row>
    <row r="661" spans="5:10" ht="15.75" customHeight="1" x14ac:dyDescent="0.25">
      <c r="E661" s="139"/>
      <c r="J661" s="139"/>
    </row>
    <row r="662" spans="5:10" ht="15.75" customHeight="1" x14ac:dyDescent="0.25">
      <c r="E662" s="139"/>
      <c r="J662" s="139"/>
    </row>
    <row r="663" spans="5:10" ht="15.75" customHeight="1" x14ac:dyDescent="0.25">
      <c r="E663" s="139"/>
      <c r="J663" s="139"/>
    </row>
    <row r="664" spans="5:10" ht="15.75" customHeight="1" x14ac:dyDescent="0.25">
      <c r="E664" s="139"/>
      <c r="J664" s="139"/>
    </row>
    <row r="665" spans="5:10" ht="15.75" customHeight="1" x14ac:dyDescent="0.25">
      <c r="E665" s="139"/>
      <c r="J665" s="139"/>
    </row>
    <row r="666" spans="5:10" ht="15.75" customHeight="1" x14ac:dyDescent="0.25">
      <c r="E666" s="139"/>
      <c r="J666" s="139"/>
    </row>
    <row r="667" spans="5:10" ht="15.75" customHeight="1" x14ac:dyDescent="0.25">
      <c r="E667" s="139"/>
      <c r="J667" s="139"/>
    </row>
    <row r="668" spans="5:10" ht="15.75" customHeight="1" x14ac:dyDescent="0.25">
      <c r="E668" s="139"/>
      <c r="J668" s="139"/>
    </row>
    <row r="669" spans="5:10" ht="15.75" customHeight="1" x14ac:dyDescent="0.25">
      <c r="E669" s="139"/>
      <c r="J669" s="139"/>
    </row>
    <row r="670" spans="5:10" ht="15.75" customHeight="1" x14ac:dyDescent="0.25">
      <c r="E670" s="139"/>
      <c r="J670" s="139"/>
    </row>
    <row r="671" spans="5:10" ht="15.75" customHeight="1" x14ac:dyDescent="0.25">
      <c r="E671" s="139"/>
      <c r="J671" s="139"/>
    </row>
    <row r="672" spans="5:10" ht="15.75" customHeight="1" x14ac:dyDescent="0.25">
      <c r="E672" s="139"/>
      <c r="J672" s="139"/>
    </row>
    <row r="673" spans="5:10" ht="15.75" customHeight="1" x14ac:dyDescent="0.25">
      <c r="E673" s="139"/>
      <c r="J673" s="139"/>
    </row>
    <row r="674" spans="5:10" ht="15.75" customHeight="1" x14ac:dyDescent="0.25">
      <c r="E674" s="139"/>
      <c r="J674" s="139"/>
    </row>
    <row r="675" spans="5:10" ht="15.75" customHeight="1" x14ac:dyDescent="0.25">
      <c r="E675" s="139"/>
      <c r="J675" s="139"/>
    </row>
    <row r="676" spans="5:10" ht="15.75" customHeight="1" x14ac:dyDescent="0.25">
      <c r="E676" s="139"/>
      <c r="J676" s="139"/>
    </row>
    <row r="677" spans="5:10" ht="15.75" customHeight="1" x14ac:dyDescent="0.25">
      <c r="E677" s="139"/>
      <c r="J677" s="139"/>
    </row>
    <row r="678" spans="5:10" ht="15.75" customHeight="1" x14ac:dyDescent="0.25">
      <c r="E678" s="139"/>
      <c r="J678" s="139"/>
    </row>
    <row r="679" spans="5:10" ht="15.75" customHeight="1" x14ac:dyDescent="0.25">
      <c r="E679" s="139"/>
      <c r="J679" s="139"/>
    </row>
    <row r="680" spans="5:10" ht="15.75" customHeight="1" x14ac:dyDescent="0.25">
      <c r="E680" s="139"/>
      <c r="J680" s="139"/>
    </row>
    <row r="681" spans="5:10" ht="15.75" customHeight="1" x14ac:dyDescent="0.25">
      <c r="E681" s="139"/>
      <c r="J681" s="139"/>
    </row>
    <row r="682" spans="5:10" ht="15.75" customHeight="1" x14ac:dyDescent="0.25">
      <c r="E682" s="139"/>
      <c r="J682" s="139"/>
    </row>
    <row r="683" spans="5:10" ht="15.75" customHeight="1" x14ac:dyDescent="0.25">
      <c r="E683" s="139"/>
      <c r="J683" s="139"/>
    </row>
    <row r="684" spans="5:10" ht="15.75" customHeight="1" x14ac:dyDescent="0.25">
      <c r="E684" s="139"/>
      <c r="J684" s="139"/>
    </row>
    <row r="685" spans="5:10" ht="15.75" customHeight="1" x14ac:dyDescent="0.25">
      <c r="E685" s="139"/>
      <c r="J685" s="139"/>
    </row>
    <row r="686" spans="5:10" ht="15.75" customHeight="1" x14ac:dyDescent="0.25">
      <c r="E686" s="139"/>
      <c r="J686" s="139"/>
    </row>
    <row r="687" spans="5:10" ht="15.75" customHeight="1" x14ac:dyDescent="0.25">
      <c r="E687" s="139"/>
      <c r="J687" s="139"/>
    </row>
    <row r="688" spans="5:10" ht="15.75" customHeight="1" x14ac:dyDescent="0.25">
      <c r="E688" s="139"/>
      <c r="J688" s="139"/>
    </row>
    <row r="689" spans="5:10" ht="15.75" customHeight="1" x14ac:dyDescent="0.25">
      <c r="E689" s="139"/>
      <c r="J689" s="139"/>
    </row>
    <row r="690" spans="5:10" ht="15.75" customHeight="1" x14ac:dyDescent="0.25">
      <c r="E690" s="139"/>
      <c r="J690" s="139"/>
    </row>
    <row r="691" spans="5:10" ht="15.75" customHeight="1" x14ac:dyDescent="0.25">
      <c r="E691" s="139"/>
      <c r="J691" s="139"/>
    </row>
    <row r="692" spans="5:10" ht="15.75" customHeight="1" x14ac:dyDescent="0.25">
      <c r="E692" s="139"/>
      <c r="J692" s="139"/>
    </row>
    <row r="693" spans="5:10" ht="15.75" customHeight="1" x14ac:dyDescent="0.25">
      <c r="E693" s="139"/>
      <c r="J693" s="139"/>
    </row>
    <row r="694" spans="5:10" ht="15.75" customHeight="1" x14ac:dyDescent="0.25">
      <c r="E694" s="139"/>
      <c r="J694" s="139"/>
    </row>
    <row r="695" spans="5:10" ht="15.75" customHeight="1" x14ac:dyDescent="0.25">
      <c r="E695" s="139"/>
      <c r="J695" s="139"/>
    </row>
    <row r="696" spans="5:10" ht="15.75" customHeight="1" x14ac:dyDescent="0.25">
      <c r="E696" s="139"/>
      <c r="J696" s="139"/>
    </row>
    <row r="697" spans="5:10" ht="15.75" customHeight="1" x14ac:dyDescent="0.25">
      <c r="E697" s="139"/>
      <c r="J697" s="139"/>
    </row>
    <row r="698" spans="5:10" ht="15.75" customHeight="1" x14ac:dyDescent="0.25">
      <c r="E698" s="139"/>
      <c r="J698" s="139"/>
    </row>
    <row r="699" spans="5:10" ht="15.75" customHeight="1" x14ac:dyDescent="0.25">
      <c r="E699" s="139"/>
      <c r="J699" s="139"/>
    </row>
    <row r="700" spans="5:10" ht="15.75" customHeight="1" x14ac:dyDescent="0.25">
      <c r="E700" s="139"/>
      <c r="J700" s="139"/>
    </row>
    <row r="701" spans="5:10" ht="15.75" customHeight="1" x14ac:dyDescent="0.25">
      <c r="E701" s="139"/>
      <c r="J701" s="139"/>
    </row>
    <row r="702" spans="5:10" ht="15.75" customHeight="1" x14ac:dyDescent="0.25">
      <c r="E702" s="139"/>
      <c r="J702" s="139"/>
    </row>
    <row r="703" spans="5:10" ht="15.75" customHeight="1" x14ac:dyDescent="0.25">
      <c r="E703" s="139"/>
      <c r="J703" s="139"/>
    </row>
    <row r="704" spans="5:10" ht="15.75" customHeight="1" x14ac:dyDescent="0.25">
      <c r="E704" s="139"/>
      <c r="J704" s="139"/>
    </row>
    <row r="705" spans="5:10" ht="15.75" customHeight="1" x14ac:dyDescent="0.25">
      <c r="E705" s="139"/>
      <c r="J705" s="139"/>
    </row>
    <row r="706" spans="5:10" ht="15.75" customHeight="1" x14ac:dyDescent="0.25">
      <c r="E706" s="139"/>
      <c r="J706" s="139"/>
    </row>
    <row r="707" spans="5:10" ht="15.75" customHeight="1" x14ac:dyDescent="0.25">
      <c r="E707" s="139"/>
      <c r="J707" s="139"/>
    </row>
    <row r="708" spans="5:10" ht="15.75" customHeight="1" x14ac:dyDescent="0.25">
      <c r="E708" s="139"/>
      <c r="J708" s="139"/>
    </row>
    <row r="709" spans="5:10" ht="15.75" customHeight="1" x14ac:dyDescent="0.25">
      <c r="E709" s="139"/>
      <c r="J709" s="139"/>
    </row>
    <row r="710" spans="5:10" ht="15.75" customHeight="1" x14ac:dyDescent="0.25">
      <c r="E710" s="139"/>
      <c r="J710" s="139"/>
    </row>
    <row r="711" spans="5:10" ht="15.75" customHeight="1" x14ac:dyDescent="0.25">
      <c r="E711" s="139"/>
      <c r="J711" s="139"/>
    </row>
    <row r="712" spans="5:10" ht="15.75" customHeight="1" x14ac:dyDescent="0.25">
      <c r="E712" s="139"/>
      <c r="J712" s="139"/>
    </row>
    <row r="713" spans="5:10" ht="15.75" customHeight="1" x14ac:dyDescent="0.25">
      <c r="E713" s="139"/>
      <c r="J713" s="139"/>
    </row>
    <row r="714" spans="5:10" ht="15.75" customHeight="1" x14ac:dyDescent="0.25">
      <c r="E714" s="139"/>
      <c r="J714" s="139"/>
    </row>
    <row r="715" spans="5:10" ht="15.75" customHeight="1" x14ac:dyDescent="0.25">
      <c r="E715" s="139"/>
      <c r="J715" s="139"/>
    </row>
    <row r="716" spans="5:10" ht="15.75" customHeight="1" x14ac:dyDescent="0.25">
      <c r="E716" s="139"/>
      <c r="J716" s="139"/>
    </row>
    <row r="717" spans="5:10" ht="15.75" customHeight="1" x14ac:dyDescent="0.25">
      <c r="E717" s="139"/>
      <c r="J717" s="139"/>
    </row>
    <row r="718" spans="5:10" ht="15.75" customHeight="1" x14ac:dyDescent="0.25">
      <c r="E718" s="139"/>
      <c r="J718" s="139"/>
    </row>
    <row r="719" spans="5:10" ht="15.75" customHeight="1" x14ac:dyDescent="0.25">
      <c r="E719" s="139"/>
      <c r="J719" s="139"/>
    </row>
    <row r="720" spans="5:10" ht="15.75" customHeight="1" x14ac:dyDescent="0.25">
      <c r="E720" s="139"/>
      <c r="J720" s="139"/>
    </row>
    <row r="721" spans="5:10" ht="15.75" customHeight="1" x14ac:dyDescent="0.25">
      <c r="E721" s="139"/>
      <c r="J721" s="139"/>
    </row>
    <row r="722" spans="5:10" ht="15.75" customHeight="1" x14ac:dyDescent="0.25">
      <c r="E722" s="139"/>
      <c r="J722" s="139"/>
    </row>
    <row r="723" spans="5:10" ht="15.75" customHeight="1" x14ac:dyDescent="0.25">
      <c r="E723" s="139"/>
      <c r="J723" s="139"/>
    </row>
    <row r="724" spans="5:10" ht="15.75" customHeight="1" x14ac:dyDescent="0.25">
      <c r="E724" s="139"/>
      <c r="J724" s="139"/>
    </row>
    <row r="725" spans="5:10" ht="15.75" customHeight="1" x14ac:dyDescent="0.25">
      <c r="E725" s="139"/>
      <c r="J725" s="139"/>
    </row>
    <row r="726" spans="5:10" ht="15.75" customHeight="1" x14ac:dyDescent="0.25">
      <c r="E726" s="139"/>
      <c r="J726" s="139"/>
    </row>
    <row r="727" spans="5:10" ht="15.75" customHeight="1" x14ac:dyDescent="0.25">
      <c r="E727" s="139"/>
      <c r="J727" s="139"/>
    </row>
    <row r="728" spans="5:10" ht="15.75" customHeight="1" x14ac:dyDescent="0.25">
      <c r="E728" s="139"/>
      <c r="J728" s="139"/>
    </row>
    <row r="729" spans="5:10" ht="15.75" customHeight="1" x14ac:dyDescent="0.25">
      <c r="E729" s="139"/>
      <c r="J729" s="139"/>
    </row>
    <row r="730" spans="5:10" ht="15.75" customHeight="1" x14ac:dyDescent="0.25">
      <c r="E730" s="139"/>
      <c r="J730" s="139"/>
    </row>
    <row r="731" spans="5:10" ht="15.75" customHeight="1" x14ac:dyDescent="0.25">
      <c r="E731" s="139"/>
      <c r="J731" s="139"/>
    </row>
    <row r="732" spans="5:10" ht="15.75" customHeight="1" x14ac:dyDescent="0.25">
      <c r="E732" s="139"/>
      <c r="J732" s="139"/>
    </row>
    <row r="733" spans="5:10" ht="15.75" customHeight="1" x14ac:dyDescent="0.25">
      <c r="E733" s="139"/>
      <c r="J733" s="139"/>
    </row>
    <row r="734" spans="5:10" ht="15.75" customHeight="1" x14ac:dyDescent="0.25">
      <c r="E734" s="139"/>
      <c r="J734" s="139"/>
    </row>
    <row r="735" spans="5:10" ht="15.75" customHeight="1" x14ac:dyDescent="0.25">
      <c r="E735" s="139"/>
      <c r="J735" s="139"/>
    </row>
    <row r="736" spans="5:10" ht="15.75" customHeight="1" x14ac:dyDescent="0.25">
      <c r="E736" s="139"/>
      <c r="J736" s="139"/>
    </row>
    <row r="737" spans="5:10" ht="15.75" customHeight="1" x14ac:dyDescent="0.25">
      <c r="E737" s="139"/>
      <c r="J737" s="139"/>
    </row>
    <row r="738" spans="5:10" ht="15.75" customHeight="1" x14ac:dyDescent="0.25">
      <c r="E738" s="139"/>
      <c r="J738" s="139"/>
    </row>
    <row r="739" spans="5:10" ht="15.75" customHeight="1" x14ac:dyDescent="0.25">
      <c r="E739" s="139"/>
      <c r="J739" s="139"/>
    </row>
    <row r="740" spans="5:10" ht="15.75" customHeight="1" x14ac:dyDescent="0.25">
      <c r="E740" s="139"/>
      <c r="J740" s="139"/>
    </row>
    <row r="741" spans="5:10" ht="15.75" customHeight="1" x14ac:dyDescent="0.25">
      <c r="E741" s="139"/>
      <c r="J741" s="139"/>
    </row>
    <row r="742" spans="5:10" ht="15.75" customHeight="1" x14ac:dyDescent="0.25">
      <c r="E742" s="139"/>
      <c r="J742" s="139"/>
    </row>
    <row r="743" spans="5:10" ht="15.75" customHeight="1" x14ac:dyDescent="0.25">
      <c r="E743" s="139"/>
      <c r="J743" s="139"/>
    </row>
    <row r="744" spans="5:10" ht="15.75" customHeight="1" x14ac:dyDescent="0.25">
      <c r="E744" s="139"/>
      <c r="J744" s="139"/>
    </row>
    <row r="745" spans="5:10" ht="15.75" customHeight="1" x14ac:dyDescent="0.25">
      <c r="E745" s="139"/>
      <c r="J745" s="139"/>
    </row>
    <row r="746" spans="5:10" ht="15.75" customHeight="1" x14ac:dyDescent="0.25">
      <c r="E746" s="139"/>
      <c r="J746" s="139"/>
    </row>
    <row r="747" spans="5:10" ht="15.75" customHeight="1" x14ac:dyDescent="0.25">
      <c r="E747" s="139"/>
      <c r="J747" s="139"/>
    </row>
    <row r="748" spans="5:10" ht="15.75" customHeight="1" x14ac:dyDescent="0.25">
      <c r="E748" s="139"/>
      <c r="J748" s="139"/>
    </row>
    <row r="749" spans="5:10" ht="15.75" customHeight="1" x14ac:dyDescent="0.25">
      <c r="E749" s="139"/>
      <c r="J749" s="139"/>
    </row>
    <row r="750" spans="5:10" ht="15.75" customHeight="1" x14ac:dyDescent="0.25">
      <c r="E750" s="139"/>
      <c r="J750" s="139"/>
    </row>
    <row r="751" spans="5:10" ht="15.75" customHeight="1" x14ac:dyDescent="0.25">
      <c r="E751" s="139"/>
      <c r="J751" s="139"/>
    </row>
    <row r="752" spans="5:10" ht="15.75" customHeight="1" x14ac:dyDescent="0.25">
      <c r="E752" s="139"/>
      <c r="J752" s="139"/>
    </row>
    <row r="753" spans="5:10" ht="15.75" customHeight="1" x14ac:dyDescent="0.25">
      <c r="E753" s="139"/>
      <c r="J753" s="139"/>
    </row>
    <row r="754" spans="5:10" ht="15.75" customHeight="1" x14ac:dyDescent="0.25">
      <c r="E754" s="139"/>
      <c r="J754" s="139"/>
    </row>
    <row r="755" spans="5:10" ht="15.75" customHeight="1" x14ac:dyDescent="0.25">
      <c r="E755" s="139"/>
      <c r="J755" s="139"/>
    </row>
    <row r="756" spans="5:10" ht="15.75" customHeight="1" x14ac:dyDescent="0.25">
      <c r="E756" s="139"/>
      <c r="J756" s="139"/>
    </row>
    <row r="757" spans="5:10" ht="15.75" customHeight="1" x14ac:dyDescent="0.25">
      <c r="E757" s="139"/>
      <c r="J757" s="139"/>
    </row>
    <row r="758" spans="5:10" ht="15.75" customHeight="1" x14ac:dyDescent="0.25">
      <c r="E758" s="139"/>
      <c r="J758" s="139"/>
    </row>
    <row r="759" spans="5:10" ht="15.75" customHeight="1" x14ac:dyDescent="0.25">
      <c r="E759" s="139"/>
      <c r="J759" s="139"/>
    </row>
    <row r="760" spans="5:10" ht="15.75" customHeight="1" x14ac:dyDescent="0.25">
      <c r="E760" s="139"/>
      <c r="J760" s="139"/>
    </row>
    <row r="761" spans="5:10" ht="15.75" customHeight="1" x14ac:dyDescent="0.25">
      <c r="E761" s="139"/>
      <c r="J761" s="139"/>
    </row>
    <row r="762" spans="5:10" ht="15.75" customHeight="1" x14ac:dyDescent="0.25">
      <c r="E762" s="139"/>
      <c r="J762" s="139"/>
    </row>
    <row r="763" spans="5:10" ht="15.75" customHeight="1" x14ac:dyDescent="0.25">
      <c r="E763" s="139"/>
      <c r="J763" s="139"/>
    </row>
    <row r="764" spans="5:10" ht="15.75" customHeight="1" x14ac:dyDescent="0.25">
      <c r="E764" s="139"/>
      <c r="J764" s="139"/>
    </row>
    <row r="765" spans="5:10" ht="15.75" customHeight="1" x14ac:dyDescent="0.25">
      <c r="E765" s="139"/>
      <c r="J765" s="139"/>
    </row>
    <row r="766" spans="5:10" ht="15.75" customHeight="1" x14ac:dyDescent="0.25">
      <c r="E766" s="139"/>
      <c r="J766" s="139"/>
    </row>
    <row r="767" spans="5:10" ht="15.75" customHeight="1" x14ac:dyDescent="0.25">
      <c r="E767" s="139"/>
      <c r="J767" s="139"/>
    </row>
    <row r="768" spans="5:10" ht="15.75" customHeight="1" x14ac:dyDescent="0.25">
      <c r="E768" s="139"/>
      <c r="J768" s="139"/>
    </row>
    <row r="769" spans="5:10" ht="15.75" customHeight="1" x14ac:dyDescent="0.25">
      <c r="E769" s="139"/>
      <c r="J769" s="139"/>
    </row>
    <row r="770" spans="5:10" ht="15.75" customHeight="1" x14ac:dyDescent="0.25">
      <c r="E770" s="139"/>
      <c r="J770" s="139"/>
    </row>
    <row r="771" spans="5:10" ht="15.75" customHeight="1" x14ac:dyDescent="0.25">
      <c r="E771" s="139"/>
      <c r="J771" s="139"/>
    </row>
    <row r="772" spans="5:10" ht="15.75" customHeight="1" x14ac:dyDescent="0.25">
      <c r="E772" s="139"/>
      <c r="J772" s="139"/>
    </row>
    <row r="773" spans="5:10" ht="15.75" customHeight="1" x14ac:dyDescent="0.25">
      <c r="E773" s="139"/>
      <c r="J773" s="139"/>
    </row>
    <row r="774" spans="5:10" ht="15.75" customHeight="1" x14ac:dyDescent="0.25">
      <c r="E774" s="139"/>
      <c r="J774" s="139"/>
    </row>
    <row r="775" spans="5:10" ht="15.75" customHeight="1" x14ac:dyDescent="0.25">
      <c r="E775" s="139"/>
      <c r="J775" s="139"/>
    </row>
    <row r="776" spans="5:10" ht="15.75" customHeight="1" x14ac:dyDescent="0.25">
      <c r="E776" s="139"/>
      <c r="J776" s="139"/>
    </row>
    <row r="777" spans="5:10" ht="15.75" customHeight="1" x14ac:dyDescent="0.25">
      <c r="E777" s="139"/>
      <c r="J777" s="139"/>
    </row>
    <row r="778" spans="5:10" ht="15.75" customHeight="1" x14ac:dyDescent="0.25">
      <c r="E778" s="139"/>
      <c r="J778" s="139"/>
    </row>
    <row r="779" spans="5:10" ht="15.75" customHeight="1" x14ac:dyDescent="0.25">
      <c r="E779" s="139"/>
      <c r="J779" s="139"/>
    </row>
    <row r="780" spans="5:10" ht="15.75" customHeight="1" x14ac:dyDescent="0.25">
      <c r="E780" s="139"/>
      <c r="J780" s="139"/>
    </row>
    <row r="781" spans="5:10" ht="15.75" customHeight="1" x14ac:dyDescent="0.25">
      <c r="E781" s="139"/>
      <c r="J781" s="139"/>
    </row>
    <row r="782" spans="5:10" ht="15.75" customHeight="1" x14ac:dyDescent="0.25">
      <c r="E782" s="139"/>
      <c r="J782" s="139"/>
    </row>
    <row r="783" spans="5:10" ht="15.75" customHeight="1" x14ac:dyDescent="0.25">
      <c r="E783" s="139"/>
      <c r="J783" s="139"/>
    </row>
    <row r="784" spans="5:10" ht="15.75" customHeight="1" x14ac:dyDescent="0.25">
      <c r="E784" s="139"/>
      <c r="J784" s="139"/>
    </row>
    <row r="785" spans="5:10" ht="15.75" customHeight="1" x14ac:dyDescent="0.25">
      <c r="E785" s="139"/>
      <c r="J785" s="139"/>
    </row>
    <row r="786" spans="5:10" ht="15.75" customHeight="1" x14ac:dyDescent="0.25">
      <c r="E786" s="139"/>
      <c r="J786" s="139"/>
    </row>
    <row r="787" spans="5:10" ht="15.75" customHeight="1" x14ac:dyDescent="0.25">
      <c r="E787" s="139"/>
      <c r="J787" s="139"/>
    </row>
    <row r="788" spans="5:10" ht="15.75" customHeight="1" x14ac:dyDescent="0.25">
      <c r="E788" s="139"/>
      <c r="J788" s="139"/>
    </row>
    <row r="789" spans="5:10" ht="15.75" customHeight="1" x14ac:dyDescent="0.25">
      <c r="E789" s="139"/>
      <c r="J789" s="139"/>
    </row>
    <row r="790" spans="5:10" ht="15.75" customHeight="1" x14ac:dyDescent="0.25">
      <c r="E790" s="139"/>
      <c r="J790" s="139"/>
    </row>
    <row r="791" spans="5:10" ht="15.75" customHeight="1" x14ac:dyDescent="0.25">
      <c r="E791" s="139"/>
      <c r="J791" s="139"/>
    </row>
    <row r="792" spans="5:10" ht="15.75" customHeight="1" x14ac:dyDescent="0.25">
      <c r="E792" s="139"/>
      <c r="J792" s="139"/>
    </row>
    <row r="793" spans="5:10" ht="15.75" customHeight="1" x14ac:dyDescent="0.25">
      <c r="E793" s="139"/>
      <c r="J793" s="139"/>
    </row>
    <row r="794" spans="5:10" ht="15.75" customHeight="1" x14ac:dyDescent="0.25">
      <c r="E794" s="139"/>
      <c r="J794" s="139"/>
    </row>
    <row r="795" spans="5:10" ht="15.75" customHeight="1" x14ac:dyDescent="0.25">
      <c r="E795" s="139"/>
      <c r="J795" s="139"/>
    </row>
    <row r="796" spans="5:10" ht="15.75" customHeight="1" x14ac:dyDescent="0.25">
      <c r="E796" s="139"/>
      <c r="J796" s="139"/>
    </row>
    <row r="797" spans="5:10" ht="15.75" customHeight="1" x14ac:dyDescent="0.25">
      <c r="E797" s="139"/>
      <c r="J797" s="139"/>
    </row>
    <row r="798" spans="5:10" ht="15.75" customHeight="1" x14ac:dyDescent="0.25">
      <c r="E798" s="139"/>
      <c r="J798" s="139"/>
    </row>
    <row r="799" spans="5:10" ht="15.75" customHeight="1" x14ac:dyDescent="0.25">
      <c r="E799" s="139"/>
      <c r="J799" s="139"/>
    </row>
    <row r="800" spans="5:10" ht="15.75" customHeight="1" x14ac:dyDescent="0.25">
      <c r="E800" s="139"/>
      <c r="J800" s="139"/>
    </row>
    <row r="801" spans="5:10" ht="15.75" customHeight="1" x14ac:dyDescent="0.25">
      <c r="E801" s="139"/>
      <c r="J801" s="139"/>
    </row>
    <row r="802" spans="5:10" ht="15.75" customHeight="1" x14ac:dyDescent="0.25">
      <c r="E802" s="139"/>
      <c r="J802" s="139"/>
    </row>
    <row r="803" spans="5:10" ht="15.75" customHeight="1" x14ac:dyDescent="0.25">
      <c r="E803" s="139"/>
      <c r="J803" s="139"/>
    </row>
    <row r="804" spans="5:10" ht="15.75" customHeight="1" x14ac:dyDescent="0.25">
      <c r="E804" s="139"/>
      <c r="J804" s="139"/>
    </row>
    <row r="805" spans="5:10" ht="15.75" customHeight="1" x14ac:dyDescent="0.25">
      <c r="E805" s="139"/>
      <c r="J805" s="139"/>
    </row>
    <row r="806" spans="5:10" ht="15.75" customHeight="1" x14ac:dyDescent="0.25">
      <c r="E806" s="139"/>
      <c r="J806" s="139"/>
    </row>
    <row r="807" spans="5:10" ht="15.75" customHeight="1" x14ac:dyDescent="0.25">
      <c r="E807" s="139"/>
      <c r="J807" s="139"/>
    </row>
    <row r="808" spans="5:10" ht="15.75" customHeight="1" x14ac:dyDescent="0.25">
      <c r="E808" s="139"/>
      <c r="J808" s="139"/>
    </row>
    <row r="809" spans="5:10" ht="15.75" customHeight="1" x14ac:dyDescent="0.25">
      <c r="E809" s="139"/>
      <c r="J809" s="139"/>
    </row>
    <row r="810" spans="5:10" ht="15.75" customHeight="1" x14ac:dyDescent="0.25">
      <c r="E810" s="139"/>
      <c r="J810" s="139"/>
    </row>
    <row r="811" spans="5:10" ht="15.75" customHeight="1" x14ac:dyDescent="0.25">
      <c r="E811" s="139"/>
      <c r="J811" s="139"/>
    </row>
    <row r="812" spans="5:10" ht="15.75" customHeight="1" x14ac:dyDescent="0.25">
      <c r="E812" s="139"/>
      <c r="J812" s="139"/>
    </row>
    <row r="813" spans="5:10" ht="15.75" customHeight="1" x14ac:dyDescent="0.25">
      <c r="E813" s="139"/>
      <c r="J813" s="139"/>
    </row>
    <row r="814" spans="5:10" ht="15.75" customHeight="1" x14ac:dyDescent="0.25">
      <c r="E814" s="139"/>
      <c r="J814" s="139"/>
    </row>
    <row r="815" spans="5:10" ht="15.75" customHeight="1" x14ac:dyDescent="0.25">
      <c r="E815" s="139"/>
      <c r="J815" s="139"/>
    </row>
    <row r="816" spans="5:10" ht="15.75" customHeight="1" x14ac:dyDescent="0.25">
      <c r="E816" s="139"/>
      <c r="J816" s="139"/>
    </row>
    <row r="817" spans="5:10" ht="15.75" customHeight="1" x14ac:dyDescent="0.25">
      <c r="E817" s="139"/>
      <c r="J817" s="139"/>
    </row>
    <row r="818" spans="5:10" ht="15.75" customHeight="1" x14ac:dyDescent="0.25">
      <c r="E818" s="139"/>
      <c r="J818" s="139"/>
    </row>
    <row r="819" spans="5:10" ht="15.75" customHeight="1" x14ac:dyDescent="0.25">
      <c r="E819" s="139"/>
      <c r="J819" s="139"/>
    </row>
    <row r="820" spans="5:10" ht="15.75" customHeight="1" x14ac:dyDescent="0.25">
      <c r="E820" s="139"/>
      <c r="J820" s="139"/>
    </row>
    <row r="821" spans="5:10" ht="15.75" customHeight="1" x14ac:dyDescent="0.25">
      <c r="E821" s="139"/>
      <c r="J821" s="139"/>
    </row>
    <row r="822" spans="5:10" ht="15.75" customHeight="1" x14ac:dyDescent="0.25">
      <c r="E822" s="139"/>
      <c r="J822" s="139"/>
    </row>
    <row r="823" spans="5:10" ht="15.75" customHeight="1" x14ac:dyDescent="0.25">
      <c r="E823" s="139"/>
      <c r="J823" s="139"/>
    </row>
    <row r="824" spans="5:10" ht="15.75" customHeight="1" x14ac:dyDescent="0.25">
      <c r="E824" s="139"/>
      <c r="J824" s="139"/>
    </row>
    <row r="825" spans="5:10" ht="15.75" customHeight="1" x14ac:dyDescent="0.25">
      <c r="E825" s="139"/>
      <c r="J825" s="139"/>
    </row>
    <row r="826" spans="5:10" ht="15.75" customHeight="1" x14ac:dyDescent="0.25">
      <c r="E826" s="139"/>
      <c r="J826" s="139"/>
    </row>
    <row r="827" spans="5:10" ht="15.75" customHeight="1" x14ac:dyDescent="0.25">
      <c r="E827" s="139"/>
      <c r="J827" s="139"/>
    </row>
    <row r="828" spans="5:10" ht="15.75" customHeight="1" x14ac:dyDescent="0.25">
      <c r="E828" s="139"/>
      <c r="J828" s="139"/>
    </row>
    <row r="829" spans="5:10" ht="15.75" customHeight="1" x14ac:dyDescent="0.25">
      <c r="E829" s="139"/>
      <c r="J829" s="139"/>
    </row>
    <row r="830" spans="5:10" ht="15.75" customHeight="1" x14ac:dyDescent="0.25">
      <c r="E830" s="139"/>
      <c r="J830" s="139"/>
    </row>
    <row r="831" spans="5:10" ht="15.75" customHeight="1" x14ac:dyDescent="0.25">
      <c r="E831" s="139"/>
      <c r="J831" s="139"/>
    </row>
    <row r="832" spans="5:10" ht="15.75" customHeight="1" x14ac:dyDescent="0.25">
      <c r="E832" s="139"/>
      <c r="J832" s="139"/>
    </row>
    <row r="833" spans="5:10" ht="15.75" customHeight="1" x14ac:dyDescent="0.25">
      <c r="E833" s="139"/>
      <c r="J833" s="139"/>
    </row>
    <row r="834" spans="5:10" ht="15.75" customHeight="1" x14ac:dyDescent="0.25">
      <c r="E834" s="139"/>
      <c r="J834" s="139"/>
    </row>
    <row r="835" spans="5:10" ht="15.75" customHeight="1" x14ac:dyDescent="0.25">
      <c r="E835" s="139"/>
      <c r="J835" s="139"/>
    </row>
    <row r="836" spans="5:10" ht="15.75" customHeight="1" x14ac:dyDescent="0.25">
      <c r="E836" s="139"/>
      <c r="J836" s="139"/>
    </row>
    <row r="837" spans="5:10" ht="15.75" customHeight="1" x14ac:dyDescent="0.25">
      <c r="E837" s="139"/>
      <c r="J837" s="139"/>
    </row>
    <row r="838" spans="5:10" ht="15.75" customHeight="1" x14ac:dyDescent="0.25">
      <c r="E838" s="139"/>
      <c r="J838" s="139"/>
    </row>
    <row r="839" spans="5:10" ht="15.75" customHeight="1" x14ac:dyDescent="0.25">
      <c r="E839" s="139"/>
      <c r="J839" s="139"/>
    </row>
    <row r="840" spans="5:10" ht="15.75" customHeight="1" x14ac:dyDescent="0.25">
      <c r="E840" s="139"/>
      <c r="J840" s="139"/>
    </row>
    <row r="841" spans="5:10" ht="15.75" customHeight="1" x14ac:dyDescent="0.25">
      <c r="E841" s="139"/>
      <c r="J841" s="139"/>
    </row>
    <row r="842" spans="5:10" ht="15.75" customHeight="1" x14ac:dyDescent="0.25">
      <c r="E842" s="139"/>
      <c r="J842" s="139"/>
    </row>
    <row r="843" spans="5:10" ht="15.75" customHeight="1" x14ac:dyDescent="0.25">
      <c r="E843" s="139"/>
      <c r="J843" s="139"/>
    </row>
    <row r="844" spans="5:10" ht="15.75" customHeight="1" x14ac:dyDescent="0.25">
      <c r="E844" s="139"/>
      <c r="J844" s="139"/>
    </row>
    <row r="845" spans="5:10" ht="15.75" customHeight="1" x14ac:dyDescent="0.25">
      <c r="E845" s="139"/>
      <c r="J845" s="139"/>
    </row>
    <row r="846" spans="5:10" ht="15.75" customHeight="1" x14ac:dyDescent="0.25">
      <c r="E846" s="139"/>
      <c r="J846" s="139"/>
    </row>
    <row r="847" spans="5:10" ht="15.75" customHeight="1" x14ac:dyDescent="0.25">
      <c r="E847" s="139"/>
      <c r="J847" s="139"/>
    </row>
    <row r="848" spans="5:10" ht="15.75" customHeight="1" x14ac:dyDescent="0.25">
      <c r="E848" s="139"/>
      <c r="J848" s="139"/>
    </row>
    <row r="849" spans="5:10" ht="15.75" customHeight="1" x14ac:dyDescent="0.25">
      <c r="E849" s="139"/>
      <c r="J849" s="139"/>
    </row>
    <row r="850" spans="5:10" ht="15.75" customHeight="1" x14ac:dyDescent="0.25">
      <c r="E850" s="139"/>
      <c r="J850" s="139"/>
    </row>
    <row r="851" spans="5:10" ht="15.75" customHeight="1" x14ac:dyDescent="0.25">
      <c r="E851" s="139"/>
      <c r="J851" s="139"/>
    </row>
    <row r="852" spans="5:10" ht="15.75" customHeight="1" x14ac:dyDescent="0.25">
      <c r="E852" s="139"/>
      <c r="J852" s="139"/>
    </row>
    <row r="853" spans="5:10" ht="15.75" customHeight="1" x14ac:dyDescent="0.25">
      <c r="E853" s="139"/>
      <c r="J853" s="139"/>
    </row>
    <row r="854" spans="5:10" ht="15.75" customHeight="1" x14ac:dyDescent="0.25">
      <c r="E854" s="139"/>
      <c r="J854" s="139"/>
    </row>
    <row r="855" spans="5:10" ht="15.75" customHeight="1" x14ac:dyDescent="0.25">
      <c r="E855" s="139"/>
      <c r="J855" s="139"/>
    </row>
    <row r="856" spans="5:10" ht="15.75" customHeight="1" x14ac:dyDescent="0.25">
      <c r="E856" s="139"/>
      <c r="J856" s="139"/>
    </row>
    <row r="857" spans="5:10" ht="15.75" customHeight="1" x14ac:dyDescent="0.25">
      <c r="E857" s="139"/>
      <c r="J857" s="139"/>
    </row>
    <row r="858" spans="5:10" ht="15.75" customHeight="1" x14ac:dyDescent="0.25">
      <c r="E858" s="139"/>
      <c r="J858" s="139"/>
    </row>
    <row r="859" spans="5:10" ht="15.75" customHeight="1" x14ac:dyDescent="0.25">
      <c r="E859" s="139"/>
      <c r="J859" s="139"/>
    </row>
    <row r="860" spans="5:10" ht="15.75" customHeight="1" x14ac:dyDescent="0.25">
      <c r="E860" s="139"/>
      <c r="J860" s="139"/>
    </row>
    <row r="861" spans="5:10" ht="15.75" customHeight="1" x14ac:dyDescent="0.25">
      <c r="E861" s="139"/>
      <c r="J861" s="139"/>
    </row>
    <row r="862" spans="5:10" ht="15.75" customHeight="1" x14ac:dyDescent="0.25">
      <c r="E862" s="139"/>
      <c r="J862" s="139"/>
    </row>
    <row r="863" spans="5:10" ht="15.75" customHeight="1" x14ac:dyDescent="0.25">
      <c r="E863" s="139"/>
      <c r="J863" s="139"/>
    </row>
    <row r="864" spans="5:10" ht="15.75" customHeight="1" x14ac:dyDescent="0.25">
      <c r="E864" s="139"/>
      <c r="J864" s="139"/>
    </row>
    <row r="865" spans="5:10" ht="15.75" customHeight="1" x14ac:dyDescent="0.25">
      <c r="E865" s="139"/>
      <c r="J865" s="139"/>
    </row>
    <row r="866" spans="5:10" ht="15.75" customHeight="1" x14ac:dyDescent="0.25">
      <c r="E866" s="139"/>
      <c r="J866" s="139"/>
    </row>
    <row r="867" spans="5:10" ht="15.75" customHeight="1" x14ac:dyDescent="0.25">
      <c r="E867" s="139"/>
      <c r="J867" s="139"/>
    </row>
    <row r="868" spans="5:10" ht="15.75" customHeight="1" x14ac:dyDescent="0.25">
      <c r="E868" s="139"/>
      <c r="J868" s="139"/>
    </row>
    <row r="869" spans="5:10" ht="15.75" customHeight="1" x14ac:dyDescent="0.25">
      <c r="E869" s="139"/>
      <c r="J869" s="139"/>
    </row>
    <row r="870" spans="5:10" ht="15.75" customHeight="1" x14ac:dyDescent="0.25">
      <c r="E870" s="139"/>
      <c r="J870" s="139"/>
    </row>
    <row r="871" spans="5:10" ht="15.75" customHeight="1" x14ac:dyDescent="0.25">
      <c r="E871" s="139"/>
      <c r="J871" s="139"/>
    </row>
    <row r="872" spans="5:10" ht="15.75" customHeight="1" x14ac:dyDescent="0.25">
      <c r="E872" s="139"/>
      <c r="J872" s="139"/>
    </row>
    <row r="873" spans="5:10" ht="15.75" customHeight="1" x14ac:dyDescent="0.25">
      <c r="E873" s="139"/>
      <c r="J873" s="139"/>
    </row>
    <row r="874" spans="5:10" ht="15.75" customHeight="1" x14ac:dyDescent="0.25">
      <c r="E874" s="139"/>
      <c r="J874" s="139"/>
    </row>
    <row r="875" spans="5:10" ht="15.75" customHeight="1" x14ac:dyDescent="0.25">
      <c r="E875" s="139"/>
      <c r="J875" s="139"/>
    </row>
    <row r="876" spans="5:10" ht="15.75" customHeight="1" x14ac:dyDescent="0.25">
      <c r="E876" s="139"/>
      <c r="J876" s="139"/>
    </row>
    <row r="877" spans="5:10" ht="15.75" customHeight="1" x14ac:dyDescent="0.25">
      <c r="E877" s="139"/>
      <c r="J877" s="139"/>
    </row>
    <row r="878" spans="5:10" ht="15.75" customHeight="1" x14ac:dyDescent="0.25">
      <c r="E878" s="139"/>
      <c r="J878" s="139"/>
    </row>
    <row r="879" spans="5:10" ht="15.75" customHeight="1" x14ac:dyDescent="0.25">
      <c r="E879" s="139"/>
      <c r="J879" s="139"/>
    </row>
    <row r="880" spans="5:10" ht="15.75" customHeight="1" x14ac:dyDescent="0.25">
      <c r="E880" s="139"/>
      <c r="J880" s="139"/>
    </row>
    <row r="881" spans="5:10" ht="15.75" customHeight="1" x14ac:dyDescent="0.25">
      <c r="E881" s="139"/>
      <c r="J881" s="139"/>
    </row>
    <row r="882" spans="5:10" ht="15.75" customHeight="1" x14ac:dyDescent="0.25">
      <c r="E882" s="139"/>
      <c r="J882" s="139"/>
    </row>
    <row r="883" spans="5:10" ht="15.75" customHeight="1" x14ac:dyDescent="0.25">
      <c r="E883" s="139"/>
      <c r="J883" s="139"/>
    </row>
    <row r="884" spans="5:10" ht="15.75" customHeight="1" x14ac:dyDescent="0.25">
      <c r="E884" s="139"/>
      <c r="J884" s="139"/>
    </row>
    <row r="885" spans="5:10" ht="15.75" customHeight="1" x14ac:dyDescent="0.25">
      <c r="E885" s="139"/>
      <c r="J885" s="139"/>
    </row>
    <row r="886" spans="5:10" ht="15.75" customHeight="1" x14ac:dyDescent="0.25">
      <c r="E886" s="139"/>
      <c r="J886" s="139"/>
    </row>
    <row r="887" spans="5:10" ht="15.75" customHeight="1" x14ac:dyDescent="0.25">
      <c r="E887" s="139"/>
      <c r="J887" s="139"/>
    </row>
    <row r="888" spans="5:10" ht="15.75" customHeight="1" x14ac:dyDescent="0.25">
      <c r="E888" s="139"/>
      <c r="J888" s="139"/>
    </row>
    <row r="889" spans="5:10" ht="15.75" customHeight="1" x14ac:dyDescent="0.25">
      <c r="E889" s="139"/>
      <c r="J889" s="139"/>
    </row>
    <row r="890" spans="5:10" ht="15.75" customHeight="1" x14ac:dyDescent="0.25">
      <c r="E890" s="139"/>
      <c r="J890" s="139"/>
    </row>
    <row r="891" spans="5:10" ht="15.75" customHeight="1" x14ac:dyDescent="0.25">
      <c r="E891" s="139"/>
      <c r="J891" s="139"/>
    </row>
    <row r="892" spans="5:10" ht="15.75" customHeight="1" x14ac:dyDescent="0.25">
      <c r="E892" s="139"/>
      <c r="J892" s="139"/>
    </row>
    <row r="893" spans="5:10" ht="15.75" customHeight="1" x14ac:dyDescent="0.25">
      <c r="E893" s="139"/>
      <c r="J893" s="139"/>
    </row>
    <row r="894" spans="5:10" ht="15.75" customHeight="1" x14ac:dyDescent="0.25">
      <c r="E894" s="139"/>
      <c r="J894" s="139"/>
    </row>
    <row r="895" spans="5:10" ht="15.75" customHeight="1" x14ac:dyDescent="0.25">
      <c r="E895" s="139"/>
      <c r="J895" s="139"/>
    </row>
    <row r="896" spans="5:10" ht="15.75" customHeight="1" x14ac:dyDescent="0.25">
      <c r="E896" s="139"/>
      <c r="J896" s="139"/>
    </row>
    <row r="897" spans="5:10" ht="15.75" customHeight="1" x14ac:dyDescent="0.25">
      <c r="E897" s="139"/>
      <c r="J897" s="139"/>
    </row>
    <row r="898" spans="5:10" ht="15.75" customHeight="1" x14ac:dyDescent="0.25">
      <c r="E898" s="139"/>
      <c r="J898" s="139"/>
    </row>
    <row r="899" spans="5:10" ht="15.75" customHeight="1" x14ac:dyDescent="0.25">
      <c r="E899" s="139"/>
      <c r="J899" s="139"/>
    </row>
    <row r="900" spans="5:10" ht="15.75" customHeight="1" x14ac:dyDescent="0.25">
      <c r="E900" s="139"/>
      <c r="J900" s="139"/>
    </row>
    <row r="901" spans="5:10" ht="15.75" customHeight="1" x14ac:dyDescent="0.25">
      <c r="E901" s="139"/>
      <c r="J901" s="139"/>
    </row>
    <row r="902" spans="5:10" ht="15.75" customHeight="1" x14ac:dyDescent="0.25">
      <c r="E902" s="139"/>
      <c r="J902" s="139"/>
    </row>
    <row r="903" spans="5:10" ht="15.75" customHeight="1" x14ac:dyDescent="0.25">
      <c r="E903" s="139"/>
      <c r="J903" s="139"/>
    </row>
    <row r="904" spans="5:10" ht="15.75" customHeight="1" x14ac:dyDescent="0.25">
      <c r="E904" s="139"/>
      <c r="J904" s="139"/>
    </row>
    <row r="905" spans="5:10" ht="15.75" customHeight="1" x14ac:dyDescent="0.25">
      <c r="E905" s="139"/>
      <c r="J905" s="139"/>
    </row>
    <row r="906" spans="5:10" ht="15.75" customHeight="1" x14ac:dyDescent="0.25">
      <c r="E906" s="139"/>
      <c r="J906" s="139"/>
    </row>
    <row r="907" spans="5:10" ht="15.75" customHeight="1" x14ac:dyDescent="0.25">
      <c r="E907" s="139"/>
      <c r="J907" s="139"/>
    </row>
    <row r="908" spans="5:10" ht="15.75" customHeight="1" x14ac:dyDescent="0.25">
      <c r="E908" s="139"/>
      <c r="J908" s="139"/>
    </row>
    <row r="909" spans="5:10" ht="15.75" customHeight="1" x14ac:dyDescent="0.25">
      <c r="E909" s="139"/>
      <c r="J909" s="139"/>
    </row>
    <row r="910" spans="5:10" ht="15.75" customHeight="1" x14ac:dyDescent="0.25">
      <c r="E910" s="139"/>
      <c r="J910" s="139"/>
    </row>
    <row r="911" spans="5:10" ht="15.75" customHeight="1" x14ac:dyDescent="0.25">
      <c r="E911" s="139"/>
      <c r="J911" s="139"/>
    </row>
    <row r="912" spans="5:10" ht="15.75" customHeight="1" x14ac:dyDescent="0.25">
      <c r="E912" s="139"/>
      <c r="J912" s="139"/>
    </row>
    <row r="913" spans="5:10" ht="15.75" customHeight="1" x14ac:dyDescent="0.25">
      <c r="E913" s="139"/>
      <c r="J913" s="139"/>
    </row>
    <row r="914" spans="5:10" ht="15.75" customHeight="1" x14ac:dyDescent="0.25">
      <c r="E914" s="139"/>
      <c r="J914" s="139"/>
    </row>
    <row r="915" spans="5:10" ht="15.75" customHeight="1" x14ac:dyDescent="0.25">
      <c r="E915" s="139"/>
      <c r="J915" s="139"/>
    </row>
    <row r="916" spans="5:10" ht="15.75" customHeight="1" x14ac:dyDescent="0.25">
      <c r="E916" s="139"/>
      <c r="J916" s="139"/>
    </row>
    <row r="917" spans="5:10" ht="15.75" customHeight="1" x14ac:dyDescent="0.25">
      <c r="E917" s="139"/>
      <c r="J917" s="139"/>
    </row>
    <row r="918" spans="5:10" ht="15.75" customHeight="1" x14ac:dyDescent="0.25">
      <c r="E918" s="139"/>
      <c r="J918" s="139"/>
    </row>
    <row r="919" spans="5:10" ht="15.75" customHeight="1" x14ac:dyDescent="0.25">
      <c r="E919" s="139"/>
      <c r="J919" s="139"/>
    </row>
    <row r="920" spans="5:10" ht="15.75" customHeight="1" x14ac:dyDescent="0.25">
      <c r="E920" s="139"/>
      <c r="J920" s="139"/>
    </row>
    <row r="921" spans="5:10" ht="15.75" customHeight="1" x14ac:dyDescent="0.25">
      <c r="E921" s="139"/>
      <c r="J921" s="139"/>
    </row>
    <row r="922" spans="5:10" ht="15.75" customHeight="1" x14ac:dyDescent="0.25">
      <c r="E922" s="139"/>
      <c r="J922" s="139"/>
    </row>
    <row r="923" spans="5:10" ht="15.75" customHeight="1" x14ac:dyDescent="0.25">
      <c r="E923" s="139"/>
      <c r="J923" s="139"/>
    </row>
    <row r="924" spans="5:10" ht="15.75" customHeight="1" x14ac:dyDescent="0.25">
      <c r="E924" s="139"/>
      <c r="J924" s="139"/>
    </row>
    <row r="925" spans="5:10" ht="15.75" customHeight="1" x14ac:dyDescent="0.25">
      <c r="E925" s="139"/>
      <c r="J925" s="139"/>
    </row>
    <row r="926" spans="5:10" ht="15.75" customHeight="1" x14ac:dyDescent="0.25">
      <c r="E926" s="139"/>
      <c r="J926" s="139"/>
    </row>
    <row r="927" spans="5:10" ht="15.75" customHeight="1" x14ac:dyDescent="0.25">
      <c r="E927" s="139"/>
      <c r="J927" s="139"/>
    </row>
    <row r="928" spans="5:10" ht="15.75" customHeight="1" x14ac:dyDescent="0.25">
      <c r="E928" s="139"/>
      <c r="J928" s="139"/>
    </row>
    <row r="929" spans="5:10" ht="15.75" customHeight="1" x14ac:dyDescent="0.25">
      <c r="E929" s="139"/>
      <c r="J929" s="139"/>
    </row>
    <row r="930" spans="5:10" ht="15.75" customHeight="1" x14ac:dyDescent="0.25">
      <c r="E930" s="139"/>
      <c r="J930" s="139"/>
    </row>
    <row r="931" spans="5:10" ht="15.75" customHeight="1" x14ac:dyDescent="0.25">
      <c r="E931" s="139"/>
      <c r="J931" s="139"/>
    </row>
    <row r="932" spans="5:10" ht="15.75" customHeight="1" x14ac:dyDescent="0.25">
      <c r="E932" s="139"/>
      <c r="J932" s="139"/>
    </row>
    <row r="933" spans="5:10" ht="15.75" customHeight="1" x14ac:dyDescent="0.25">
      <c r="E933" s="139"/>
      <c r="J933" s="139"/>
    </row>
    <row r="934" spans="5:10" ht="15.75" customHeight="1" x14ac:dyDescent="0.25">
      <c r="E934" s="139"/>
      <c r="J934" s="139"/>
    </row>
    <row r="935" spans="5:10" ht="15.75" customHeight="1" x14ac:dyDescent="0.25">
      <c r="E935" s="139"/>
      <c r="J935" s="139"/>
    </row>
    <row r="936" spans="5:10" ht="15.75" customHeight="1" x14ac:dyDescent="0.25">
      <c r="E936" s="139"/>
      <c r="J936" s="139"/>
    </row>
    <row r="937" spans="5:10" ht="15.75" customHeight="1" x14ac:dyDescent="0.25">
      <c r="E937" s="139"/>
      <c r="J937" s="139"/>
    </row>
    <row r="938" spans="5:10" ht="15.75" customHeight="1" x14ac:dyDescent="0.25">
      <c r="E938" s="139"/>
      <c r="J938" s="139"/>
    </row>
    <row r="939" spans="5:10" ht="15.75" customHeight="1" x14ac:dyDescent="0.25">
      <c r="E939" s="139"/>
      <c r="J939" s="139"/>
    </row>
    <row r="940" spans="5:10" ht="15.75" customHeight="1" x14ac:dyDescent="0.25">
      <c r="E940" s="139"/>
      <c r="J940" s="139"/>
    </row>
    <row r="941" spans="5:10" ht="15.75" customHeight="1" x14ac:dyDescent="0.25">
      <c r="E941" s="139"/>
      <c r="J941" s="139"/>
    </row>
    <row r="942" spans="5:10" ht="15.75" customHeight="1" x14ac:dyDescent="0.25">
      <c r="E942" s="139"/>
      <c r="J942" s="139"/>
    </row>
    <row r="943" spans="5:10" ht="15.75" customHeight="1" x14ac:dyDescent="0.25">
      <c r="E943" s="139"/>
      <c r="J943" s="139"/>
    </row>
    <row r="944" spans="5:10" ht="15.75" customHeight="1" x14ac:dyDescent="0.25">
      <c r="E944" s="139"/>
      <c r="J944" s="139"/>
    </row>
    <row r="945" spans="5:10" ht="15.75" customHeight="1" x14ac:dyDescent="0.25">
      <c r="E945" s="139"/>
      <c r="J945" s="139"/>
    </row>
    <row r="946" spans="5:10" ht="15.75" customHeight="1" x14ac:dyDescent="0.25">
      <c r="E946" s="139"/>
      <c r="J946" s="139"/>
    </row>
    <row r="947" spans="5:10" ht="15.75" customHeight="1" x14ac:dyDescent="0.25">
      <c r="E947" s="139"/>
      <c r="J947" s="139"/>
    </row>
    <row r="948" spans="5:10" ht="15.75" customHeight="1" x14ac:dyDescent="0.25">
      <c r="E948" s="139"/>
      <c r="J948" s="139"/>
    </row>
    <row r="949" spans="5:10" ht="15.75" customHeight="1" x14ac:dyDescent="0.25">
      <c r="E949" s="139"/>
      <c r="J949" s="139"/>
    </row>
    <row r="950" spans="5:10" ht="15.75" customHeight="1" x14ac:dyDescent="0.25">
      <c r="E950" s="139"/>
      <c r="J950" s="139"/>
    </row>
    <row r="951" spans="5:10" ht="15.75" customHeight="1" x14ac:dyDescent="0.25">
      <c r="E951" s="139"/>
      <c r="J951" s="139"/>
    </row>
    <row r="952" spans="5:10" ht="15.75" customHeight="1" x14ac:dyDescent="0.25">
      <c r="E952" s="139"/>
      <c r="J952" s="139"/>
    </row>
    <row r="953" spans="5:10" ht="15.75" customHeight="1" x14ac:dyDescent="0.25">
      <c r="E953" s="139"/>
      <c r="J953" s="139"/>
    </row>
    <row r="954" spans="5:10" ht="15.75" customHeight="1" x14ac:dyDescent="0.25">
      <c r="E954" s="139"/>
      <c r="J954" s="139"/>
    </row>
    <row r="955" spans="5:10" ht="15.75" customHeight="1" x14ac:dyDescent="0.25">
      <c r="E955" s="139"/>
      <c r="J955" s="139"/>
    </row>
    <row r="956" spans="5:10" ht="15.75" customHeight="1" x14ac:dyDescent="0.25">
      <c r="E956" s="139"/>
      <c r="J956" s="139"/>
    </row>
    <row r="957" spans="5:10" ht="15.75" customHeight="1" x14ac:dyDescent="0.25">
      <c r="E957" s="139"/>
      <c r="J957" s="139"/>
    </row>
    <row r="958" spans="5:10" ht="15.75" customHeight="1" x14ac:dyDescent="0.25">
      <c r="E958" s="139"/>
      <c r="J958" s="139"/>
    </row>
    <row r="959" spans="5:10" ht="15.75" customHeight="1" x14ac:dyDescent="0.25">
      <c r="E959" s="139"/>
      <c r="J959" s="139"/>
    </row>
    <row r="960" spans="5:10" ht="15.75" customHeight="1" x14ac:dyDescent="0.25">
      <c r="E960" s="139"/>
      <c r="J960" s="139"/>
    </row>
    <row r="961" spans="5:10" ht="15.75" customHeight="1" x14ac:dyDescent="0.25">
      <c r="E961" s="139"/>
      <c r="J961" s="139"/>
    </row>
    <row r="962" spans="5:10" ht="15.75" customHeight="1" x14ac:dyDescent="0.25">
      <c r="E962" s="139"/>
      <c r="J962" s="139"/>
    </row>
    <row r="963" spans="5:10" ht="15.75" customHeight="1" x14ac:dyDescent="0.25">
      <c r="E963" s="139"/>
      <c r="J963" s="139"/>
    </row>
    <row r="964" spans="5:10" ht="15.75" customHeight="1" x14ac:dyDescent="0.25">
      <c r="E964" s="139"/>
      <c r="J964" s="139"/>
    </row>
    <row r="965" spans="5:10" ht="15.75" customHeight="1" x14ac:dyDescent="0.25">
      <c r="E965" s="139"/>
      <c r="J965" s="139"/>
    </row>
    <row r="966" spans="5:10" ht="15.75" customHeight="1" x14ac:dyDescent="0.25">
      <c r="E966" s="139"/>
      <c r="J966" s="139"/>
    </row>
    <row r="967" spans="5:10" ht="15.75" customHeight="1" x14ac:dyDescent="0.25">
      <c r="E967" s="139"/>
      <c r="J967" s="139"/>
    </row>
    <row r="968" spans="5:10" ht="15.75" customHeight="1" x14ac:dyDescent="0.25">
      <c r="E968" s="139"/>
      <c r="J968" s="139"/>
    </row>
    <row r="969" spans="5:10" ht="15.75" customHeight="1" x14ac:dyDescent="0.25">
      <c r="E969" s="139"/>
      <c r="J969" s="139"/>
    </row>
    <row r="970" spans="5:10" ht="15.75" customHeight="1" x14ac:dyDescent="0.25">
      <c r="E970" s="139"/>
      <c r="J970" s="139"/>
    </row>
    <row r="971" spans="5:10" ht="15.75" customHeight="1" x14ac:dyDescent="0.25">
      <c r="E971" s="139"/>
      <c r="J971" s="139"/>
    </row>
    <row r="972" spans="5:10" ht="15.75" customHeight="1" x14ac:dyDescent="0.25">
      <c r="E972" s="139"/>
      <c r="J972" s="139"/>
    </row>
    <row r="973" spans="5:10" ht="15.75" customHeight="1" x14ac:dyDescent="0.25">
      <c r="E973" s="139"/>
      <c r="J973" s="139"/>
    </row>
    <row r="974" spans="5:10" ht="15.75" customHeight="1" x14ac:dyDescent="0.25">
      <c r="E974" s="139"/>
      <c r="J974" s="139"/>
    </row>
    <row r="975" spans="5:10" ht="15.75" customHeight="1" x14ac:dyDescent="0.25">
      <c r="E975" s="139"/>
      <c r="J975" s="139"/>
    </row>
    <row r="976" spans="5:10" ht="15.75" customHeight="1" x14ac:dyDescent="0.25">
      <c r="E976" s="139"/>
      <c r="J976" s="139"/>
    </row>
    <row r="977" spans="5:10" ht="15.75" customHeight="1" x14ac:dyDescent="0.25">
      <c r="E977" s="139"/>
      <c r="J977" s="139"/>
    </row>
    <row r="978" spans="5:10" ht="15.75" customHeight="1" x14ac:dyDescent="0.25">
      <c r="E978" s="139"/>
      <c r="J978" s="139"/>
    </row>
    <row r="979" spans="5:10" ht="15.75" customHeight="1" x14ac:dyDescent="0.25">
      <c r="E979" s="139"/>
      <c r="J979" s="139"/>
    </row>
    <row r="980" spans="5:10" ht="15.75" customHeight="1" x14ac:dyDescent="0.25">
      <c r="E980" s="139"/>
      <c r="J980" s="139"/>
    </row>
    <row r="981" spans="5:10" ht="15.75" customHeight="1" x14ac:dyDescent="0.25">
      <c r="E981" s="139"/>
      <c r="J981" s="139"/>
    </row>
    <row r="982" spans="5:10" ht="15.75" customHeight="1" x14ac:dyDescent="0.25">
      <c r="E982" s="139"/>
      <c r="J982" s="139"/>
    </row>
    <row r="983" spans="5:10" ht="15.75" customHeight="1" x14ac:dyDescent="0.25">
      <c r="E983" s="139"/>
      <c r="J983" s="139"/>
    </row>
    <row r="984" spans="5:10" ht="15.75" customHeight="1" x14ac:dyDescent="0.25">
      <c r="E984" s="139"/>
      <c r="J984" s="139"/>
    </row>
    <row r="985" spans="5:10" ht="15.75" customHeight="1" x14ac:dyDescent="0.25">
      <c r="E985" s="139"/>
      <c r="J985" s="139"/>
    </row>
    <row r="986" spans="5:10" ht="15.75" customHeight="1" x14ac:dyDescent="0.25">
      <c r="E986" s="139"/>
      <c r="J986" s="139"/>
    </row>
    <row r="987" spans="5:10" ht="15.75" customHeight="1" x14ac:dyDescent="0.25">
      <c r="E987" s="139"/>
      <c r="J987" s="139"/>
    </row>
    <row r="988" spans="5:10" ht="15.75" customHeight="1" x14ac:dyDescent="0.25">
      <c r="E988" s="139"/>
      <c r="J988" s="139"/>
    </row>
    <row r="989" spans="5:10" ht="15.75" customHeight="1" x14ac:dyDescent="0.25">
      <c r="E989" s="139"/>
      <c r="J989" s="139"/>
    </row>
    <row r="990" spans="5:10" ht="15.75" customHeight="1" x14ac:dyDescent="0.25">
      <c r="E990" s="139"/>
      <c r="J990" s="139"/>
    </row>
    <row r="991" spans="5:10" ht="15.75" customHeight="1" x14ac:dyDescent="0.25">
      <c r="E991" s="139"/>
      <c r="J991" s="139"/>
    </row>
    <row r="992" spans="5:10" ht="15.75" customHeight="1" x14ac:dyDescent="0.25">
      <c r="E992" s="139"/>
      <c r="J992" s="139"/>
    </row>
    <row r="993" spans="5:10" ht="15.75" customHeight="1" x14ac:dyDescent="0.25">
      <c r="E993" s="139"/>
      <c r="J993" s="139"/>
    </row>
    <row r="994" spans="5:10" ht="15.75" customHeight="1" x14ac:dyDescent="0.25">
      <c r="E994" s="139"/>
      <c r="J994" s="139"/>
    </row>
    <row r="995" spans="5:10" ht="15.75" customHeight="1" x14ac:dyDescent="0.25">
      <c r="E995" s="139"/>
      <c r="J995" s="139"/>
    </row>
    <row r="996" spans="5:10" ht="15.75" customHeight="1" x14ac:dyDescent="0.25">
      <c r="E996" s="139"/>
      <c r="J996" s="139"/>
    </row>
    <row r="997" spans="5:10" ht="15.75" customHeight="1" x14ac:dyDescent="0.25">
      <c r="E997" s="139"/>
      <c r="J997" s="139"/>
    </row>
    <row r="998" spans="5:10" ht="15.75" customHeight="1" x14ac:dyDescent="0.25">
      <c r="E998" s="139"/>
      <c r="J998" s="139"/>
    </row>
    <row r="999" spans="5:10" ht="15.75" customHeight="1" x14ac:dyDescent="0.25">
      <c r="E999" s="139"/>
      <c r="J999" s="139"/>
    </row>
    <row r="1000" spans="5:10" ht="15.75" customHeight="1" x14ac:dyDescent="0.25">
      <c r="E1000" s="139"/>
      <c r="J1000" s="139"/>
    </row>
  </sheetData>
  <mergeCells count="1">
    <mergeCell ref="B1:J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1700-000000000000}">
          <x14:formula1>
            <xm:f>January!$B$27:$C$44</xm:f>
          </x14:formula1>
          <xm:sqref>E5:E1000</xm:sqref>
        </x14:dataValidation>
        <x14:dataValidation type="list" allowBlank="1" xr:uid="{00000000-0002-0000-1700-000001000000}">
          <x14:formula1>
            <xm:f>January!$H$27:$I$44</xm:f>
          </x14:formula1>
          <xm:sqref>J5:J1000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10</vt:i4>
      </vt:variant>
    </vt:vector>
  </HeadingPairs>
  <TitlesOfParts>
    <vt:vector size="34" baseType="lpstr">
      <vt:lpstr>Annual Graphic</vt:lpstr>
      <vt:lpstr>Annual Expenses</vt:lpstr>
      <vt:lpstr>Annual Income</vt:lpstr>
      <vt:lpstr>Deskripsi</vt:lpstr>
      <vt:lpstr>January</vt:lpstr>
      <vt:lpstr>Trans Jan</vt:lpstr>
      <vt:lpstr>February</vt:lpstr>
      <vt:lpstr>Trans Feb</vt:lpstr>
      <vt:lpstr>March</vt:lpstr>
      <vt:lpstr>Trans March</vt:lpstr>
      <vt:lpstr>April</vt:lpstr>
      <vt:lpstr>Trans April</vt:lpstr>
      <vt:lpstr>Mei</vt:lpstr>
      <vt:lpstr>Trans Mei</vt:lpstr>
      <vt:lpstr>Juni</vt:lpstr>
      <vt:lpstr>Trans Jun</vt:lpstr>
      <vt:lpstr>Juli</vt:lpstr>
      <vt:lpstr>Trans Jul</vt:lpstr>
      <vt:lpstr>Agustus</vt:lpstr>
      <vt:lpstr>Trans Agust</vt:lpstr>
      <vt:lpstr>September</vt:lpstr>
      <vt:lpstr>Trans Sept</vt:lpstr>
      <vt:lpstr>Oktober</vt:lpstr>
      <vt:lpstr>Trans Okt</vt:lpstr>
      <vt:lpstr>Agustus!StartingBalance</vt:lpstr>
      <vt:lpstr>April!StartingBalance</vt:lpstr>
      <vt:lpstr>February!StartingBalance</vt:lpstr>
      <vt:lpstr>Juli!StartingBalance</vt:lpstr>
      <vt:lpstr>Juni!StartingBalance</vt:lpstr>
      <vt:lpstr>March!StartingBalance</vt:lpstr>
      <vt:lpstr>Mei!StartingBalance</vt:lpstr>
      <vt:lpstr>Oktober!StartingBalance</vt:lpstr>
      <vt:lpstr>September!StartingBalance</vt:lpstr>
      <vt:lpstr>StartingBalance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Wise</dc:creator>
  <cp:lastModifiedBy>Fredy Wise</cp:lastModifiedBy>
  <dcterms:created xsi:type="dcterms:W3CDTF">2024-12-06T16:37:12Z</dcterms:created>
  <dcterms:modified xsi:type="dcterms:W3CDTF">2024-12-06T16:37:13Z</dcterms:modified>
</cp:coreProperties>
</file>